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oodreads_library_export" sheetId="1" r:id="rId5"/>
  </sheets>
  <definedNames/>
  <calcPr/>
</workbook>
</file>

<file path=xl/sharedStrings.xml><?xml version="1.0" encoding="utf-8"?>
<sst xmlns="http://schemas.openxmlformats.org/spreadsheetml/2006/main" count="20767" uniqueCount="10549">
  <si>
    <t>Book Id</t>
  </si>
  <si>
    <t>Title</t>
  </si>
  <si>
    <t>Author</t>
  </si>
  <si>
    <t>Author L-F</t>
  </si>
  <si>
    <t>Additional Authors</t>
  </si>
  <si>
    <t>ISBN</t>
  </si>
  <si>
    <t>ISBN13</t>
  </si>
  <si>
    <t>Publisher</t>
  </si>
  <si>
    <t>Binding</t>
  </si>
  <si>
    <t>Number of Pages</t>
  </si>
  <si>
    <t>Year Published</t>
  </si>
  <si>
    <t>Original Publication Year</t>
  </si>
  <si>
    <t>Collection</t>
  </si>
  <si>
    <t>Call Number</t>
  </si>
  <si>
    <t>Language</t>
  </si>
  <si>
    <t>Genre</t>
  </si>
  <si>
    <t>Fiction/Nonfiction</t>
  </si>
  <si>
    <t>Format Tags</t>
  </si>
  <si>
    <t>Themes</t>
  </si>
  <si>
    <t>Representation Tags</t>
  </si>
  <si>
    <t>Series</t>
  </si>
  <si>
    <t>Number of Copies</t>
  </si>
  <si>
    <t>Review Status</t>
  </si>
  <si>
    <t>Current Physical Location</t>
  </si>
  <si>
    <t>Current Physical Location with No of Books</t>
  </si>
  <si>
    <t>New Location</t>
  </si>
  <si>
    <t>Private Notes</t>
  </si>
  <si>
    <t>Spanish Berlitz Kids the Missing Cat (Berlitz Adventures with Nicholas) (2006-07-28)</t>
  </si>
  <si>
    <t>Unknown .</t>
  </si>
  <si>
    <t>., Unknown</t>
  </si>
  <si>
    <t>Berlitz Kids</t>
  </si>
  <si>
    <t>Hardcover</t>
  </si>
  <si>
    <t>white-bookshelf-o</t>
  </si>
  <si>
    <t>white-bookshelf-o (#11)</t>
  </si>
  <si>
    <t>GALLINA DE LOS HUEVOS DE ORO, LA</t>
  </si>
  <si>
    <t>EDITORA SUDAMER</t>
  </si>
  <si>
    <t>Paperback</t>
  </si>
  <si>
    <t>4x4-picture-books-h</t>
  </si>
  <si>
    <t>4x4-picture-books-h (#9)</t>
  </si>
  <si>
    <t>UNA AYUDA OPORTUNA</t>
  </si>
  <si>
    <t>4x4-picture-books-h (#8)</t>
  </si>
  <si>
    <t>Cam Jensen And the Mystery of the Dinosaur Bones</t>
  </si>
  <si>
    <t>David A. Adler</t>
  </si>
  <si>
    <t>Adler, David A.</t>
  </si>
  <si>
    <t>Puffin</t>
  </si>
  <si>
    <t>closet_late-elem_chapter-books</t>
  </si>
  <si>
    <t>closet_late-elem_chapter-books (#112)</t>
  </si>
  <si>
    <t>The Week We Cleaned The Park</t>
  </si>
  <si>
    <t>Francie Alexander</t>
  </si>
  <si>
    <t>Alexander, Francie</t>
  </si>
  <si>
    <t>Scholastic</t>
  </si>
  <si>
    <t>leveled-readers_my-first-reading</t>
  </si>
  <si>
    <t>leveled-readers_my-first-reading (#46)</t>
  </si>
  <si>
    <t>Mi mama (Cuentos foneticos #2)</t>
  </si>
  <si>
    <t>Jesus Cervantes, Carlos E. Bernales</t>
  </si>
  <si>
    <t>foneticos</t>
  </si>
  <si>
    <t>foneticos (#3)</t>
  </si>
  <si>
    <t>A JUGAR CON PEPPA - 2 AÑOS</t>
  </si>
  <si>
    <t>Altea</t>
  </si>
  <si>
    <t>Altea, Altea</t>
  </si>
  <si>
    <t>ALTEA</t>
  </si>
  <si>
    <t>4x4-picture-books-g</t>
  </si>
  <si>
    <t>4x4-picture-books-g (#13)</t>
  </si>
  <si>
    <t>Bubbles, Bubbles by Kathi Appelt (2001-08-21)</t>
  </si>
  <si>
    <t>Kathi Appelt</t>
  </si>
  <si>
    <t>Appelt, Kathi</t>
  </si>
  <si>
    <t>Festival</t>
  </si>
  <si>
    <t>Board Book</t>
  </si>
  <si>
    <t>4x4-picture-books-e</t>
  </si>
  <si>
    <t>4x4-picture-books-e (#26)</t>
  </si>
  <si>
    <t>Mariposa, La by Francisco Jimenez (1999-06-25)</t>
  </si>
  <si>
    <t>Unknown Author</t>
  </si>
  <si>
    <t>Author, Unknown</t>
  </si>
  <si>
    <t>Houghton Mifflin Juvenile Books</t>
  </si>
  <si>
    <t>4x4-picture-books-l</t>
  </si>
  <si>
    <t>4x4-picture-books-l (#37)</t>
  </si>
  <si>
    <t>[ Algun Dia (Spanish) ] By McGhee, Alison ( Author ) [ 2007 ) [ Hardcover ]</t>
  </si>
  <si>
    <t>Serres</t>
  </si>
  <si>
    <t>Jag's New Friend by LeAnn Rimes (2004-09-27)</t>
  </si>
  <si>
    <t>Dutton Juvenile</t>
  </si>
  <si>
    <t>to-read, 5x5-picture-books-a</t>
  </si>
  <si>
    <t>to-read (#40), 5x5-picture-books-a (#46)</t>
  </si>
  <si>
    <t>The Amelia Bedelia treasury by Parish, Peggy (1998) Hardcover</t>
  </si>
  <si>
    <t>leveled-readers-2</t>
  </si>
  <si>
    <t>leveled-readers-2 (#58)</t>
  </si>
  <si>
    <t>Scholastic Reader Level 1: Polar Animals by Wade Cooper(1999-11-18)</t>
  </si>
  <si>
    <t>Cartwheel Books</t>
  </si>
  <si>
    <t>white-bookshelf-i</t>
  </si>
  <si>
    <t>white-bookshelf-i (#14)</t>
  </si>
  <si>
    <t>Fly, Butterfly, Fly!/Vuela Mariposa, Vuela! (Bookworms) by Dana Meachen Rau (2007-09-01)</t>
  </si>
  <si>
    <t>Cavendish Square Publishing</t>
  </si>
  <si>
    <t>Library Binding</t>
  </si>
  <si>
    <t>to-read, 1-x-4_spanish-picture-books_a</t>
  </si>
  <si>
    <t>to-read (#205), 1-x-4_spanish-picture-books_a (#58)</t>
  </si>
  <si>
    <t>Chick-fil-a Amazing Animals Book - Tigers</t>
  </si>
  <si>
    <t>Chick-fil-a</t>
  </si>
  <si>
    <t>5x5-picture-books-e</t>
  </si>
  <si>
    <t>5x5-picture-books-e (#62)</t>
  </si>
  <si>
    <t>Quien esta ahi, Pequeqo Hoo?/ Who's there, Little Hoo? (Bilingual English Spanish Edition) by Brenda Ponnay (2015-02-18)</t>
  </si>
  <si>
    <t>Xist Publishing</t>
  </si>
  <si>
    <t>4x4-picture-books-h (#10)</t>
  </si>
  <si>
    <t>Mis Primeros Cuentos - Serie Verde: Cenicienta - Book &amp; CD (Spanish Edition)</t>
  </si>
  <si>
    <t>ELI s.r.l.</t>
  </si>
  <si>
    <t>4x4-picture-books-g (#29)</t>
  </si>
  <si>
    <t>Young CAM Jansen And The Missing Cookie</t>
  </si>
  <si>
    <t>leveled-readers-2 (#18)</t>
  </si>
  <si>
    <t>La Casa Adormecida (Spanish Edition) [Hardcover] [1995] (Author) Audrey Wood, Don Wood, F. Isabel Campoy</t>
  </si>
  <si>
    <t>Perfection Learning</t>
  </si>
  <si>
    <t>Unknown Binding</t>
  </si>
  <si>
    <t>1-x-4_spanish-picture-books_a</t>
  </si>
  <si>
    <t>1-x-4_spanish-picture-books_a (#11)</t>
  </si>
  <si>
    <t>The Family Book by Todd Parr(2018-03-08)</t>
  </si>
  <si>
    <t>Little, Brown Books for Young Readers</t>
  </si>
  <si>
    <t>4x4-picture-books-m</t>
  </si>
  <si>
    <t>4x4-picture-books-m (#10)</t>
  </si>
  <si>
    <t>Usborne Box Set of 3 ; Understanding Your Brain, Muscles &amp; Bones, Senses</t>
  </si>
  <si>
    <t>4x4-picture-books-c</t>
  </si>
  <si>
    <t>4x4-picture-books-c (#15)</t>
  </si>
  <si>
    <t>El Muñeco de Jengibre</t>
  </si>
  <si>
    <t>Jim Aylesworth</t>
  </si>
  <si>
    <t>Aylesworth, Jim</t>
  </si>
  <si>
    <t>Barbara McClintock, Susana Pasternac</t>
  </si>
  <si>
    <t>4x4-picture-books-g (#72)</t>
  </si>
  <si>
    <t>Hogar En El Aire</t>
  </si>
  <si>
    <t>Jeannie Baker</t>
  </si>
  <si>
    <t>Baker, Jeannie</t>
  </si>
  <si>
    <t>4x4-picture-books-g (#7)</t>
  </si>
  <si>
    <t>By Jenifer W. Day - What Is an Insect? (Golden Look-Look Book) (1987-03-16) [Paperback]</t>
  </si>
  <si>
    <t>Dorothea "Dot" Barlowe</t>
  </si>
  <si>
    <t>Barlowe, Dorothea "Dot"</t>
  </si>
  <si>
    <t>Golden Pr</t>
  </si>
  <si>
    <t>backpacks_insects</t>
  </si>
  <si>
    <t>backpacks_insects (#6)</t>
  </si>
  <si>
    <t>Tus Huesos</t>
  </si>
  <si>
    <t>Bob Barner</t>
  </si>
  <si>
    <t>Barner, Bob</t>
  </si>
  <si>
    <t>4x4-picture-books-c (#31)</t>
  </si>
  <si>
    <t>Tiburon vs. Tren</t>
  </si>
  <si>
    <t>Chris  Barton</t>
  </si>
  <si>
    <t>Barton, Chris</t>
  </si>
  <si>
    <t>Scolastic</t>
  </si>
  <si>
    <t>4x4-picture-books-g (#74)</t>
  </si>
  <si>
    <t>Animalia by Base, Graeme(September 20, 1993) Hardcover</t>
  </si>
  <si>
    <t>Graeme Base</t>
  </si>
  <si>
    <t>Base, Graeme</t>
  </si>
  <si>
    <t>Harry N. Abrams</t>
  </si>
  <si>
    <t>white-bookshelf-m, to-read, 5x5-picture-books-d</t>
  </si>
  <si>
    <t>white-bookshelf-m (#23), to-read (#103), 5x5-picture-books-d (#22)</t>
  </si>
  <si>
    <t>Your Heart</t>
  </si>
  <si>
    <t>Melvin A. Berger</t>
  </si>
  <si>
    <t>Berger, Melvin A.</t>
  </si>
  <si>
    <t>Gilda Berger</t>
  </si>
  <si>
    <t>5x5-picture-books-e (#79)</t>
  </si>
  <si>
    <t>Happy Birthday, Thomas! (Step-Into-Reading, Step 2)</t>
  </si>
  <si>
    <t>Thomas! (Thomas &amp; Friends) HAPPY BIRTHDAY Happy Birthday</t>
  </si>
  <si>
    <t>Birthday, Thomas! (Thomas &amp; Friends) HAPPY BIRTHDAY Happy</t>
  </si>
  <si>
    <t>Random House Books for Young Readers</t>
  </si>
  <si>
    <t>leveled-readers-2 (#15)</t>
  </si>
  <si>
    <t>The Bad Guys Series (6-10) Collection 5 Books Set By Aaron Blabey (Alien Vs Bad Guys, The Bad Guys In Do-you-think-he-saurus, Superbad Plus Trading Cards, The Bad Guys In The Big Bad Wolf, The Baddest Day Ever)</t>
  </si>
  <si>
    <t>Aaron Blabey</t>
  </si>
  <si>
    <t>Blabey, Aaron</t>
  </si>
  <si>
    <t>closet_graphic-novels</t>
  </si>
  <si>
    <t>closet_graphic-novels (#23)</t>
  </si>
  <si>
    <t>DIA DE MINKI (APRENDIENDO PALABRAS)</t>
  </si>
  <si>
    <t>Wendy Body</t>
  </si>
  <si>
    <t>Body, Wendy</t>
  </si>
  <si>
    <t>Texto Editores</t>
  </si>
  <si>
    <t>to-read, picture-books</t>
  </si>
  <si>
    <t>to-read (#3), picture-books (#12)</t>
  </si>
  <si>
    <t>La Difunta Familia Diaz</t>
  </si>
  <si>
    <t>P.J. Bracegirdle</t>
  </si>
  <si>
    <t>Bracegirdle, P.J.</t>
  </si>
  <si>
    <t>Poly Bernatene</t>
  </si>
  <si>
    <t>Scholastic en espanol</t>
  </si>
  <si>
    <t>4x4-picture-books-g (#8)</t>
  </si>
  <si>
    <t>Flat Stanley: Ready for Adventure</t>
  </si>
  <si>
    <t>Jeff Brown</t>
  </si>
  <si>
    <t>Brown, Jeff</t>
  </si>
  <si>
    <t>Kate Egan, Macky Pamintuan</t>
  </si>
  <si>
    <t>Scholastic, Inc.</t>
  </si>
  <si>
    <t>4-x-4-early-elem-chapter-books_d</t>
  </si>
  <si>
    <t>4-x-4-early-elem-chapter-books_d (#5)</t>
  </si>
  <si>
    <t>Race to the Rescue: The Flights of Marceau by Joe Brown (2009-01-01)</t>
  </si>
  <si>
    <t>Joe Brown</t>
  </si>
  <si>
    <t>Brown, Joe</t>
  </si>
  <si>
    <t>Scholastic Inc. (2009-01-01)</t>
  </si>
  <si>
    <t>4x4-picture-books-e (#14)</t>
  </si>
  <si>
    <t>La fiesta de Arturo</t>
  </si>
  <si>
    <t>Marc Brown</t>
  </si>
  <si>
    <t>Brown, Marc</t>
  </si>
  <si>
    <t>Esther Sarfatti</t>
  </si>
  <si>
    <t>Lectorum Pubns</t>
  </si>
  <si>
    <t>1-x-4_spanish-picture-books_a (#12)</t>
  </si>
  <si>
    <t>Pinduli - 2004 publication.</t>
  </si>
  <si>
    <t>Janl Canon</t>
  </si>
  <si>
    <t>Canon, Janl</t>
  </si>
  <si>
    <t>Harcourt Childrrn`s Books,2004</t>
  </si>
  <si>
    <t>1-x-4_spanish-picture-books_a (#9)</t>
  </si>
  <si>
    <t>Mi papa y yo (Cuentos foneticos #3)</t>
  </si>
  <si>
    <t>Jesus Cervantes</t>
  </si>
  <si>
    <t>Cervantes, Jesus</t>
  </si>
  <si>
    <t>Carlos E. Bernales</t>
  </si>
  <si>
    <t>foneticos (#4)</t>
  </si>
  <si>
    <t>Glad Fish, Sad Fish (Talk-to-Me Phonics Reader, Blue Set)</t>
  </si>
  <si>
    <t>Liza Charlesworth</t>
  </si>
  <si>
    <t>Charlesworth, Liza</t>
  </si>
  <si>
    <t>Gene Barretta</t>
  </si>
  <si>
    <t>leveled-readers_my-first-reading (#55)</t>
  </si>
  <si>
    <t>There Was an Old Lady Who Swallowed a Chick!</t>
  </si>
  <si>
    <t>Lucille Colandro</t>
  </si>
  <si>
    <t>Colandro, Lucille</t>
  </si>
  <si>
    <t>Jared Lee, Skip Hinnant</t>
  </si>
  <si>
    <t>4x4-picture-books-f</t>
  </si>
  <si>
    <t>4x4-picture-books-f (#18)</t>
  </si>
  <si>
    <t>Houghton Mifflin Reading Leveled Readers: LV 1.10.2 Above LV 6pkg Carla's Corner</t>
  </si>
  <si>
    <t>Houghton Mifflin Company</t>
  </si>
  <si>
    <t>Company, Houghton Mifflin</t>
  </si>
  <si>
    <t>Houghton Mifflin</t>
  </si>
  <si>
    <t>leveled-readers_my-first-reading (#43)</t>
  </si>
  <si>
    <t>Monkey See Monkey Do</t>
  </si>
  <si>
    <t>Barthe DeClements</t>
  </si>
  <si>
    <t>DeClements, Barthe</t>
  </si>
  <si>
    <t>Bantam Doubleday Dell Publishing Group</t>
  </si>
  <si>
    <t>leveled-readers_my-first-reading (#56)</t>
  </si>
  <si>
    <t>Flora &amp; Ulysses / The Tale of Despereaux / Because of Winn-Dixie</t>
  </si>
  <si>
    <t>Kate DiCamillo</t>
  </si>
  <si>
    <t>DiCamillo, Kate</t>
  </si>
  <si>
    <t>Walker Books</t>
  </si>
  <si>
    <t>5x5-middle-chapter-books_b, 5x5</t>
  </si>
  <si>
    <t>5x5-middle-chapter-books_b (#13), 5x5 (#7)</t>
  </si>
  <si>
    <t>La Ardilla / Squirrels (Spot Animales del patio)</t>
  </si>
  <si>
    <t>Wendy Strobel Dieker</t>
  </si>
  <si>
    <t>Dieker, Wendy Strobel</t>
  </si>
  <si>
    <t>Amicus</t>
  </si>
  <si>
    <t>to-read (#210), 1-x-4_spanish-picture-books_a (#63)</t>
  </si>
  <si>
    <t>The Winky Wonky Donky (Step to Reading)</t>
  </si>
  <si>
    <t>Stefanson M. Dominic</t>
  </si>
  <si>
    <t>Dominic, Stefanson M.</t>
  </si>
  <si>
    <t>Kindle Edition</t>
  </si>
  <si>
    <t>white-bookshelf-l</t>
  </si>
  <si>
    <t>white-bookshelf-l (#39)</t>
  </si>
  <si>
    <t>Gonzalo Higuain (Superestrellas del Futbol: Argentino) by Elizabeth Levy Sad (2013-01-06)</t>
  </si>
  <si>
    <t>Elizabeth Levy Sad;Esteban Eliaszevich</t>
  </si>
  <si>
    <t>Eliaszevich, Elizabeth Levy Sad;Esteban</t>
  </si>
  <si>
    <t>Mason Crest Publishers</t>
  </si>
  <si>
    <t>1-x-4-spanish-picture-books_b</t>
  </si>
  <si>
    <t>1-x-4-spanish-picture-books_b (#21)</t>
  </si>
  <si>
    <t>Owl Diaries #11: Trip To The Pumpkin Farm (A Branches Book))</t>
  </si>
  <si>
    <t>Rebecca Elliott</t>
  </si>
  <si>
    <t>Elliott, Rebecca</t>
  </si>
  <si>
    <t>4-x-4-early-elem-chapter-books_j</t>
  </si>
  <si>
    <t>4-x-4-early-elem-chapter-books_j (#33)</t>
  </si>
  <si>
    <t>Owl Diaries #4: Eva and the New Owl</t>
  </si>
  <si>
    <t>Branches (May 01,2016)</t>
  </si>
  <si>
    <t>4-x-4-early-elem-chapter-books_j (#39)</t>
  </si>
  <si>
    <t>Giggle, Giggle, Quack... and More Funny Favorites</t>
  </si>
  <si>
    <t>Giggle Giggle Quack &amp; More Funny Favorites</t>
  </si>
  <si>
    <t>Favorites, Giggle Giggle Quack &amp; More Funny</t>
  </si>
  <si>
    <t>Cinedigm - Uni Dist Corp</t>
  </si>
  <si>
    <t>leveled-readers-2 (#92)</t>
  </si>
  <si>
    <t>Thump, Thump, Rat-a-Tat-Tat</t>
  </si>
  <si>
    <t>foresman-scott</t>
  </si>
  <si>
    <t>foresman-scott, foresman-scott</t>
  </si>
  <si>
    <t>Harpercollins Childrens Books</t>
  </si>
  <si>
    <t>white-bookshelf-k, 5x5-picture-books-b</t>
  </si>
  <si>
    <t>white-bookshelf-k (#2), 5x5-picture-books-b (#47)</t>
  </si>
  <si>
    <t>Silly Street (I Can Read)</t>
  </si>
  <si>
    <t>Jeff Foxworthy</t>
  </si>
  <si>
    <t>Foxworthy, Jeff</t>
  </si>
  <si>
    <t>Scholastic Book Services</t>
  </si>
  <si>
    <t>leveled-readers-2 (#50)</t>
  </si>
  <si>
    <t>El Dia En Que Tu Naciste (Spanish Edition)</t>
  </si>
  <si>
    <t>Debra Frasier</t>
  </si>
  <si>
    <t>Frasier, Debra</t>
  </si>
  <si>
    <t>Demco Media</t>
  </si>
  <si>
    <t>1-x-4-spanish-picture-books_b (#23)</t>
  </si>
  <si>
    <t>Justice League Sticker Book Treasury</t>
  </si>
  <si>
    <t>Text by ValerieMclead and Emma Fucci</t>
  </si>
  <si>
    <t>Fucci, Text by ValerieMclead and Emma</t>
  </si>
  <si>
    <t>Phildal Publishing</t>
  </si>
  <si>
    <t>leveled-readers-2 (#75)</t>
  </si>
  <si>
    <t>The Unicorn Rescue Society 5 Books Set (Book 1 - 5)</t>
  </si>
  <si>
    <t>Adam Gidwitz</t>
  </si>
  <si>
    <t>Gidwitz, Adam</t>
  </si>
  <si>
    <t>generic</t>
  </si>
  <si>
    <t>5x5_middle_chapter_books_j</t>
  </si>
  <si>
    <t>5x5_middle_chapter_books_j (#9)</t>
  </si>
  <si>
    <t>My Weird School Daze 12-Book Box Set: Books 1-12 Box by Gutman, Dan (2013) Paperback</t>
  </si>
  <si>
    <t>Dan Gutman</t>
  </si>
  <si>
    <t>Gutman, Dan</t>
  </si>
  <si>
    <t>HarperCollins</t>
  </si>
  <si>
    <t>closet_3rd-4th-grade-chapter-books</t>
  </si>
  <si>
    <t>closet_3rd-4th-grade-chapter-books (#29)</t>
  </si>
  <si>
    <t>Rosita y Conchita</t>
  </si>
  <si>
    <t>Eric Gonzalez &amp; Erich Haeger</t>
  </si>
  <si>
    <t>Haeger, Eric Gonzalez &amp; Erich</t>
  </si>
  <si>
    <t>scholastic</t>
  </si>
  <si>
    <t>4x4-picture-books-g, 1-x-4_spanish-picture-books_a</t>
  </si>
  <si>
    <t>4x4-picture-books-g (#69), 1-x-4_spanish-picture-books_a (#15)</t>
  </si>
  <si>
    <t>Echo's New Pet (Dolphin School)</t>
  </si>
  <si>
    <t>Catherine Hapka</t>
  </si>
  <si>
    <t>Hapka, Catherine</t>
  </si>
  <si>
    <t>4-x4-early-elem-chapter-books_b</t>
  </si>
  <si>
    <t>4-x4-early-elem-chapter-books_b (#4)</t>
  </si>
  <si>
    <t>How Not to Babysit Your Brother (Step into Reading, Step 4)</t>
  </si>
  <si>
    <t>leveled-readers-4</t>
  </si>
  <si>
    <t>leveled-readers-4 (#1)</t>
  </si>
  <si>
    <t>En el juego: La vida de un atleta (In the Game: An Athlete's Life) (En El Juego / in the Game: Time for Kids Nonfiction Readers) (Spanish Edition) by Diana Herweck (2013) Perfect Paperback</t>
  </si>
  <si>
    <t>Diana Herweck</t>
  </si>
  <si>
    <t>Herweck, Diana</t>
  </si>
  <si>
    <t>Teacher Created Materials</t>
  </si>
  <si>
    <t>Perfect Paperback</t>
  </si>
  <si>
    <t>1-x-4-spanish-picture-books_b (#15)</t>
  </si>
  <si>
    <t>Stuck</t>
  </si>
  <si>
    <t>Oliver Jeffers</t>
  </si>
  <si>
    <t>Jeffers, Oliver</t>
  </si>
  <si>
    <t>HarperCollinsChildren'sBooks</t>
  </si>
  <si>
    <t>picture-books</t>
  </si>
  <si>
    <t>picture-books (#13)</t>
  </si>
  <si>
    <t>Look at US</t>
  </si>
  <si>
    <t>Linda Johns</t>
  </si>
  <si>
    <t>Johns, Linda</t>
  </si>
  <si>
    <t>scholasti</t>
  </si>
  <si>
    <t>white-bookshelf-l, 5x5-picture-books-c</t>
  </si>
  <si>
    <t>white-bookshelf-l (#28), 5x5-picture-books-c (#43)</t>
  </si>
  <si>
    <t>Pinkalicious: The Royal Tea Party (I Can Read Book 1)</t>
  </si>
  <si>
    <t>Victoria Kann</t>
  </si>
  <si>
    <t>Kann, Victoria</t>
  </si>
  <si>
    <t>Audiobook</t>
  </si>
  <si>
    <t>leveled-readers_1_sets</t>
  </si>
  <si>
    <t>leveled-readers_1_sets (#3)</t>
  </si>
  <si>
    <t>Diary of a Wimpy Kid: The Deep End (Book 15)</t>
  </si>
  <si>
    <t>Jeff Kinney</t>
  </si>
  <si>
    <t>Kinney, Jeff</t>
  </si>
  <si>
    <t>PENGUIN</t>
  </si>
  <si>
    <t>closet_graphic-novels, 4-x-4-early-elem-chapter-books_h</t>
  </si>
  <si>
    <t>closet_graphic-novels (#1), 4-x-4-early-elem-chapter-books_h (#3)</t>
  </si>
  <si>
    <t>Science Comics by Falynn Koch 10 book set (Plagues, Solar System, Cats, The Brain, Bats, Dogs, Robots and Drones, Dinosaurs, Wild Weather, Trees)</t>
  </si>
  <si>
    <t>Falynn Koch</t>
  </si>
  <si>
    <t>Koch, Falynn</t>
  </si>
  <si>
    <t>First Second</t>
  </si>
  <si>
    <t>4x4-picture-books-c (#44)</t>
  </si>
  <si>
    <t>Hide and Seek Puppy (Magic Window Book) ISBN: 4052020669 (2004) [Japanese Import]</t>
  </si>
  <si>
    <t>Kate Davies; Stewart Cowley; Yoshiko KoÌ„yama</t>
  </si>
  <si>
    <t>KoÌ„yama, Kate Davies; Stewart Cowley; Yoshiko</t>
  </si>
  <si>
    <t>ToÌ„kyoÌ„ : GakushuÌ„ KenkyuÌ„sha, 2004.</t>
  </si>
  <si>
    <t>Tankobon Hardcover</t>
  </si>
  <si>
    <t>picture-books (#17)</t>
  </si>
  <si>
    <t>Shipwreck (Island, #1)</t>
  </si>
  <si>
    <t>Gordon Korman</t>
  </si>
  <si>
    <t>Korman, Gordon</t>
  </si>
  <si>
    <t>Turtleback</t>
  </si>
  <si>
    <t>closet_late-elem_chapter-books (#11)</t>
  </si>
  <si>
    <t>Learn To Read with planet earth TREE FROGS (Learn To Read, Level 2 Book 1 r blends)</t>
  </si>
  <si>
    <t>Quinlan B. Lee</t>
  </si>
  <si>
    <t>Lee, Quinlan B.</t>
  </si>
  <si>
    <t>5x5-picture-books-e (#73)</t>
  </si>
  <si>
    <t>Learn to Read with Planet Earth: Humpback Whales Level 2 Book4</t>
  </si>
  <si>
    <t>5x5-picture-books-e (#72)</t>
  </si>
  <si>
    <t>The music of Disney</t>
  </si>
  <si>
    <t>Michael Leon</t>
  </si>
  <si>
    <t>Leon, Michael</t>
  </si>
  <si>
    <t>The Walt Disney Company</t>
  </si>
  <si>
    <t>5x5-picture-books-c</t>
  </si>
  <si>
    <t>5x5-picture-books-c (#41)</t>
  </si>
  <si>
    <t>Runaway Radish</t>
  </si>
  <si>
    <t>Janice Levy</t>
  </si>
  <si>
    <t>Levy, Janice</t>
  </si>
  <si>
    <t>Sydney Wright</t>
  </si>
  <si>
    <t>Raven Tree Press,Csi</t>
  </si>
  <si>
    <t>5x5-picture-books_k</t>
  </si>
  <si>
    <t>5x5-picture-books_k (#5)</t>
  </si>
  <si>
    <t>Frederick</t>
  </si>
  <si>
    <t>Leo Lionni</t>
  </si>
  <si>
    <t>Lionni, Leo</t>
  </si>
  <si>
    <t>picture-books, white-bookshelf-n, 5x5-picture-books_h</t>
  </si>
  <si>
    <t>picture-books (#8), white-bookshelf-n (#48), 5x5-picture-books_h (#17)</t>
  </si>
  <si>
    <t>My First Paint With Water - Animals</t>
  </si>
  <si>
    <t>Melissa &amp; Doug Llc</t>
  </si>
  <si>
    <t>Llc, Melissa &amp; Doug</t>
  </si>
  <si>
    <t>closet_coloring-and-sticker-books</t>
  </si>
  <si>
    <t>closet_coloring-and-sticker-books (#16)</t>
  </si>
  <si>
    <t>Mouse Tales (Turtleback School &amp; Library Binding Edition) (I Can Read! - Level 2)</t>
  </si>
  <si>
    <t>Arnold Lobel</t>
  </si>
  <si>
    <t>Lobel, Arnold</t>
  </si>
  <si>
    <t>leveled-readers-2 (#46)</t>
  </si>
  <si>
    <t>Cloud Dance by Locker Thomas (2003-04-01) Paperback</t>
  </si>
  <si>
    <t>Thomas Locker</t>
  </si>
  <si>
    <t>Locker, Thomas</t>
  </si>
  <si>
    <t>HMH Books for Young Readers</t>
  </si>
  <si>
    <t>white-bookshelf-l (#14), 5x5-picture-books-c (#54)</t>
  </si>
  <si>
    <t>Un Lazo a la Luna/Moon Rope( Una Leyenda Peruana/A Peruvian Folktale)[SPA-LAZO A LA LUNA/MOON ROPE][Spanish Edition][Paperback]</t>
  </si>
  <si>
    <t>LoisEhlert</t>
  </si>
  <si>
    <t>LoisEhlert, LoisEhlert</t>
  </si>
  <si>
    <t>VoyagerPaperbacks</t>
  </si>
  <si>
    <t>1-x-4_spanish-picture-books_a (#1)</t>
  </si>
  <si>
    <t>Flip by David Lubar (2015-03-03)</t>
  </si>
  <si>
    <t>David Lubar</t>
  </si>
  <si>
    <t>Lubar, David</t>
  </si>
  <si>
    <t>Starscape</t>
  </si>
  <si>
    <t>Mass Market Paperback</t>
  </si>
  <si>
    <t>closet_late-elem_chapter-books (#22)</t>
  </si>
  <si>
    <t>Dinosailors - Dino Sailors, After Spending Time Sailing, Some Seasick Dinosaurs Decide They Have Had Enough of the High Seas - A Dinosaur Story in Rhyme - Paperback - First Voyager Books Edition, 1st Printing 2003</t>
  </si>
  <si>
    <t>by Deb Lund</t>
  </si>
  <si>
    <t>Lund, by Deb</t>
  </si>
  <si>
    <t>5x5-picture-books_n</t>
  </si>
  <si>
    <t>5x5-picture-books_n (#26)</t>
  </si>
  <si>
    <t>Postman Pete</t>
  </si>
  <si>
    <t>Val Marshall</t>
  </si>
  <si>
    <t>Marshall, Val</t>
  </si>
  <si>
    <t>MARJORY GARDEN</t>
  </si>
  <si>
    <t>MONDO</t>
  </si>
  <si>
    <t>5x5-picture-books-a, to-read</t>
  </si>
  <si>
    <t>5x5-picture-books-a (#22), to-read (#32)</t>
  </si>
  <si>
    <t>[ To the Rescue! BY Mayer, Mercer ( Author ) ] { Paperback } 2008</t>
  </si>
  <si>
    <t>Mercer Mayer</t>
  </si>
  <si>
    <t>Mayer, Mercer</t>
  </si>
  <si>
    <t>HarperTrophy 2008</t>
  </si>
  <si>
    <t>leveled-readers-2 (#9)</t>
  </si>
  <si>
    <t>Houghton Mifflin Reading Leveled Readers: LV 1.5.3 Above LV 6pkg the Surprise Snow</t>
  </si>
  <si>
    <t>Mifflin, Houghton</t>
  </si>
  <si>
    <t>leveled-readers_my-first-reading (#44)</t>
  </si>
  <si>
    <t>The Puppy Place, Where every Puppy Finds a Home, Princess</t>
  </si>
  <si>
    <t>Ellen Miles</t>
  </si>
  <si>
    <t>Miles, Ellen</t>
  </si>
  <si>
    <t>Scholatic</t>
  </si>
  <si>
    <t>closet_3rd-4th-grade-chapter-books (#47)</t>
  </si>
  <si>
    <t>The Complete Winnie the Pooh by A. A. Milne (9-Feb-1992) Paperback</t>
  </si>
  <si>
    <t>A.A. Milne</t>
  </si>
  <si>
    <t>Milne, A.A.</t>
  </si>
  <si>
    <t>Hamlyn young books; Reprint edition (9 Feb. 1992)</t>
  </si>
  <si>
    <t>4x4-picture-books-l (#12)</t>
  </si>
  <si>
    <t>Upside Down Magic 6: The Big Shrink</t>
  </si>
  <si>
    <t>Sarah Mlynowski</t>
  </si>
  <si>
    <t>Mlynowski, Sarah</t>
  </si>
  <si>
    <t>Lauren Myracle, Emily Jenkins</t>
  </si>
  <si>
    <t>closet_3rd-4th-grade-chapter-books, 4-x-4-early-elem-chapter-books_e</t>
  </si>
  <si>
    <t>closet_3rd-4th-grade-chapter-books (#70), 4-x-4-early-elem-chapter-books_e (#26)</t>
  </si>
  <si>
    <t>Baby Zebra Rescue (Tanglewood Animal Park)</t>
  </si>
  <si>
    <t>Tamsyn Murray</t>
  </si>
  <si>
    <t>Murray, Tamsyn</t>
  </si>
  <si>
    <t>Rosie Jones</t>
  </si>
  <si>
    <t>Oakhill Publishing Child (CD)</t>
  </si>
  <si>
    <t>Audio CD</t>
  </si>
  <si>
    <t>closet_3rd-4th-grade-chapter-books (#41)</t>
  </si>
  <si>
    <t>A Collection of Animal Tales</t>
  </si>
  <si>
    <t>N/A</t>
  </si>
  <si>
    <t>N/A, N/A</t>
  </si>
  <si>
    <t>Parragon Publishing</t>
  </si>
  <si>
    <t>4x4-picture-books-l (#9)</t>
  </si>
  <si>
    <t>Mermaids Felt Book</t>
  </si>
  <si>
    <t>Horizon Group USA</t>
  </si>
  <si>
    <t>4x4-picture-books-a</t>
  </si>
  <si>
    <t>4x4-picture-books-a (#23)</t>
  </si>
  <si>
    <t>Un balon con efecto/ A Special Effects Ball (Locos Por El Futbol/ Crazy About Soccer)</t>
  </si>
  <si>
    <t>Frauke Nahrgang</t>
  </si>
  <si>
    <t>Nahrgang, Frauke</t>
  </si>
  <si>
    <t>Luis Vives Editorial</t>
  </si>
  <si>
    <t>closet_middle-school-chapter-books</t>
  </si>
  <si>
    <t>closet_middle-school-chapter-books (#40)</t>
  </si>
  <si>
    <t>El Lobo Llama a la Puerta (Spanish Edition)</t>
  </si>
  <si>
    <t>nick-ward</t>
  </si>
  <si>
    <t>nick-ward, nick-ward</t>
  </si>
  <si>
    <t>4x4-picture-books-g (#55)</t>
  </si>
  <si>
    <t>Llego El Otono - Cuentos Foneticos de Scholastic #25</t>
  </si>
  <si>
    <t>Angel Nieto</t>
  </si>
  <si>
    <t>Nieto, Angel</t>
  </si>
  <si>
    <t>foneticos (#17)</t>
  </si>
  <si>
    <t>Lion Fables (Russian Edition)</t>
  </si>
  <si>
    <t>Lydia Buravova Jan Ormerod</t>
  </si>
  <si>
    <t>Ormerod, Lydia Buravova Jan</t>
  </si>
  <si>
    <t>Mantra Lingua</t>
  </si>
  <si>
    <t>4x4-picture-books-g (#17)</t>
  </si>
  <si>
    <t>Moonhorse</t>
  </si>
  <si>
    <t>Mary Pope Osborne</t>
  </si>
  <si>
    <t>Osborne, Mary Pope</t>
  </si>
  <si>
    <t>S.M. Saelig</t>
  </si>
  <si>
    <t>Bt Bound</t>
  </si>
  <si>
    <t>white-bookshelf-h, to-read, 5x5-picture-books-d</t>
  </si>
  <si>
    <t>white-bookshelf-h (#19), to-read (#106), 5x5-picture-books-d (#26)</t>
  </si>
  <si>
    <t>Niños de América (Spanish Edition)</t>
  </si>
  <si>
    <t>Francisca Palacios</t>
  </si>
  <si>
    <t>Palacios, Francisca</t>
  </si>
  <si>
    <t>Carmen Cardemil</t>
  </si>
  <si>
    <t>Editorial Amanuta</t>
  </si>
  <si>
    <t>4x4-picture-books-g (#4)</t>
  </si>
  <si>
    <t>Whale Vs. Giant Squid</t>
  </si>
  <si>
    <t>Jerry Pallotta</t>
  </si>
  <si>
    <t>Pallotta, Jerry</t>
  </si>
  <si>
    <t>Rob Bolster</t>
  </si>
  <si>
    <t>FoliumpX</t>
  </si>
  <si>
    <t>4-x-4-early-elem-chapter-books_a</t>
  </si>
  <si>
    <t>4-x-4-early-elem-chapter-books_a (#3)</t>
  </si>
  <si>
    <t>Amelia Bedelia Bakes Off (I Can Read Books: Level 2)</t>
  </si>
  <si>
    <t>Herman Parish</t>
  </si>
  <si>
    <t>Parish, Herman</t>
  </si>
  <si>
    <t>leveled-readers-2 (#59)</t>
  </si>
  <si>
    <t>Calling Doctor Amelia Bedelia (I Can Read Book 2)</t>
  </si>
  <si>
    <t>Lynn Sweat Herman Parish</t>
  </si>
  <si>
    <t>Parish, Lynn Sweat Herman</t>
  </si>
  <si>
    <t>leveled-readers-2 (#60)</t>
  </si>
  <si>
    <t>Coleccion Junie B. En Primer Grado, 4 Books: Junie B. En Primer Grado (Por Fin!); Junie B. En Primer Grado Pierde un Diente; Junie B. En Primer Grado Es la Jefa de la Cafeteria; Junie B. En Primer Grado Hace Trampas (ISBN: 043986982X)</t>
  </si>
  <si>
    <t>Barbara Park</t>
  </si>
  <si>
    <t>Park, Barbara</t>
  </si>
  <si>
    <t>Scholastic en Espanol</t>
  </si>
  <si>
    <t>4-x-4-early-elem-chapter-books_d (#14)</t>
  </si>
  <si>
    <t>The red carpet;: Story and pictures</t>
  </si>
  <si>
    <t>Rex Parkin</t>
  </si>
  <si>
    <t>Parkin, Rex</t>
  </si>
  <si>
    <t>MacMillan</t>
  </si>
  <si>
    <t>5x5-picture-books-b</t>
  </si>
  <si>
    <t>5x5-picture-books-b (#18)</t>
  </si>
  <si>
    <t>Coat of Many Colors/ El Abrigo de Muchos Colores. Imagination Library</t>
  </si>
  <si>
    <t>Dolly Parton</t>
  </si>
  <si>
    <t>Parton, Dolly</t>
  </si>
  <si>
    <t>Grosset &amp; Dunlap/ Penguin Random House</t>
  </si>
  <si>
    <t>4x4-picture-books-g (#64)</t>
  </si>
  <si>
    <t>Middle School Series Collection #1-3 (Middle School #1-3)</t>
  </si>
  <si>
    <t>James  Patterson</t>
  </si>
  <si>
    <t>Patterson, James</t>
  </si>
  <si>
    <t>Arrow</t>
  </si>
  <si>
    <t>5x5_middle_chapter_books_j (#14)</t>
  </si>
  <si>
    <t>Clementine by Sara Pennypacker (2009-03-01)</t>
  </si>
  <si>
    <t>Sara Pennypacker</t>
  </si>
  <si>
    <t>Pennypacker, Sara</t>
  </si>
  <si>
    <t>Hodder Children's Books</t>
  </si>
  <si>
    <t>closet_middle-school-chapter-books (#34)</t>
  </si>
  <si>
    <t>Candy Fairies: 5 Magic Hearts</t>
  </si>
  <si>
    <t>Helen Perelman</t>
  </si>
  <si>
    <t>Perelman, Helen</t>
  </si>
  <si>
    <t>Simon &amp; Schuster UK</t>
  </si>
  <si>
    <t>closet_3rd-4th-grade-chapter-books (#66)</t>
  </si>
  <si>
    <t>The Digging-est Dog. The Diggingest Dog.</t>
  </si>
  <si>
    <t>Al Perkins</t>
  </si>
  <si>
    <t>Perkins, Al</t>
  </si>
  <si>
    <t>Collins</t>
  </si>
  <si>
    <t>backpacks_dr-suess</t>
  </si>
  <si>
    <t>backpacks_dr-suess (#12)</t>
  </si>
  <si>
    <t>The Sun, the Wind, and the Rain</t>
  </si>
  <si>
    <t>Lisa Westberg Peters</t>
  </si>
  <si>
    <t>Peters, Lisa Westberg</t>
  </si>
  <si>
    <t>Ted Rand</t>
  </si>
  <si>
    <t>Henry Holt &amp; Co</t>
  </si>
  <si>
    <t>montclair-high-school-sets</t>
  </si>
  <si>
    <t>montclair-high-school-sets (#2)</t>
  </si>
  <si>
    <t>Dogman 4 Book set: Dog man Dog Man, Unleashed, A Tale of Two Kitties, Dog Man and Cat Kid (Dog Man, #1-4)</t>
  </si>
  <si>
    <t>Dav Pilkey</t>
  </si>
  <si>
    <t>Pilkey, Dav</t>
  </si>
  <si>
    <t>kore</t>
  </si>
  <si>
    <t>4-x-4-early-elem-chapter-books_k</t>
  </si>
  <si>
    <t>4-x-4-early-elem-chapter-books_k (#11)</t>
  </si>
  <si>
    <t>El Capitan Calzoncillos y el Terrorifico Retorno de Cacapipi (Spanish Edition) (Captain Underpants, #9)</t>
  </si>
  <si>
    <t>ScholasticenEspanol</t>
  </si>
  <si>
    <t>4-x-4-early-elem-chapter-books_f</t>
  </si>
  <si>
    <t>4-x-4-early-elem-chapter-books_f (#9)</t>
  </si>
  <si>
    <t>Baja, Gregorio, Baja - Cuentos Foneticos de Scholastic #32</t>
  </si>
  <si>
    <t>Carlos Ponce</t>
  </si>
  <si>
    <t>Ponce, Carlos</t>
  </si>
  <si>
    <t>foneticos (#1)</t>
  </si>
  <si>
    <t>Zany Tales: The Zaniest Word Game Ever.</t>
  </si>
  <si>
    <t>LLC Dalmatian Press</t>
  </si>
  <si>
    <t>Press, LLC Dalmatian</t>
  </si>
  <si>
    <t>Dalmatian Press, LLC</t>
  </si>
  <si>
    <t>mad-libs-word-games</t>
  </si>
  <si>
    <t>mad-libs-word-games (#1)</t>
  </si>
  <si>
    <t>Goofy Mad Libs by Price, Roger (1998) Paperback</t>
  </si>
  <si>
    <t>Roger Price</t>
  </si>
  <si>
    <t>Price, Roger</t>
  </si>
  <si>
    <t>Price Stern Sloan,US</t>
  </si>
  <si>
    <t>mad-libs-word-games (#5)</t>
  </si>
  <si>
    <t>My Little Pony Ultimate Paint Box Book to Color</t>
  </si>
  <si>
    <t>Bendon Publishing</t>
  </si>
  <si>
    <t>Publishing, Bendon</t>
  </si>
  <si>
    <t>Bendon, Inc.</t>
  </si>
  <si>
    <t>closet_coloring-and-sticker-books (#13)</t>
  </si>
  <si>
    <t>Mrs. Toggle and the Dinosaur</t>
  </si>
  <si>
    <t>Robin Pulver</t>
  </si>
  <si>
    <t>Pulver, Robin</t>
  </si>
  <si>
    <t>R.W. Alley</t>
  </si>
  <si>
    <t>white-bookshelf-n, to-read, 5x5-picture-books-e</t>
  </si>
  <si>
    <t>white-bookshelf-n (#36), to-read (#159), 5x5-picture-books-e (#32)</t>
  </si>
  <si>
    <t>¡Mira!: Un libro sobre la vista (Nuestro asombroso cuerpo: Los cinco sentidos)</t>
  </si>
  <si>
    <t>Dana Meachen Rau</t>
  </si>
  <si>
    <t>Rau, Dana Meachen</t>
  </si>
  <si>
    <t>Picture Window Books</t>
  </si>
  <si>
    <t>to-read (#221), 1-x-4_spanish-picture-books_a (#74)</t>
  </si>
  <si>
    <t>Owl at Home: kids bookshelf</t>
  </si>
  <si>
    <t>Shawn Reynolds</t>
  </si>
  <si>
    <t>Reynolds, Shawn</t>
  </si>
  <si>
    <t>leveled-readers-2 (#37)</t>
  </si>
  <si>
    <t>Look and Find: Zoos (Vietnamese Edition)</t>
  </si>
  <si>
    <t>Kirsteen Robson</t>
  </si>
  <si>
    <t>Robson, Kirsteen</t>
  </si>
  <si>
    <t>Dan Tri - Dong a</t>
  </si>
  <si>
    <t>4x4-picture-books-a (#19)</t>
  </si>
  <si>
    <t>Just One More / Solo Uno Más - Bilingual edition</t>
  </si>
  <si>
    <t>Jennifer Hansen Rolli</t>
  </si>
  <si>
    <t>Rolli, Jennifer Hansen</t>
  </si>
  <si>
    <t>FisicalBook</t>
  </si>
  <si>
    <t>4x4-picture-books-g (#63)</t>
  </si>
  <si>
    <t>Harry Potter and the Sorcerer's Stone (Harry Potter #1)</t>
  </si>
  <si>
    <t>J.K. Rowling</t>
  </si>
  <si>
    <t>Rowling, J.K.</t>
  </si>
  <si>
    <t>5, 5x5-middle-chapter-books_b, 5x5</t>
  </si>
  <si>
    <t>5 (#1), 5x5-middle-chapter-books_b (#9), 5x5 (#3)</t>
  </si>
  <si>
    <t>Daphne And Velma Ya Novel #1: The Vanishing Girl (Scooby-Doo!)</t>
  </si>
  <si>
    <t>Josephine Ruby</t>
  </si>
  <si>
    <t>Ruby, Josephine</t>
  </si>
  <si>
    <t>SCHOLASTIC INDIA PVT LTD</t>
  </si>
  <si>
    <t>high-school-chapter-books</t>
  </si>
  <si>
    <t>high-school-chapter-books (#43)</t>
  </si>
  <si>
    <t>Owly: The Way Home</t>
  </si>
  <si>
    <t>Andy Runton</t>
  </si>
  <si>
    <t>Runton, Andy</t>
  </si>
  <si>
    <t>Comic</t>
  </si>
  <si>
    <t>white-bookshelf-k, 4-x-4-early-elem-chapter-books_c</t>
  </si>
  <si>
    <t>white-bookshelf-k (#14), 4-x-4-early-elem-chapter-books_c (#17)</t>
  </si>
  <si>
    <t>Eres un abusador? (El Pequeno Mundo De Las Habilidades Sociales) by Williams Sam (2014-01-01) Paperback</t>
  </si>
  <si>
    <t>Williams SAM</t>
  </si>
  <si>
    <t>SAM, Williams</t>
  </si>
  <si>
    <t>to-read (#194), 1-x-4_spanish-picture-books_a (#46)</t>
  </si>
  <si>
    <t>El pinguino y la ciguena</t>
  </si>
  <si>
    <t>Martha Sastrias</t>
  </si>
  <si>
    <t>Sastrias, Martha</t>
  </si>
  <si>
    <t>Scholastic Inc</t>
  </si>
  <si>
    <t>foneticos (#15)</t>
  </si>
  <si>
    <t>TEHYA'S POLLUTION SOLUTION</t>
  </si>
  <si>
    <t>Museum of Science</t>
  </si>
  <si>
    <t>Science, Museum of</t>
  </si>
  <si>
    <t>closet_math-and-science</t>
  </si>
  <si>
    <t>closet_math-and-science (#7)</t>
  </si>
  <si>
    <t>Little Kids Can Trace</t>
  </si>
  <si>
    <t>Karen Sevaly</t>
  </si>
  <si>
    <t>Sevaly, Karen</t>
  </si>
  <si>
    <t>Teacher's Friend Publications</t>
  </si>
  <si>
    <t>closet_coloring-and-sticker-books (#17)</t>
  </si>
  <si>
    <t>I Survived the Destruction of Pompeii, AD 79: The Graphic Novel (I Survived Graphix #10)</t>
  </si>
  <si>
    <t>David Shephard</t>
  </si>
  <si>
    <t>Shephard, David</t>
  </si>
  <si>
    <t>Lauren Tarshis</t>
  </si>
  <si>
    <t>Graphix</t>
  </si>
  <si>
    <t>5x5-middle-chapter-books_c, 5x5</t>
  </si>
  <si>
    <t>5x5-middle-chapter-books_c (#2), 5x5 (#24)</t>
  </si>
  <si>
    <t>Who?</t>
  </si>
  <si>
    <t>Kathie Billingslea Smith</t>
  </si>
  <si>
    <t>Smith, Kathie Billingslea</t>
  </si>
  <si>
    <t>Robert S. Storms</t>
  </si>
  <si>
    <t>Discovery Toys</t>
  </si>
  <si>
    <t>4x4-picture-books-c (#18)</t>
  </si>
  <si>
    <t>Snakes (National Geographic Kids)</t>
  </si>
  <si>
    <t>National Geographic Society</t>
  </si>
  <si>
    <t>Society, National Geographic</t>
  </si>
  <si>
    <t>leveled-readers-2 (#45)</t>
  </si>
  <si>
    <t>[Finding Nemo Read-Along Storybook] [by: Disney Press]</t>
  </si>
  <si>
    <t>Andrew Stanton</t>
  </si>
  <si>
    <t>Stanton, Andrew</t>
  </si>
  <si>
    <t>x</t>
  </si>
  <si>
    <t>5x5-picture-books-a (#19), to-read (#35)</t>
  </si>
  <si>
    <t>Superman Versus Bizarro (I Can Read Books: Level 2) by Chris Strathearn (25-May-2010) Paperback</t>
  </si>
  <si>
    <t>Chris Strathearn</t>
  </si>
  <si>
    <t>Strathearn, Chris</t>
  </si>
  <si>
    <t>HarperTorch (25 May 2010)</t>
  </si>
  <si>
    <t>leveled-readers-2 (#29)</t>
  </si>
  <si>
    <t>The Little Red Hen Makes a Pizza (Picture Puffin Books) by Philemon Sturges (1-Nov-2002) Paperback</t>
  </si>
  <si>
    <t>Sturges</t>
  </si>
  <si>
    <t>Sturges, Sturges</t>
  </si>
  <si>
    <t>Puffin Books; Reprint edition (Nov. 2002)</t>
  </si>
  <si>
    <t>Paperback Bunko</t>
  </si>
  <si>
    <t>5x5-picture-books-b (#2)</t>
  </si>
  <si>
    <t>ROADWORK</t>
  </si>
  <si>
    <t>Sally Sutton</t>
  </si>
  <si>
    <t>Sutton, Sally</t>
  </si>
  <si>
    <t>Candlewick Press (MA)</t>
  </si>
  <si>
    <t>Roadworks</t>
  </si>
  <si>
    <t>backpacks_construction-vehicles</t>
  </si>
  <si>
    <t>backpacks_construction-vehicles (#1)</t>
  </si>
  <si>
    <t>Vamos de visita (Cuentos foneticos #12)</t>
  </si>
  <si>
    <t>Maria Grande Tabor</t>
  </si>
  <si>
    <t>Tabor, Maria Grande</t>
  </si>
  <si>
    <t>Tony Griego</t>
  </si>
  <si>
    <t>foneticos (#22)</t>
  </si>
  <si>
    <t>Pigsty[ PIGSTY ] by Teague, Mark (Author) Jun-01-04[ Paperback ]</t>
  </si>
  <si>
    <t>Mark Teague</t>
  </si>
  <si>
    <t>Teague, Mark</t>
  </si>
  <si>
    <t>white-bookshelf-i, 5x5-picture-books_h</t>
  </si>
  <si>
    <t>white-bookshelf-i (#12), 5x5-picture-books_h (#4)</t>
  </si>
  <si>
    <t>A Gift From Fadil</t>
  </si>
  <si>
    <t>Engineering is Elementary Team</t>
  </si>
  <si>
    <t>Team, Engineering is Elementary</t>
  </si>
  <si>
    <t>closet_math-and-science (#10)</t>
  </si>
  <si>
    <t>50 PRINCESS STORIES ~ TALES OF MAGIC ,LOVE, AND ADVENTURE</t>
  </si>
  <si>
    <t>Tig Thomas</t>
  </si>
  <si>
    <t>Thomas, Tig</t>
  </si>
  <si>
    <t>MILES KELLY</t>
  </si>
  <si>
    <t>4x4-picture-books-l (#13)</t>
  </si>
  <si>
    <t>[(I Can Read Amazing Tigers)] [Author: Sarah L Thomson] published on (December, 2005)</t>
  </si>
  <si>
    <t>Sarah L. Thomson</t>
  </si>
  <si>
    <t>Thomson, Sarah L.</t>
  </si>
  <si>
    <t>HarperCollins Publishers</t>
  </si>
  <si>
    <t>leveled-readers-2 (#47)</t>
  </si>
  <si>
    <t>Vamos a Dibujar</t>
  </si>
  <si>
    <t>Leyla Torres</t>
  </si>
  <si>
    <t>Torres, Leyla</t>
  </si>
  <si>
    <t>foneticos (#12)</t>
  </si>
  <si>
    <t>Terremoto (cuentos foneticos #15)</t>
  </si>
  <si>
    <t>Jamie  Smith</t>
  </si>
  <si>
    <t>foneticos (#9)</t>
  </si>
  <si>
    <t>Cenicienta Interesterlar (Interstellar Cinderella) (Spanish Edition)</t>
  </si>
  <si>
    <t>Deborah Underwood</t>
  </si>
  <si>
    <t>Underwood, Deborah</t>
  </si>
  <si>
    <t>Meg Hunt</t>
  </si>
  <si>
    <t>4x4-picture-books-g (#33)</t>
  </si>
  <si>
    <t>El Sombrero</t>
  </si>
  <si>
    <t>Tomi Ungerer</t>
  </si>
  <si>
    <t>Ungerer, Tomi</t>
  </si>
  <si>
    <t>Alfaguara</t>
  </si>
  <si>
    <t>white-bookshelf-g, 4-x-4-early-elem-chapter-books_a</t>
  </si>
  <si>
    <t>white-bookshelf-g (#9), 4-x-4-early-elem-chapter-books_a (#20)</t>
  </si>
  <si>
    <t>Gata va al rio (Cuetos foneticos #14)</t>
  </si>
  <si>
    <t>Graciela Vidal</t>
  </si>
  <si>
    <t>Vidal, Graciela</t>
  </si>
  <si>
    <t>Tre Lewis</t>
  </si>
  <si>
    <t>foneticos (#18)</t>
  </si>
  <si>
    <t>??Debo compartir mi helado? (Spanish Edition) (An Elephant and Piggie Book) by Mo Willems (2015-06-02)</t>
  </si>
  <si>
    <t>Mo Willems</t>
  </si>
  <si>
    <t>Willems, Mo</t>
  </si>
  <si>
    <t>Disney-Hyperion</t>
  </si>
  <si>
    <t>5x5-picture-books-f</t>
  </si>
  <si>
    <t>5x5-picture-books-f (#31)</t>
  </si>
  <si>
    <t>¡Un tipo grande se llevó mi pelota! (Spanish Edition) (An Elephant and Piggie Book) by Mo Willems (2015-11-03)</t>
  </si>
  <si>
    <t>Disney-Hyperion (2015-11-03)</t>
  </si>
  <si>
    <t>5x5-picture-books-f (#20)</t>
  </si>
  <si>
    <t>Nature Hide and Seek - Jungles</t>
  </si>
  <si>
    <t>John Norris Wood</t>
  </si>
  <si>
    <t>Wood, John Norris</t>
  </si>
  <si>
    <t>Kevin Dean</t>
  </si>
  <si>
    <t>Egmont Childrens Books</t>
  </si>
  <si>
    <t>4x4-picture-books-a (#20)</t>
  </si>
  <si>
    <t>Something Beautiful by Sharon Dennis Wyeth (September 08,1998)</t>
  </si>
  <si>
    <t>Sharon Dennis Wyeth</t>
  </si>
  <si>
    <t>Wyeth, Sharon Dennis</t>
  </si>
  <si>
    <t>Doubleday Books for Young Readers (September 08,1998)</t>
  </si>
  <si>
    <t>4x4-picture-books-k</t>
  </si>
  <si>
    <t>4x4-picture-books-k (#26)</t>
  </si>
  <si>
    <t>Sea horses (Scholastic time-to-discover readers)</t>
  </si>
  <si>
    <t>5x5-picture-books-e (#77)</t>
  </si>
  <si>
    <t>El autobus magico en el Cuerpo de Ralphie / The Magic School Bus Inside Ralphie (El autobus magico / The Magic School Bus) (Spanish and English Edition)</t>
  </si>
  <si>
    <t>Joanna Cole</t>
  </si>
  <si>
    <t>Cole, Joanna</t>
  </si>
  <si>
    <t>to-read (#185), 1-x-4_spanish-picture-books_a (#36)</t>
  </si>
  <si>
    <t>I Go with My Family to Grandma's</t>
  </si>
  <si>
    <t>Riki Levinson</t>
  </si>
  <si>
    <t>Levinson, Riki</t>
  </si>
  <si>
    <t>Puffin Books</t>
  </si>
  <si>
    <t>white-bookshelf-n, 5x5-picture-books-d</t>
  </si>
  <si>
    <t>white-bookshelf-n (#45), 5x5-picture-books-d (#54)</t>
  </si>
  <si>
    <t>Yagua Days</t>
  </si>
  <si>
    <t>Cruz Martel</t>
  </si>
  <si>
    <t>Martel, Cruz</t>
  </si>
  <si>
    <t>4x4-picture-books-h (#19)</t>
  </si>
  <si>
    <t>Monkey Business (First Little Readers: Level C)</t>
  </si>
  <si>
    <t>Scholastic Teaching Resources</t>
  </si>
  <si>
    <t>leveled-readers_1_sets (#73)</t>
  </si>
  <si>
    <t>This Little Piggy (First Little Readers: Level C)</t>
  </si>
  <si>
    <t>leveled-readers_1_sets (#70)</t>
  </si>
  <si>
    <t>Eight Arms Are Great (First Little Readers: Level C)</t>
  </si>
  <si>
    <t>leveled-readers_my-first-reading (#69)</t>
  </si>
  <si>
    <t>Clay Play (First Little Readers: Level C)</t>
  </si>
  <si>
    <t>leveled-readers_my-first-reading (#60)</t>
  </si>
  <si>
    <t>Funny Foods (First Little Readers: Level C)</t>
  </si>
  <si>
    <t>leveled-readers_my-first-reading (#59)</t>
  </si>
  <si>
    <t>The Teeny Tiny Man (First Little Readers: Level C)</t>
  </si>
  <si>
    <t>leveled-readers_my-first-reading (#58)</t>
  </si>
  <si>
    <t>Counting Bugs (First Little Readers: Level C)</t>
  </si>
  <si>
    <t>leveled-readers_my-first-reading (#57)</t>
  </si>
  <si>
    <t>Book of Silly</t>
  </si>
  <si>
    <t>Natalie Marshall</t>
  </si>
  <si>
    <t>Marshall, Natalie</t>
  </si>
  <si>
    <t>Five Mile Press</t>
  </si>
  <si>
    <t>Board book</t>
  </si>
  <si>
    <t>joke-books</t>
  </si>
  <si>
    <t>joke-books (#1)</t>
  </si>
  <si>
    <t>El patito Tito (Cuentos foneticos #5)</t>
  </si>
  <si>
    <t>Cecilia Avalos</t>
  </si>
  <si>
    <t>Avalos, Cecilia</t>
  </si>
  <si>
    <t>Valeria Petrone</t>
  </si>
  <si>
    <t>foneticos (#7)</t>
  </si>
  <si>
    <t>Little and Big (Sight Word Readers)</t>
  </si>
  <si>
    <t>Linda Ward Beech</t>
  </si>
  <si>
    <t>Beech, Linda Ward</t>
  </si>
  <si>
    <t>Tommy Lyon</t>
  </si>
  <si>
    <t>Teaching Resources</t>
  </si>
  <si>
    <t>leveled-readers_my-first-reading (#72)</t>
  </si>
  <si>
    <t>Three (Sight Word Readers)</t>
  </si>
  <si>
    <t>to-read, leveled-readers_1_sets</t>
  </si>
  <si>
    <t>to-read (#11), leveled-readers_1_sets (#72)</t>
  </si>
  <si>
    <t>Helpers (Sight Word Readers) (Sight Word Library)</t>
  </si>
  <si>
    <t>Bari Weisman</t>
  </si>
  <si>
    <t>leveled-readers_1_sets (#71)</t>
  </si>
  <si>
    <t>Farm Friends (Sight Word Library)</t>
  </si>
  <si>
    <t>leveled-readers_my-first-reading (#71)</t>
  </si>
  <si>
    <t>This Is a Peach (Sight Word Readers) (Sight Word Library)</t>
  </si>
  <si>
    <t>leveled-readers_my-first-reading (#63)</t>
  </si>
  <si>
    <t>Go, Go (Sight Word Readers)</t>
  </si>
  <si>
    <t>Cheryl A. Nobens</t>
  </si>
  <si>
    <t>leveled-readers_my-first-reading (#62)</t>
  </si>
  <si>
    <t>Ride On! (sight Word Readers)</t>
  </si>
  <si>
    <t>leveled-readers_my-first-reading (#61)</t>
  </si>
  <si>
    <t>That Is Funny! (Sight Word Readers)</t>
  </si>
  <si>
    <t>leveled-readers_my-first-reading (#45)</t>
  </si>
  <si>
    <t>Here Is the Rain</t>
  </si>
  <si>
    <t>Scottie Davis</t>
  </si>
  <si>
    <t>Davis, Scottie</t>
  </si>
  <si>
    <t>leveled-readers_my-first-reading (#68)</t>
  </si>
  <si>
    <t>Who Is Hiding in the Snow?</t>
  </si>
  <si>
    <t>Violet Findley</t>
  </si>
  <si>
    <t>Findley, Violet</t>
  </si>
  <si>
    <t>Scholastic Inc.</t>
  </si>
  <si>
    <t>leveled-readers_my-first-reading (#54)</t>
  </si>
  <si>
    <t>Fruit Salad</t>
  </si>
  <si>
    <t>Jephson Gibbs</t>
  </si>
  <si>
    <t>Gibbs, Jephson</t>
  </si>
  <si>
    <t>Seth Adams</t>
  </si>
  <si>
    <t>5x5-picture-books-b (#19)</t>
  </si>
  <si>
    <t>Animal Stars (Guided Science Readers)</t>
  </si>
  <si>
    <t>Timothy LeRoy</t>
  </si>
  <si>
    <t>LeRoy, Timothy</t>
  </si>
  <si>
    <t>leveled-readers_my-first-reading (#53)</t>
  </si>
  <si>
    <t>Spring Colors</t>
  </si>
  <si>
    <t>Trudy McCord</t>
  </si>
  <si>
    <t>McCord, Trudy</t>
  </si>
  <si>
    <t>leveled-readers_my-first-reading (#51)</t>
  </si>
  <si>
    <t>Animal Tracks</t>
  </si>
  <si>
    <t>Richard Parker</t>
  </si>
  <si>
    <t>Parker, Richard</t>
  </si>
  <si>
    <t>to-read, 5x5-picture-books-e</t>
  </si>
  <si>
    <t>to-read (#168), 5x5-picture-books-e (#40)</t>
  </si>
  <si>
    <t>Harcourt Social Studies: On-Level Reader Social Studies 2007 Grade 2 Diff..Deserts</t>
  </si>
  <si>
    <t>Harcourt School Publishers</t>
  </si>
  <si>
    <t>Publishers, Harcourt School</t>
  </si>
  <si>
    <t>HARCOURT SCHOOL PUBLISHERS</t>
  </si>
  <si>
    <t>travel</t>
  </si>
  <si>
    <t>travel (#8)</t>
  </si>
  <si>
    <t>Namaki and the Giant</t>
  </si>
  <si>
    <t>Ellie Beykzadeh</t>
  </si>
  <si>
    <t>Beykzadeh, Ellie</t>
  </si>
  <si>
    <t>Mehri Publication</t>
  </si>
  <si>
    <t>white-bookshelf-n (#22), to-read (#154), 5x5-picture-books-e (#27)</t>
  </si>
  <si>
    <t>The Lion Guard Kion's Animal Alphabet</t>
  </si>
  <si>
    <t>Walt Disney Company</t>
  </si>
  <si>
    <t>Company, Walt Disney</t>
  </si>
  <si>
    <t>Disney Press</t>
  </si>
  <si>
    <t>white-bookshelf-g</t>
  </si>
  <si>
    <t>white-bookshelf-g (#27)</t>
  </si>
  <si>
    <t>Las Navidades Popular Xmas Songs Latin America (pb): Popular Christmas Songs From Latin America - Book (A Blue Ribbon Book)</t>
  </si>
  <si>
    <t>Lulu Delacre</t>
  </si>
  <si>
    <t>Delacre, Lulu</t>
  </si>
  <si>
    <t>Scholastic Press</t>
  </si>
  <si>
    <t>4x4-picture-books-e (#45)</t>
  </si>
  <si>
    <t>Halloween Jack (Funny Faces)</t>
  </si>
  <si>
    <t>Roger Priddy</t>
  </si>
  <si>
    <t>Priddy, Roger</t>
  </si>
  <si>
    <t>Priddy Books US</t>
  </si>
  <si>
    <t>closet-black-bin-holiday</t>
  </si>
  <si>
    <t>closet-black-bin-holiday (#57)</t>
  </si>
  <si>
    <t>Haunted House (Pop-Up): A Seriously Spooky Pop-Up Book (Priddy Pop-Up)</t>
  </si>
  <si>
    <t>closet-black-bin-holiday (#52)</t>
  </si>
  <si>
    <t>Usborne Busy Train Book</t>
  </si>
  <si>
    <t>Fiona Watt</t>
  </si>
  <si>
    <t>Watt, Fiona</t>
  </si>
  <si>
    <t>Usborne</t>
  </si>
  <si>
    <t>4x4-picture-books-a (#28)</t>
  </si>
  <si>
    <t>American Money</t>
  </si>
  <si>
    <t>Bruce Larkin</t>
  </si>
  <si>
    <t>Larkin, Bruce</t>
  </si>
  <si>
    <t>Wilbooks</t>
  </si>
  <si>
    <t>closet_math-and-science (#16)</t>
  </si>
  <si>
    <t>Disney Princess Belle, Mulan, Cinderella, Rapunzel, and More! - I'm Ready to Read Princess Friends Sound Book</t>
  </si>
  <si>
    <t>Kathy Broderick</t>
  </si>
  <si>
    <t>Broderick, Kathy</t>
  </si>
  <si>
    <t>PI Kids</t>
  </si>
  <si>
    <t>white-bookshelf-l (#36)</t>
  </si>
  <si>
    <t>El Flautista de Hamelin</t>
  </si>
  <si>
    <t>Popular Cuento</t>
  </si>
  <si>
    <t>Cuento, Popular</t>
  </si>
  <si>
    <t>Grupo Editorial Norma</t>
  </si>
  <si>
    <t>white-bookshelf-o (#19)</t>
  </si>
  <si>
    <t>New Homes For Our Little Friends</t>
  </si>
  <si>
    <t>Marie Fordacq</t>
  </si>
  <si>
    <t>Fordacq, Marie</t>
  </si>
  <si>
    <t>Peggy Nille</t>
  </si>
  <si>
    <t>Twirl</t>
  </si>
  <si>
    <t>Novelty Book</t>
  </si>
  <si>
    <t>currently-reading, 4x4-picture-books-a</t>
  </si>
  <si>
    <t>currently-reading (#3), 4x4-picture-books-a (#29)</t>
  </si>
  <si>
    <t>Beep Beep Robot! A Spinning Gears Book</t>
  </si>
  <si>
    <t>Inc., Scholastic</t>
  </si>
  <si>
    <t>4x4-picture-books-b</t>
  </si>
  <si>
    <t>4x4-picture-books-b (#5)</t>
  </si>
  <si>
    <t>Leaping Leapfrogs (Button Books)</t>
  </si>
  <si>
    <t>Wendy McLean</t>
  </si>
  <si>
    <t>McLean, Wendy</t>
  </si>
  <si>
    <t>Book Company Intl</t>
  </si>
  <si>
    <t>4x4-picture-books-e (#19)</t>
  </si>
  <si>
    <t>Fancy Nancy: Brilliant Stars</t>
  </si>
  <si>
    <t>Jane O'Connor</t>
  </si>
  <si>
    <t>O'Connor, Jane</t>
  </si>
  <si>
    <t>leveled-readers_my-first-reading (#49)</t>
  </si>
  <si>
    <t>Gallop</t>
  </si>
  <si>
    <t>Rufus Butler Seder</t>
  </si>
  <si>
    <t>Seder, Rufus Butler</t>
  </si>
  <si>
    <t>Workman Publishing Company</t>
  </si>
  <si>
    <t>4x4-picture-books-b (#13)</t>
  </si>
  <si>
    <t>Look Inside Your Body</t>
  </si>
  <si>
    <t>Louie Stowell</t>
  </si>
  <si>
    <t>Stowell, Louie</t>
  </si>
  <si>
    <t>Kate Leake, Usborne Publishing</t>
  </si>
  <si>
    <t>Usborne Pub Ltd</t>
  </si>
  <si>
    <t>4x4-picture-books-l (#19)</t>
  </si>
  <si>
    <t>Osito polar, El (SP: Little Polar B</t>
  </si>
  <si>
    <t>Hans de Beer</t>
  </si>
  <si>
    <t>Beer, Hans de</t>
  </si>
  <si>
    <t>North-South / Night Sky Books</t>
  </si>
  <si>
    <t>4x4-picture-books-g (#70)</t>
  </si>
  <si>
    <t>Frogs Live on Logs (Scholastic Time-to-Discover Readers)</t>
  </si>
  <si>
    <t>5x5-picture-books-e (#81)</t>
  </si>
  <si>
    <t>Look Inside Our World</t>
  </si>
  <si>
    <t>Emily Bone</t>
  </si>
  <si>
    <t>Bone, Emily</t>
  </si>
  <si>
    <t>Marianna Oklejak</t>
  </si>
  <si>
    <t>Usborne Publishing Ltd</t>
  </si>
  <si>
    <t>4x4-picture-books-a (#26)</t>
  </si>
  <si>
    <t>Un acuario estupendo</t>
  </si>
  <si>
    <t>Clarita Kohen</t>
  </si>
  <si>
    <t>Kohen, Clarita</t>
  </si>
  <si>
    <t>Abby Carter</t>
  </si>
  <si>
    <t>foneticos (#19)</t>
  </si>
  <si>
    <t>The Usborne Big Book of Big Machines</t>
  </si>
  <si>
    <t>Minna Lacey</t>
  </si>
  <si>
    <t>Lacey, Minna</t>
  </si>
  <si>
    <t>Jenny Tyler, Jane Chisholm, Gabriele Antonini</t>
  </si>
  <si>
    <t>4x4-picture-books-a (#18)</t>
  </si>
  <si>
    <t>Under the Hood</t>
  </si>
  <si>
    <t>Christophe Merlin</t>
  </si>
  <si>
    <t>Merlin, Christophe</t>
  </si>
  <si>
    <t>Candlewick Press</t>
  </si>
  <si>
    <t>4x4-picture-books-b (#4)</t>
  </si>
  <si>
    <t>El tesoro del tiburón</t>
  </si>
  <si>
    <t>Nyno Vargas</t>
  </si>
  <si>
    <t>Vargas, Nyno</t>
  </si>
  <si>
    <t>foneticos (#10)</t>
  </si>
  <si>
    <t>Baby pig at school (Scholastic phonics readers)</t>
  </si>
  <si>
    <t>leveled-readers_my-first-reading (#66)</t>
  </si>
  <si>
    <t>la zorra y las cerezas</t>
  </si>
  <si>
    <t>foneticos (#14)</t>
  </si>
  <si>
    <t>The hungry toad (Scholastic phonics readers)</t>
  </si>
  <si>
    <t>Janelle Cherrington</t>
  </si>
  <si>
    <t>Cherrington, Janelle</t>
  </si>
  <si>
    <t>leveled-readers_my-first-reading (#64)</t>
  </si>
  <si>
    <t>Paws and claws (Scholastic phonics readers)</t>
  </si>
  <si>
    <t>leveled-readers_my-first-reading, leveled-readers_1_sets</t>
  </si>
  <si>
    <t>leveled-readers_my-first-reading (#73), leveled-readers_1_sets (#74)</t>
  </si>
  <si>
    <t>See Inside Castles (Usborne Flap Book)</t>
  </si>
  <si>
    <t>Katie Daynes</t>
  </si>
  <si>
    <t>Daynes, Katie</t>
  </si>
  <si>
    <t>David Hancock</t>
  </si>
  <si>
    <t>4x4-picture-books-a (#22)</t>
  </si>
  <si>
    <t>Small Animals with Big Names (Scholastic Phonics Readers, No. 53)</t>
  </si>
  <si>
    <t>Nancy Hechinger</t>
  </si>
  <si>
    <t>Hechinger, Nancy</t>
  </si>
  <si>
    <t>leveled-readers_my-first-reading (#47)</t>
  </si>
  <si>
    <t>Bo's bows (Scholastic phonics readers)</t>
  </si>
  <si>
    <t>Carol Katzman</t>
  </si>
  <si>
    <t>Katzman, Carol</t>
  </si>
  <si>
    <t>leveled-readers_my-first-reading (#67)</t>
  </si>
  <si>
    <t>¡Se perdió Clorinda!</t>
  </si>
  <si>
    <t>foneticos (#20)</t>
  </si>
  <si>
    <t>Smoke Zone Lego City</t>
  </si>
  <si>
    <t>lego-city-phonics</t>
  </si>
  <si>
    <t>lego-city-phonics (#5)</t>
  </si>
  <si>
    <t>Lego City Get To Work</t>
  </si>
  <si>
    <t>Scholastic, Inc</t>
  </si>
  <si>
    <t>lego-city-phonics (#4)</t>
  </si>
  <si>
    <t>Deep In The Swamp Lego City</t>
  </si>
  <si>
    <t>to-read, lego-city-phonics</t>
  </si>
  <si>
    <t>to-read (#9), lego-city-phonics (#3)</t>
  </si>
  <si>
    <t>Stuck In The Mud Lego City</t>
  </si>
  <si>
    <t>lego-city-phonics (#2)</t>
  </si>
  <si>
    <t>As Fast As You Can Lego City</t>
  </si>
  <si>
    <t>lego-city-phonics (#1)</t>
  </si>
  <si>
    <t>Just Helping My Dad</t>
  </si>
  <si>
    <t>Emma Rice</t>
  </si>
  <si>
    <t>Rice, Emma</t>
  </si>
  <si>
    <t>leveled-readers_my-first-reading (#26)</t>
  </si>
  <si>
    <t>el parque helado</t>
  </si>
  <si>
    <t>foneticos (#16)</t>
  </si>
  <si>
    <t>Yacare, Cocuyo y yegua</t>
  </si>
  <si>
    <t>foneticos (#13)</t>
  </si>
  <si>
    <t>Goat's book (Scholastic phonics readers)</t>
  </si>
  <si>
    <t>John Shefelbine</t>
  </si>
  <si>
    <t>Shefelbine, John</t>
  </si>
  <si>
    <t>leveled-readers_my-first-reading (#65)</t>
  </si>
  <si>
    <t>El Cumpleanos de Pablo - Cuentos Foneticos de Scholastic #32</t>
  </si>
  <si>
    <t>Guillermo Solano</t>
  </si>
  <si>
    <t>Solano, Guillermo</t>
  </si>
  <si>
    <t>foneticos (#21)</t>
  </si>
  <si>
    <t>Mouse Soup by Arnold Lobel, Teacher's Guide (Passports)</t>
  </si>
  <si>
    <t>Harcourt Brace &amp; Company</t>
  </si>
  <si>
    <t>leveled-readers-2 (#44)</t>
  </si>
  <si>
    <t>Turtles (Scholastic time-to-discover readers)</t>
  </si>
  <si>
    <t>5x5-picture-books-e (#80)</t>
  </si>
  <si>
    <t>Sharks (Scholastic time-to-discover readers)</t>
  </si>
  <si>
    <t>5x5-picture-books-e (#78)</t>
  </si>
  <si>
    <t>Snakes Live In Grass</t>
  </si>
  <si>
    <t>5x5-picture-books-e (#76)</t>
  </si>
  <si>
    <t>What's the Time, Fairy Princess?</t>
  </si>
  <si>
    <t>Carly Blake</t>
  </si>
  <si>
    <t>Blake, Carly</t>
  </si>
  <si>
    <t>Sandy Creek</t>
  </si>
  <si>
    <t>4x4-picture-books-c (#10)</t>
  </si>
  <si>
    <t>First Summer (The World of Eric Carle)</t>
  </si>
  <si>
    <t>Eric Carle</t>
  </si>
  <si>
    <t>Carle, Eric</t>
  </si>
  <si>
    <t>World of Eric Carle</t>
  </si>
  <si>
    <t>teacher-grants</t>
  </si>
  <si>
    <t>teacher-grants (#115)</t>
  </si>
  <si>
    <t>First Spring (The World of Eric Carle)</t>
  </si>
  <si>
    <t>teacher-grants (#114)</t>
  </si>
  <si>
    <t>First Winter (The World of Eric Carle)</t>
  </si>
  <si>
    <t>teacher-grants (#113)</t>
  </si>
  <si>
    <t>First Fall (The World of Eric Carle)</t>
  </si>
  <si>
    <t>teacher-grants (#109)</t>
  </si>
  <si>
    <t>La oruga muy hambrienta (Spanish Edition)</t>
  </si>
  <si>
    <t>Philomel</t>
  </si>
  <si>
    <t>4x4-picture-books-g (#43)</t>
  </si>
  <si>
    <t>Disney Frozen: Anna &amp; Elsa: Childhood Times</t>
  </si>
  <si>
    <t>white-bookshelf-k (#8), 5x5-picture-books-b (#46)</t>
  </si>
  <si>
    <t>Disney Emoji - StickerTivity - Funny &amp; Faces (Set of 2 Books)</t>
  </si>
  <si>
    <t>DreamActivity</t>
  </si>
  <si>
    <t>closet_coloring-and-sticker-books (#9)</t>
  </si>
  <si>
    <t>Baby Dinosaur and the Big Log</t>
  </si>
  <si>
    <t>Jay Dale</t>
  </si>
  <si>
    <t>Dale, Jay</t>
  </si>
  <si>
    <t>Jacqueline East</t>
  </si>
  <si>
    <t>Capstone</t>
  </si>
  <si>
    <t>backpacks_dinosaurs-dragons</t>
  </si>
  <si>
    <t>backpacks_dinosaurs-dragons (#5)</t>
  </si>
  <si>
    <t>See Inside Fairyland (Usborne Flap Book)</t>
  </si>
  <si>
    <t>Susanna Davidson</t>
  </si>
  <si>
    <t>Davidson, Susanna</t>
  </si>
  <si>
    <t>Rafaella Ligi</t>
  </si>
  <si>
    <t>4x4-picture-books-b (#3)</t>
  </si>
  <si>
    <t>Creepy Crawly Songbook</t>
  </si>
  <si>
    <t>Carl Davis</t>
  </si>
  <si>
    <t>Davis, Carl</t>
  </si>
  <si>
    <t>Hiawyn Oram, Satoshi Kitamura</t>
  </si>
  <si>
    <t>Carl Davis Collection</t>
  </si>
  <si>
    <t>4x4-picture-books-e (#27)</t>
  </si>
  <si>
    <t>Pete the Cat: Trick or Pete: A Fun And Interactive Lift-the-Flap Halloween Adenture Featuring Everyone's Favorite Cat</t>
  </si>
  <si>
    <t>James  Dean</t>
  </si>
  <si>
    <t>Dean, James</t>
  </si>
  <si>
    <t>Kimberly  Dean</t>
  </si>
  <si>
    <t>closet-black-bin-holiday (#5)</t>
  </si>
  <si>
    <t>Pete the Cat: The First Thanksgiving: A Lift-the-Flap Book</t>
  </si>
  <si>
    <t>Dean, Kimberly</t>
  </si>
  <si>
    <t>closet-black-bin-holiday (#44)</t>
  </si>
  <si>
    <t>My First 100 Words in Spanish and English</t>
  </si>
  <si>
    <t>Keith Faulkner</t>
  </si>
  <si>
    <t>Faulkner, Keith</t>
  </si>
  <si>
    <t>Libros Para Ninos</t>
  </si>
  <si>
    <t>white-bookshelf-i (#3)</t>
  </si>
  <si>
    <t>Max &amp; His Friends/Snowball &amp; the Flushed Pets (Secret Life of Pets)</t>
  </si>
  <si>
    <t>Random House</t>
  </si>
  <si>
    <t>House, Random</t>
  </si>
  <si>
    <t>Illumination Entertainment</t>
  </si>
  <si>
    <t>5x5-picture-books-e (#71)</t>
  </si>
  <si>
    <t>El Pajaro Rojo</t>
  </si>
  <si>
    <t>María Rosa Teira Jacks</t>
  </si>
  <si>
    <t>Jacks, María Rosa Teira</t>
  </si>
  <si>
    <t>foneticos (#11)</t>
  </si>
  <si>
    <t>Ricky, the Rock that Couldn't Roll</t>
  </si>
  <si>
    <t>Mr. Jay</t>
  </si>
  <si>
    <t>Jay, Mr.</t>
  </si>
  <si>
    <t>New Paige Press</t>
  </si>
  <si>
    <t>4x4-picture-books-i</t>
  </si>
  <si>
    <t>4x4-picture-books-i (#6)</t>
  </si>
  <si>
    <t>Ultimate Sticker Book: Dangerous Dinosaurs: More Than 60 Reusable Full-Color Stickers</t>
  </si>
  <si>
    <t>Peter Kavanagh</t>
  </si>
  <si>
    <t>Kavanagh, Peter</t>
  </si>
  <si>
    <t>DK Children</t>
  </si>
  <si>
    <t>The Magic School Bus Hello Out There: A Sticker Book About the Solar System</t>
  </si>
  <si>
    <t>Nancy E. Krulik</t>
  </si>
  <si>
    <t>Krulik, Nancy E.</t>
  </si>
  <si>
    <t>Bob Ostrom, Joanna Cole</t>
  </si>
  <si>
    <t>4x4-picture-books-c (#25)</t>
  </si>
  <si>
    <t>Big Book of Big Sea Creatures</t>
  </si>
  <si>
    <t>Fabiano Fiorin</t>
  </si>
  <si>
    <t>5x5-picture-books_n (#12)</t>
  </si>
  <si>
    <t>Learn to Read with Planet Earth Workbook 1 (Level 2 Practice Sounds R, S, L Blends Wh, Sh)</t>
  </si>
  <si>
    <t>5x5-picture-books-e (#55)</t>
  </si>
  <si>
    <t>Lions (Learn to Read with Planet Earth)</t>
  </si>
  <si>
    <t>5x5-picture-books-e (#75)</t>
  </si>
  <si>
    <t>The Usborne Big Book of Big Trains</t>
  </si>
  <si>
    <t>megan-cullis</t>
  </si>
  <si>
    <t>megan-cullis, megan-cullis</t>
  </si>
  <si>
    <t>5x5-picture-books_i</t>
  </si>
  <si>
    <t>5x5-picture-books_i (#15)</t>
  </si>
  <si>
    <t>Houghton Mifflin Reading Leveled Readers: LV 1.7.1 on LVL 6pkg the Best Class Trip</t>
  </si>
  <si>
    <t>leveled-readers_my-first-reading (#42)</t>
  </si>
  <si>
    <t>How Far Will I Fly? (Beginning Literacy, Stage B)</t>
  </si>
  <si>
    <t>Young-Ah Dong Sachi Oyama</t>
  </si>
  <si>
    <t>Oyama, Young-Ah Dong Sachi</t>
  </si>
  <si>
    <t>white-bookshelf-g (#15)</t>
  </si>
  <si>
    <t>Space Ultimate Sticker Book (Ultimate Stickers)</t>
  </si>
  <si>
    <t>D.K. Publishing</t>
  </si>
  <si>
    <t>Publishing, D.K.</t>
  </si>
  <si>
    <t>DK Publishing</t>
  </si>
  <si>
    <t>backpacks_space</t>
  </si>
  <si>
    <t>backpacks_space (#8)</t>
  </si>
  <si>
    <t>Chasing Rainbows (Dr. Seuss/Cat in the Hat) (Pictureback(R))</t>
  </si>
  <si>
    <t>Tish Rabe</t>
  </si>
  <si>
    <t>Rabe, Tish</t>
  </si>
  <si>
    <t>Aristides Ruiz, Joe Mathieu</t>
  </si>
  <si>
    <t>5x5-picture-books-b (#17)</t>
  </si>
  <si>
    <t>The Little Story of Joan Miró</t>
  </si>
  <si>
    <t>Fina Durán i Riu</t>
  </si>
  <si>
    <t>Riu, Fina Durán i</t>
  </si>
  <si>
    <t>Pilarín Bayés</t>
  </si>
  <si>
    <t>Editorial Mediterrania, S.L.</t>
  </si>
  <si>
    <t>4x4-picture-books-g (#15)</t>
  </si>
  <si>
    <t>Tank talk: A story about marine biologist Laela Sayigh (Scholastic phonics readers)</t>
  </si>
  <si>
    <t>Dan Shapiro</t>
  </si>
  <si>
    <t>Shapiro, Dan</t>
  </si>
  <si>
    <t>to-read (#10), leveled-readers_1_sets (#69)</t>
  </si>
  <si>
    <t>Donkey and Monkey (Scholastic phonics readers)</t>
  </si>
  <si>
    <t>leveled-readers_my-first-reading (#70)</t>
  </si>
  <si>
    <t>The Napping House</t>
  </si>
  <si>
    <t>Audrey  Wood</t>
  </si>
  <si>
    <t>Wood, Audrey</t>
  </si>
  <si>
    <t>Don  Wood</t>
  </si>
  <si>
    <t>Red Wagon Books</t>
  </si>
  <si>
    <t>4x4-picture-books-e, 1-x-4_spanish-picture-books_a</t>
  </si>
  <si>
    <t>4x4-picture-books-e (#31), 1-x-4_spanish-picture-books_a (#25)</t>
  </si>
  <si>
    <t>Piggies</t>
  </si>
  <si>
    <t>Don Wood</t>
  </si>
  <si>
    <t>Wood, Don</t>
  </si>
  <si>
    <t>5x5-picture-books-a (#36), to-read (#61)</t>
  </si>
  <si>
    <t>Elf Pets A Reindeer Tradition</t>
  </si>
  <si>
    <t>Chanda A. Bell</t>
  </si>
  <si>
    <t>Bell, Chanda A.</t>
  </si>
  <si>
    <t>Creatively Classic Activities and Books</t>
  </si>
  <si>
    <t>closet-black-bin-holiday (#59)</t>
  </si>
  <si>
    <t>Let's Talk About Being Patient</t>
  </si>
  <si>
    <t>Joy Berry</t>
  </si>
  <si>
    <t>Berry, Joy</t>
  </si>
  <si>
    <t>Watkins Publishing House</t>
  </si>
  <si>
    <t>backpacks_emotions</t>
  </si>
  <si>
    <t>backpacks_emotions (#3)</t>
  </si>
  <si>
    <t>Let's Talk About Feeling Jealous</t>
  </si>
  <si>
    <t>backpacks_emotions (#2)</t>
  </si>
  <si>
    <t>Let’s Talk About Accepting No (Let's Talk About Book 2)</t>
  </si>
  <si>
    <t>Watkins Publishing House, LLC</t>
  </si>
  <si>
    <t>backpacks_emotions (#1)</t>
  </si>
  <si>
    <t>Bearly Awake and Almoose Asleep</t>
  </si>
  <si>
    <t>Jenny H. Lyman</t>
  </si>
  <si>
    <t>Lyman, Jenny H.</t>
  </si>
  <si>
    <t>Gideon Burnett</t>
  </si>
  <si>
    <t>TrippleCream</t>
  </si>
  <si>
    <t>to-read (#165), 5x5-picture-books-e (#37)</t>
  </si>
  <si>
    <t>Look! It's the Candycorn</t>
  </si>
  <si>
    <t>Danielle McLean</t>
  </si>
  <si>
    <t>McLean, Danielle</t>
  </si>
  <si>
    <t>5x5-picture-books_i (#11)</t>
  </si>
  <si>
    <t>Let's Talk About Being Fair</t>
  </si>
  <si>
    <t>backpacks_emotions (#4)</t>
  </si>
  <si>
    <t>Meet My Monster Test</t>
  </si>
  <si>
    <t>Paul Z. Mann</t>
  </si>
  <si>
    <t>Mann, Paul Z.</t>
  </si>
  <si>
    <t>Kongc Test Pub</t>
  </si>
  <si>
    <t>leveled-readers-3</t>
  </si>
  <si>
    <t>leveled-readers-3 (#5)</t>
  </si>
  <si>
    <t>I Can Lick 30 Tigers Today! (Stort Story)</t>
  </si>
  <si>
    <t>Dr. Seuss</t>
  </si>
  <si>
    <t>Seuss, Dr.</t>
  </si>
  <si>
    <t>backpacks_dr-suess (#4)</t>
  </si>
  <si>
    <t>Rapido's Next Stop</t>
  </si>
  <si>
    <t>Jean-Luc Fromental</t>
  </si>
  <si>
    <t>Fromental, Jean-Luc</t>
  </si>
  <si>
    <t>Joëlle Jolivet</t>
  </si>
  <si>
    <t>4x4-picture-books-a, currently-reading</t>
  </si>
  <si>
    <t>4x4-picture-books-a (#13), currently-reading (#1)</t>
  </si>
  <si>
    <t>My First Book of Girl Power</t>
  </si>
  <si>
    <t>Julie Merberg</t>
  </si>
  <si>
    <t>Merberg, Julie</t>
  </si>
  <si>
    <t>Downtown Bookworks</t>
  </si>
  <si>
    <t>4x4-picture-books-p</t>
  </si>
  <si>
    <t>4x4-picture-books-p (#11)</t>
  </si>
  <si>
    <t>Big Shark's Valentine Surprise</t>
  </si>
  <si>
    <t>Steve Metzger</t>
  </si>
  <si>
    <t>Metzger, Steve</t>
  </si>
  <si>
    <t>Cedric Hohnstadt</t>
  </si>
  <si>
    <t>backpacks_valentines-day</t>
  </si>
  <si>
    <t>backpacks_valentines-day (#3)</t>
  </si>
  <si>
    <t>Pantone: Colors: A Board Book</t>
  </si>
  <si>
    <t>Pantone</t>
  </si>
  <si>
    <t>Pantone, Pantone</t>
  </si>
  <si>
    <t>Helen Dardik</t>
  </si>
  <si>
    <t>Abrams Appleseed</t>
  </si>
  <si>
    <t>4x4-picture-books-b (#19)</t>
  </si>
  <si>
    <t>Why Do Leopards Climb Trees?</t>
  </si>
  <si>
    <t>Jennifer Shand</t>
  </si>
  <si>
    <t>Shand, Jennifer</t>
  </si>
  <si>
    <t>Johannah Gilman Paiva</t>
  </si>
  <si>
    <t>Flowerpot Press</t>
  </si>
  <si>
    <t>5x5-picture-books-e (#66)</t>
  </si>
  <si>
    <t>How A Unicorn Made Me Stop Worrying: A Cute Children Story to Teach Kids to Overcome Anxiety, Worry and Fear. (My Unicorn Books Book 2)</t>
  </si>
  <si>
    <t>Steve Herman</t>
  </si>
  <si>
    <t>Herman, Steve</t>
  </si>
  <si>
    <t>DG Books Publishing</t>
  </si>
  <si>
    <t>4x4-picture-books-j</t>
  </si>
  <si>
    <t>4x4-picture-books-j (#34)</t>
  </si>
  <si>
    <t>Paddington At The Palace</t>
  </si>
  <si>
    <t>Michael Bond</t>
  </si>
  <si>
    <t>Bond, Michael</t>
  </si>
  <si>
    <t>HarperCollins Children's Books</t>
  </si>
  <si>
    <t>picture-books-about-animals</t>
  </si>
  <si>
    <t>picture-books-about-animals (#16)</t>
  </si>
  <si>
    <t>Henry and Mudge and the Long Weekend 1992: Children's Picture Book</t>
  </si>
  <si>
    <t>Micheal Gomez</t>
  </si>
  <si>
    <t>Gomez, Micheal</t>
  </si>
  <si>
    <t>leveled-readers-2 (#88)</t>
  </si>
  <si>
    <t>Knock, Knock! Who's There?: My First Book of Knock Knock Jokes</t>
  </si>
  <si>
    <t>Tad Hills</t>
  </si>
  <si>
    <t>Hills, Tad</t>
  </si>
  <si>
    <t>Little Simon</t>
  </si>
  <si>
    <t>white-bookshelf-m, 5x5-picture-books-c</t>
  </si>
  <si>
    <t>white-bookshelf-m (#15), 5x5-picture-books-c (#46)</t>
  </si>
  <si>
    <t>Belly Breathe</t>
  </si>
  <si>
    <t>Leslie Kimmelman</t>
  </si>
  <si>
    <t>Kimmelman, Leslie</t>
  </si>
  <si>
    <t>Lindsey Dale-Scott</t>
  </si>
  <si>
    <t>Albert Whitman &amp; Company</t>
  </si>
  <si>
    <t>4x4-picture-books-m (#5)</t>
  </si>
  <si>
    <t>All Aboard! New York: A City Primer</t>
  </si>
  <si>
    <t>Haily Meyers</t>
  </si>
  <si>
    <t>Meyers, Haily</t>
  </si>
  <si>
    <t>Kevin Meyers</t>
  </si>
  <si>
    <t>BabyLit</t>
  </si>
  <si>
    <t>travel (#1)</t>
  </si>
  <si>
    <t>Tiny Travelers India Treasure Quest</t>
  </si>
  <si>
    <t>Steven Wolfe Pereira</t>
  </si>
  <si>
    <t>Pereira, Steven Wolfe</t>
  </si>
  <si>
    <t>Susie Jaramillo</t>
  </si>
  <si>
    <t>Encantos</t>
  </si>
  <si>
    <t>5x5-picture-books_m</t>
  </si>
  <si>
    <t>5x5-picture-books_m (#10)</t>
  </si>
  <si>
    <t>¿Cómo se Mueven Las Cosas? (Mi Primer Paso al Mundo Real) = Ways Things Move</t>
  </si>
  <si>
    <t>Robin Nelson</t>
  </si>
  <si>
    <t>Nelson, Robin</t>
  </si>
  <si>
    <t>Ediciones Lerner</t>
  </si>
  <si>
    <t>to-read (#218), 1-x-4_spanish-picture-books_a (#71)</t>
  </si>
  <si>
    <t>Elmo te quiere a ti! (Sesame Street) (Spanish Edition)</t>
  </si>
  <si>
    <t>Sarah Albee</t>
  </si>
  <si>
    <t>Albee, Sarah</t>
  </si>
  <si>
    <t>Maggie Swanson, Natalia Foce</t>
  </si>
  <si>
    <t>Sesame Workshop</t>
  </si>
  <si>
    <t>to-read (#204), 1-x-4_spanish-picture-books_a (#57)</t>
  </si>
  <si>
    <t>Touch the Art: Find King Henry's Treasure</t>
  </si>
  <si>
    <t>Julie Appel</t>
  </si>
  <si>
    <t>Appel, Julie</t>
  </si>
  <si>
    <t>Amy Guglielmo</t>
  </si>
  <si>
    <t>Union Square Kids</t>
  </si>
  <si>
    <t>medieval</t>
  </si>
  <si>
    <t>medieval (#2)</t>
  </si>
  <si>
    <t>¿Qué Sucede en Primavera? / What Happens in Spring?</t>
  </si>
  <si>
    <t>Alex Appleby</t>
  </si>
  <si>
    <t>Appleby, Alex</t>
  </si>
  <si>
    <t>Gareth Stevens Publishing</t>
  </si>
  <si>
    <t>ebook</t>
  </si>
  <si>
    <t>to-read (#212), 1-x-4_spanish-picture-books_a (#65)</t>
  </si>
  <si>
    <t>¿Qué Sucede en Otoño?/What Happens in Fall?</t>
  </si>
  <si>
    <t>Gareth Stevens Pub</t>
  </si>
  <si>
    <t>to-read (#215), 1-x-4_spanish-picture-books_a (#68)</t>
  </si>
  <si>
    <t>¿Qué Sucede en Verano?/What Happens in Summer?</t>
  </si>
  <si>
    <t>Gareth Stevens Pub Learning library</t>
  </si>
  <si>
    <t>to-read (#214), 1-x-4_spanish-picture-books_a (#67)</t>
  </si>
  <si>
    <t>¿Qué Sucede en Invierno?/What Happens in Winter?</t>
  </si>
  <si>
    <t>to-read (#213), 1-x-4_spanish-picture-books_a (#66)</t>
  </si>
  <si>
    <t>Peppa's Chinese New Year</t>
  </si>
  <si>
    <t>Mandy Archer</t>
  </si>
  <si>
    <t>Archer, Mandy</t>
  </si>
  <si>
    <t>Cala Spinner, Neville Astley, Mark Baker, Eone</t>
  </si>
  <si>
    <t>closet-black-bin-holiday (#11)</t>
  </si>
  <si>
    <t>Tornadoes and Hurricanes! (TIME FOR KIDS® Nonfiction Readers)</t>
  </si>
  <si>
    <t>Cy Armour</t>
  </si>
  <si>
    <t>Armour, Cy</t>
  </si>
  <si>
    <t>4x4-picture-books-c (#22)</t>
  </si>
  <si>
    <t>Tornadoes and Hurricanes! Learn About the Hurricanes and Tornadoes with this Captivating Book for Grades 2 - 4</t>
  </si>
  <si>
    <t>earth-weather</t>
  </si>
  <si>
    <t>earth-weather (#1)</t>
  </si>
  <si>
    <t>Los granjeros (Semillas Del Saber)</t>
  </si>
  <si>
    <t>Quinn M. Arnold</t>
  </si>
  <si>
    <t>Arnold, Quinn M.</t>
  </si>
  <si>
    <t>Creative Education</t>
  </si>
  <si>
    <t>1-x-4-spanish-picture-books_b (#39)</t>
  </si>
  <si>
    <t>Los veterinarios (Semillas Del Saber)</t>
  </si>
  <si>
    <t>1-x-4-spanish-picture-books_b (#38)</t>
  </si>
  <si>
    <t>Los maestros (Semillas Del Saber)</t>
  </si>
  <si>
    <t>1-x-4_spanish-picture-books_a (#21)</t>
  </si>
  <si>
    <t>Pigs (Seedlings)</t>
  </si>
  <si>
    <t>Creative Co</t>
  </si>
  <si>
    <t>5x5-picture-books-e (#64)</t>
  </si>
  <si>
    <t>George's New Dinosaur (Peppa Pig)</t>
  </si>
  <si>
    <t>Neville Astley</t>
  </si>
  <si>
    <t>Astley, Neville</t>
  </si>
  <si>
    <t>Mark Baker, Eone</t>
  </si>
  <si>
    <t>Ladybird</t>
  </si>
  <si>
    <t>5x5-picture-books-b, to-read</t>
  </si>
  <si>
    <t>5x5-picture-books-b (#45), to-read (#102)</t>
  </si>
  <si>
    <t>Super Peppa! (Peppa Pig)</t>
  </si>
  <si>
    <t>Mark Baker, Cala Spinner, Lauren Holowaty, Eone</t>
  </si>
  <si>
    <t>white-bookshelf-l (#17), 5x5-picture-books-c (#44)</t>
  </si>
  <si>
    <t>Go, Train, Go!</t>
  </si>
  <si>
    <t>W. Awdry</t>
  </si>
  <si>
    <t>Awdry, W.</t>
  </si>
  <si>
    <t>Tommy Stubbs</t>
  </si>
  <si>
    <t>closet_black-bin-dr-seuss</t>
  </si>
  <si>
    <t>closet_black-bin-dr-seuss (#14)</t>
  </si>
  <si>
    <t>Twinkle, Twinkle, You're a Star! (Baby Shark and Friends)</t>
  </si>
  <si>
    <t>John John Bajet</t>
  </si>
  <si>
    <t>Bajet, John John</t>
  </si>
  <si>
    <t>white-bookshelf-o (#6)</t>
  </si>
  <si>
    <t>Wear Your Mask, Baby Shark (A Baby Shark Book)</t>
  </si>
  <si>
    <t>white-bookshelf-j, white-bookshelf-l, 5x5-picture-books-c</t>
  </si>
  <si>
    <t>white-bookshelf-j (#3), white-bookshelf-l (#35), 5x5-picture-books-c (#47)</t>
  </si>
  <si>
    <t>Remarkable Reindeer (Science Vocabulary Reader)</t>
  </si>
  <si>
    <t>Jeff Bauer</t>
  </si>
  <si>
    <t>Bauer, Jeff</t>
  </si>
  <si>
    <t>to-read (#172), 5x5-picture-books-e (#44)</t>
  </si>
  <si>
    <t>Bats (Backyard Animals)</t>
  </si>
  <si>
    <t>Annalise Bekkering</t>
  </si>
  <si>
    <t>Bekkering, Annalise</t>
  </si>
  <si>
    <t>Weigl Pub Inc</t>
  </si>
  <si>
    <t>white-bookshelf-j, to-read, 5x5-picture-books-e</t>
  </si>
  <si>
    <t>white-bookshelf-j (#6), to-read (#147), 5x5-picture-books-e (#20)</t>
  </si>
  <si>
    <t>Tutu Twins (Phonics Comics)</t>
  </si>
  <si>
    <t>Lara Bergen</t>
  </si>
  <si>
    <t>Bergen, Lara</t>
  </si>
  <si>
    <t>Elyse Pastel</t>
  </si>
  <si>
    <t>Innovative Kids</t>
  </si>
  <si>
    <t>leveled-readers-2 (#43)</t>
  </si>
  <si>
    <t>Pig the Stinker</t>
  </si>
  <si>
    <t>5x5-picture-books_h</t>
  </si>
  <si>
    <t>5x5-picture-books_h (#38)</t>
  </si>
  <si>
    <t>Don't Call Me Bear!</t>
  </si>
  <si>
    <t>Scholastic Australia</t>
  </si>
  <si>
    <t>backpacks-bears</t>
  </si>
  <si>
    <t>backpacks-bears (#3)</t>
  </si>
  <si>
    <t>Pig the Fibber</t>
  </si>
  <si>
    <t>white-bookshelf-j, 5x5-picture-books_h</t>
  </si>
  <si>
    <t>white-bookshelf-j (#7), 5x5-picture-books_h (#37)</t>
  </si>
  <si>
    <t>Pig the Pug</t>
  </si>
  <si>
    <t>white-bookshelf-i (#2), 5x5-picture-books_h (#40)</t>
  </si>
  <si>
    <t>The Very Cranky Bear</t>
  </si>
  <si>
    <t>Nick Bland</t>
  </si>
  <si>
    <t>Bland, Nick</t>
  </si>
  <si>
    <t>backpacks-bears (#4)</t>
  </si>
  <si>
    <t>Welcome to the World, ZooBorns!</t>
  </si>
  <si>
    <t>Andrew Bleiman</t>
  </si>
  <si>
    <t>Bleiman, Andrew</t>
  </si>
  <si>
    <t>Chris Eastland</t>
  </si>
  <si>
    <t>Simon Spotlight</t>
  </si>
  <si>
    <t>leveled-readers_1</t>
  </si>
  <si>
    <t>leveled-readers_1 (#59)</t>
  </si>
  <si>
    <t>Arthur's Lost Puppy</t>
  </si>
  <si>
    <t>leveled-readers-3 (#3)</t>
  </si>
  <si>
    <t>The Important Book</t>
  </si>
  <si>
    <t>Margaret Wise Brown</t>
  </si>
  <si>
    <t>Brown, Margaret Wise</t>
  </si>
  <si>
    <t>Leonard Weisgard</t>
  </si>
  <si>
    <t>4x4-picture-books-i (#16)</t>
  </si>
  <si>
    <t>I'm Going to Read® (Level 1): Street Music (I'm Going to Read® Series)</t>
  </si>
  <si>
    <t>Richard Brown</t>
  </si>
  <si>
    <t>Brown, Richard</t>
  </si>
  <si>
    <t>leveled-readers_1 (#34)</t>
  </si>
  <si>
    <t>The Little Boy Who Lost His Name</t>
  </si>
  <si>
    <t>David Cadji-Newby</t>
  </si>
  <si>
    <t>Cadji-Newby, David</t>
  </si>
  <si>
    <t>Pedro Serpicos</t>
  </si>
  <si>
    <t>Lost My Name</t>
  </si>
  <si>
    <t>4x4-picture-book-d</t>
  </si>
  <si>
    <t>4x4-picture-book-d (#2)</t>
  </si>
  <si>
    <t>Little You</t>
  </si>
  <si>
    <t>Richard Van Camp</t>
  </si>
  <si>
    <t>Camp, Richard Van</t>
  </si>
  <si>
    <t>Julie Flett</t>
  </si>
  <si>
    <t>Orca Book Publishers</t>
  </si>
  <si>
    <t>4-x-4-early-elem-chapter-books_g</t>
  </si>
  <si>
    <t>4-x-4-early-elem-chapter-books_g (#38)</t>
  </si>
  <si>
    <t>Biscuit Finds a Friend</t>
  </si>
  <si>
    <t>Alyssa Satin Capucilli</t>
  </si>
  <si>
    <t>Capucilli, Alyssa Satin</t>
  </si>
  <si>
    <t>Pat Schories</t>
  </si>
  <si>
    <t>to-read, 5x5-picture-books_g</t>
  </si>
  <si>
    <t>to-read (#229), 5x5-picture-books_g (#7)</t>
  </si>
  <si>
    <t>Around the Farm Soundbook (The World of Eric Carle)</t>
  </si>
  <si>
    <t>teacher-grants (#119)</t>
  </si>
  <si>
    <t>Hear Bear Roar</t>
  </si>
  <si>
    <t>teacher-grants (#120)</t>
  </si>
  <si>
    <t>Los Semirremolques / Semi Trucks</t>
  </si>
  <si>
    <t>Aaron Carr</t>
  </si>
  <si>
    <t>Carr, Aaron</t>
  </si>
  <si>
    <t>Av2 by Weigl</t>
  </si>
  <si>
    <t>to-read, 1-x-4-spanish-picture-books_b</t>
  </si>
  <si>
    <t>to-read (#20), 1-x-4-spanish-picture-books_b (#37)</t>
  </si>
  <si>
    <t>Now Wash Your Hands!</t>
  </si>
  <si>
    <t>Matt Carr</t>
  </si>
  <si>
    <t>Carr, Matt</t>
  </si>
  <si>
    <t>5x5-picture-books-b (#27), to-read (#80)</t>
  </si>
  <si>
    <t>Bugs at the Beach: Ready-to-Read Level 1 (David Carter's Bugs)</t>
  </si>
  <si>
    <t>David A. Carter</t>
  </si>
  <si>
    <t>Carter, David A.</t>
  </si>
  <si>
    <t>leveled-readers_1, leveled-readers_1_sets</t>
  </si>
  <si>
    <t>leveled-readers_1 (#44), leveled-readers_1_sets (#61)</t>
  </si>
  <si>
    <t>Bailando jazz/Jazz Dancing (Baila, baila, baila/Dance, Dance, Dance)</t>
  </si>
  <si>
    <t>Kathryn Clay</t>
  </si>
  <si>
    <t>Clay, Kathryn</t>
  </si>
  <si>
    <t>Capstone Press</t>
  </si>
  <si>
    <t>1-x-4-spanish-picture-books_b (#36)</t>
  </si>
  <si>
    <t>Pushes and Pulls (QEB Why It Works)</t>
  </si>
  <si>
    <t>Anna Claybourne</t>
  </si>
  <si>
    <t>Claybourne, Anna</t>
  </si>
  <si>
    <t>QED Publishing, a division of Quarto Publishing plc</t>
  </si>
  <si>
    <t>backpacks_my-body</t>
  </si>
  <si>
    <t>backpacks_my-body (#2)</t>
  </si>
  <si>
    <t>Joy's Greatest Joy (Disney/Pixar Inside Out)</t>
  </si>
  <si>
    <t>white-bookshelf-m (#14), 5x5-picture-books-c (#20)</t>
  </si>
  <si>
    <t>Rafael Márquez (World Soccer Stars / Estrellas del Fútbol Mundial) (English and Spanish Edition)</t>
  </si>
  <si>
    <t>Arturo Contro</t>
  </si>
  <si>
    <t>Contro, Arturo</t>
  </si>
  <si>
    <t>Megan Benson</t>
  </si>
  <si>
    <t>PowerKids Press</t>
  </si>
  <si>
    <t>1-x-4-spanish-picture-books_b (#18)</t>
  </si>
  <si>
    <t>Gianluigi Buffon (World Soccer Stars / Estrellas del Fútbol Mundial) (English and Spanish Edition)</t>
  </si>
  <si>
    <t>1-x-4-spanish-picture-books_b (#17)</t>
  </si>
  <si>
    <t>Spanish Is My Superpower! (Sesame Street) (Pictureback)</t>
  </si>
  <si>
    <t>Maria Correa</t>
  </si>
  <si>
    <t>Correa, Maria</t>
  </si>
  <si>
    <t>Shane Clester</t>
  </si>
  <si>
    <t>4x4-picture-books-i, 4x4-picture-books-m</t>
  </si>
  <si>
    <t>4x4-picture-books-i (#23), 4x4-picture-books-m (#15)</t>
  </si>
  <si>
    <t>Katy Cat and Beaky Boo</t>
  </si>
  <si>
    <t>Lucy Cousins</t>
  </si>
  <si>
    <t>Cousins, Lucy</t>
  </si>
  <si>
    <t>Candlewick</t>
  </si>
  <si>
    <t>4x4-picture-books-b (#1)</t>
  </si>
  <si>
    <t>Digger the Dinosaur and the Cake Mistake (My First I Can Read)</t>
  </si>
  <si>
    <t>Rebecca Kai Dotlich</t>
  </si>
  <si>
    <t>Dotlich, Rebecca Kai</t>
  </si>
  <si>
    <t>Gynux</t>
  </si>
  <si>
    <t>Digger the Dinosaur (I Can Read!)</t>
  </si>
  <si>
    <t>leveled-readers_my-first-reading (#38)</t>
  </si>
  <si>
    <t>I Love You More: A Flip-Sided Book-- Like Love It Never Ends</t>
  </si>
  <si>
    <t>Laura Duksta</t>
  </si>
  <si>
    <t>Duksta, Laura</t>
  </si>
  <si>
    <t>Sourcebooks Jabberwocky</t>
  </si>
  <si>
    <t>4x4-picture-books-o</t>
  </si>
  <si>
    <t>4x4-picture-books-o (#10)</t>
  </si>
  <si>
    <t>Yo soy el Gran Tiburón Blanco / I am a Great White Shark</t>
  </si>
  <si>
    <t>Karen Durrie</t>
  </si>
  <si>
    <t>Durrie, Karen</t>
  </si>
  <si>
    <t>to-read (#208), 1-x-4_spanish-picture-books_a (#61)</t>
  </si>
  <si>
    <t>Caperucita roja (Caballo alado clásico series–Al paso) (Spanish Edition)</t>
  </si>
  <si>
    <t>Combel Editorial</t>
  </si>
  <si>
    <t>Editorial, Combel</t>
  </si>
  <si>
    <t>Francesc Rovira</t>
  </si>
  <si>
    <t>white-bookshelf-o (#7)</t>
  </si>
  <si>
    <t>The Grumpy Morning</t>
  </si>
  <si>
    <t>Pamela Duncan Edwards</t>
  </si>
  <si>
    <t>Edwards, Pamela Duncan</t>
  </si>
  <si>
    <t>Darcie La Brosse</t>
  </si>
  <si>
    <t>4x4-picture-books-e (#4)</t>
  </si>
  <si>
    <t>OLIVIA Opens a Lemonade Stand (Olivia TV Tie-in)</t>
  </si>
  <si>
    <t>Kama Einhorn</t>
  </si>
  <si>
    <t>Einhorn, Kama</t>
  </si>
  <si>
    <t>Jared Osterhold</t>
  </si>
  <si>
    <t>5x5-picture-books_k (#7)</t>
  </si>
  <si>
    <t>National Geographic Readers: Dive, Dolphin! (Pre-Reader)</t>
  </si>
  <si>
    <t>Shira Evans</t>
  </si>
  <si>
    <t>Evans, Shira</t>
  </si>
  <si>
    <t>National Geographic Kids</t>
  </si>
  <si>
    <t>backpacks-sea-animals</t>
  </si>
  <si>
    <t>backpacks-sea-animals (#3)</t>
  </si>
  <si>
    <t>National Geographic Readers: Trot, Pony! (Pre-Reader)</t>
  </si>
  <si>
    <t>backpacks_animals</t>
  </si>
  <si>
    <t>backpacks_animals (#13)</t>
  </si>
  <si>
    <t>Meet a Baby Crocodile</t>
  </si>
  <si>
    <t>Jon M. Fishman</t>
  </si>
  <si>
    <t>Fishman, Jon M.</t>
  </si>
  <si>
    <t>Lerner Publications ™</t>
  </si>
  <si>
    <t>teacher-grants (#6)</t>
  </si>
  <si>
    <t>I Like Bugs: The Sound of B (The Consonants)</t>
  </si>
  <si>
    <t>Alice K. Flanagan</t>
  </si>
  <si>
    <t>Flanagan, Alice K.</t>
  </si>
  <si>
    <t>Childs World Inc</t>
  </si>
  <si>
    <t>white-bookshelf-l (#33)</t>
  </si>
  <si>
    <t>Big Enough to Help (Daniel Tiger's Neighborhood)</t>
  </si>
  <si>
    <t>Becky Friedman</t>
  </si>
  <si>
    <t>Friedman, Becky</t>
  </si>
  <si>
    <t>5x5-picture-books-a (#9), to-read (#45)</t>
  </si>
  <si>
    <t>Welcome to the Neighborhood! (Daniel Tiger's Neighborhood)</t>
  </si>
  <si>
    <t>Gord Garwood</t>
  </si>
  <si>
    <t>5x5-picture-books-a (#10), to-read (#44)</t>
  </si>
  <si>
    <t>Snow Wonder</t>
  </si>
  <si>
    <t>Charles Ghigna</t>
  </si>
  <si>
    <t>Ghigna, Charles</t>
  </si>
  <si>
    <t>Julia Woolf</t>
  </si>
  <si>
    <t>RHUS</t>
  </si>
  <si>
    <t>backpacks_snow</t>
  </si>
  <si>
    <t>backpacks_snow (#6)</t>
  </si>
  <si>
    <t>Hopscotch Girls I Am Confident Brave &amp; Beautiful Inspirational Coloring Books for Kids Ages 4-8 &amp; Up 8-12 Empowering Boost Confidence Color Book</t>
  </si>
  <si>
    <t>Hopscotch Girls</t>
  </si>
  <si>
    <t>Girls, Hopscotch</t>
  </si>
  <si>
    <t>teacher-grants (#100)</t>
  </si>
  <si>
    <t>The Witch Has an Itch</t>
  </si>
  <si>
    <t>Donna Guthrie</t>
  </si>
  <si>
    <t>Guthrie, Donna</t>
  </si>
  <si>
    <t>Katy Keck Arnsteen</t>
  </si>
  <si>
    <t>Aladdin Paperbacks</t>
  </si>
  <si>
    <t>closet-black-bin-holiday (#6)</t>
  </si>
  <si>
    <t>Animal Smell (Animals and Their Senses)</t>
  </si>
  <si>
    <t>Kirsten  Hall</t>
  </si>
  <si>
    <t>Hall, Kirsten</t>
  </si>
  <si>
    <t>Weekly Reader/Gareth Stevens Pub</t>
  </si>
  <si>
    <t>to-read (#171), 5x5-picture-books-e (#43)</t>
  </si>
  <si>
    <t>Cesar Chavez: Latino American Civil Rights Activist (History Maker Biographies)</t>
  </si>
  <si>
    <t>Grace Hansen</t>
  </si>
  <si>
    <t>Hansen, Grace</t>
  </si>
  <si>
    <t>Abdo Kids</t>
  </si>
  <si>
    <t>4x4-picture-books-h (#17)</t>
  </si>
  <si>
    <t>De Huevo a Mariposa / Becoming a Butterfly</t>
  </si>
  <si>
    <t>to-read (#206), 1-x-4_spanish-picture-books_a (#59)</t>
  </si>
  <si>
    <t>A Year in the World of Dinosaurs (Time Goes By)</t>
  </si>
  <si>
    <t>Elizabeth Havercroft</t>
  </si>
  <si>
    <t>Havercroft, Elizabeth</t>
  </si>
  <si>
    <t>First Avenue Editions ™</t>
  </si>
  <si>
    <t>white-bookshelf-j, 5x5-picture-books_n</t>
  </si>
  <si>
    <t>white-bookshelf-j (#15), 5x5-picture-books_n (#5)</t>
  </si>
  <si>
    <t>We're Going On a Ghost Hunt</t>
  </si>
  <si>
    <t>Kris Hirschmann</t>
  </si>
  <si>
    <t>Hirschmann, Kris</t>
  </si>
  <si>
    <t>Bryan Langdo</t>
  </si>
  <si>
    <t>closet-black-bin-holiday (#33)</t>
  </si>
  <si>
    <t>Snow Day!: A Winter Tale (Ready-to-Read Pre-Level 1) (Ant Hill)</t>
  </si>
  <si>
    <t>Joan Holub</t>
  </si>
  <si>
    <t>Holub, Joan</t>
  </si>
  <si>
    <t>Will Terry</t>
  </si>
  <si>
    <t>leveled-readers_my-first-reading (#15)</t>
  </si>
  <si>
    <t>Across the Sea (Disney Frozen) (Step into Reading)</t>
  </si>
  <si>
    <t>Ruth Homberg</t>
  </si>
  <si>
    <t>Homberg, Ruth</t>
  </si>
  <si>
    <t>RH/Disney</t>
  </si>
  <si>
    <t>white-bookshelf-k</t>
  </si>
  <si>
    <t>white-bookshelf-k (#9)</t>
  </si>
  <si>
    <t>Big City, Big Dreams (Barbie) (Step into Reading, Step 2)</t>
  </si>
  <si>
    <t>Step into Reading</t>
  </si>
  <si>
    <t>leveled-readers-2 (#77)</t>
  </si>
  <si>
    <t>The Doorbell Rang</t>
  </si>
  <si>
    <t>Pat Hutchins</t>
  </si>
  <si>
    <t>Hutchins, Pat</t>
  </si>
  <si>
    <t>Greenwillow Books</t>
  </si>
  <si>
    <t>white-bookshelf-l, 5x5-picture-books-d</t>
  </si>
  <si>
    <t>white-bookshelf-l (#22), 5x5-picture-books-d (#69)</t>
  </si>
  <si>
    <t>Bilingual Tales: La sirenita / The Little Mermaid (Spanish Edition)</t>
  </si>
  <si>
    <t>Irene Bordoy, Luz Orihuela</t>
  </si>
  <si>
    <t>Scholastic en español</t>
  </si>
  <si>
    <t>4x4-picture-books-g (#26)</t>
  </si>
  <si>
    <t>¡A construir la ciudad! (LEGO City)</t>
  </si>
  <si>
    <t>4x4-picture-books-g (#24)</t>
  </si>
  <si>
    <t>Alien Attack! (Teenage Mutant Ninja Turtles) (Step into Reading)</t>
  </si>
  <si>
    <t>Hollis James</t>
  </si>
  <si>
    <t>James, Hollis</t>
  </si>
  <si>
    <t>Patrick Spaziante, Random House</t>
  </si>
  <si>
    <t>leveled-readers-2 (#32)</t>
  </si>
  <si>
    <t>Ecosystems</t>
  </si>
  <si>
    <t>Katie Boehm Jerome</t>
  </si>
  <si>
    <t>Jerome, Katie Boehm</t>
  </si>
  <si>
    <t>Millmark Education</t>
  </si>
  <si>
    <t>4x4-picture-books-c (#51)</t>
  </si>
  <si>
    <t>Mama, Do You Love Me?</t>
  </si>
  <si>
    <t>Barbara M. Joosse</t>
  </si>
  <si>
    <t>Joosse, Barbara M.</t>
  </si>
  <si>
    <t>Barbara Lavallee</t>
  </si>
  <si>
    <t>Chronicle Books</t>
  </si>
  <si>
    <t>4x4-picture-books-i (#24)</t>
  </si>
  <si>
    <t>How Many Snails?: A Counting Book</t>
  </si>
  <si>
    <t>Paul Giganti Jr.</t>
  </si>
  <si>
    <t>Jr., Paul Giganti</t>
  </si>
  <si>
    <t>Donald Crews</t>
  </si>
  <si>
    <t>4x4-picture-books-c (#4)</t>
  </si>
  <si>
    <t>Pinkalicious and Aqua, the Mini-Mermaid: A Delightful Ocean Adventure with Pink Dolphins for Kids (Ages 4-8)</t>
  </si>
  <si>
    <t>5x5-picture-books_k (#16)</t>
  </si>
  <si>
    <t>Pinkalicious and the Little Butterfly: An Enchanting Classroom Story About Butterfly Friendship for Children (Ages 4-8)</t>
  </si>
  <si>
    <t>white-bookshelf-i, 5x5-picture-books_k</t>
  </si>
  <si>
    <t>white-bookshelf-i (#9), 5x5-picture-books_k (#4)</t>
  </si>
  <si>
    <t>Pinkalicious: Tickled Pink</t>
  </si>
  <si>
    <t>picture-books, 5x5-picture-books_k</t>
  </si>
  <si>
    <t>picture-books (#10), 5x5-picture-books_k (#32)</t>
  </si>
  <si>
    <t>Fighting Fires (Be An Expert!)</t>
  </si>
  <si>
    <t>Erin Kelly</t>
  </si>
  <si>
    <t>Kelly, Erin</t>
  </si>
  <si>
    <t>white-bookshelf-i, 5x5-picture-books_i</t>
  </si>
  <si>
    <t>white-bookshelf-i (#13), 5x5-picture-books_i (#16)</t>
  </si>
  <si>
    <t>Bugs (Be An Expert!)</t>
  </si>
  <si>
    <t>Children's Press</t>
  </si>
  <si>
    <t>closet_math-and-science (#26)</t>
  </si>
  <si>
    <t>Bears</t>
  </si>
  <si>
    <t>Ruth Krauss</t>
  </si>
  <si>
    <t>Krauss, Ruth</t>
  </si>
  <si>
    <t>Maurice Sendak</t>
  </si>
  <si>
    <t>to-read (#167), 5x5-picture-books-e (#39)</t>
  </si>
  <si>
    <t>Horses</t>
  </si>
  <si>
    <t>Monica Kulling</t>
  </si>
  <si>
    <t>Kulling, Monica</t>
  </si>
  <si>
    <t>backpacks_animals (#14)</t>
  </si>
  <si>
    <t>Quiero ser Veterinario (Spanish Edition)</t>
  </si>
  <si>
    <t>Dan Liebman</t>
  </si>
  <si>
    <t>Liebman, Dan</t>
  </si>
  <si>
    <t>Firefly Books</t>
  </si>
  <si>
    <t>white-bookshelf-g (#21)</t>
  </si>
  <si>
    <t>Rosh Hashanah with Uncle Max</t>
  </si>
  <si>
    <t>Varda Livney</t>
  </si>
  <si>
    <t>Livney, Varda</t>
  </si>
  <si>
    <t>Kar-Ben Publishing</t>
  </si>
  <si>
    <t>teacher-grants (#99)</t>
  </si>
  <si>
    <t>Créeme, ¡Ricitos es genial!: El Cuento de Los Tres Osos Contado Por Bebé Oso (El otro lado del cuento) (Spanish Edition)</t>
  </si>
  <si>
    <t>Nancy Loewen</t>
  </si>
  <si>
    <t>Loewen, Nancy</t>
  </si>
  <si>
    <t>Tatevik Avakyan</t>
  </si>
  <si>
    <t>1-x-4-spanish-picture-books_b (#10)</t>
  </si>
  <si>
    <t>Tickle the Duck!</t>
  </si>
  <si>
    <t>Ethan Long</t>
  </si>
  <si>
    <t>Long, Ethan</t>
  </si>
  <si>
    <t>4x4-picture-books-b (#15)</t>
  </si>
  <si>
    <t>Casey and Bella Go To New York City</t>
  </si>
  <si>
    <t>Jane Lovascio</t>
  </si>
  <si>
    <t>Lovascio, Jane</t>
  </si>
  <si>
    <t>Aija Jasuna</t>
  </si>
  <si>
    <t>Big Tent Books</t>
  </si>
  <si>
    <t>5x5-picture-books-b (#51), to-read (#98)</t>
  </si>
  <si>
    <t>Esqueletos y Exoesqueletos</t>
  </si>
  <si>
    <t>Julie K. Lundgren</t>
  </si>
  <si>
    <t>Lundgren, Julie K.</t>
  </si>
  <si>
    <t>Rourke Educational Media</t>
  </si>
  <si>
    <t>to-read (#217), 1-x-4_spanish-picture-books_a (#70)</t>
  </si>
  <si>
    <t>Chickens / Las Gallinas (Animals That Live On The Farm / Animales Que Viven en la Granja (Second Edition)) (English and Spanish Edition)</t>
  </si>
  <si>
    <t>JoAnn Early Macken</t>
  </si>
  <si>
    <t>Macken, JoAnn Early</t>
  </si>
  <si>
    <t>1-x-4-spanish-picture-books_b (#42)</t>
  </si>
  <si>
    <t>Fergus Goes Quackers!</t>
  </si>
  <si>
    <t>Tony Maddox</t>
  </si>
  <si>
    <t>Maddox, Tony</t>
  </si>
  <si>
    <t>Sandy creek</t>
  </si>
  <si>
    <t>5x5-picture-books-b (#61)</t>
  </si>
  <si>
    <t>Alma at Home/Alma en casa (Alma's Words/Las palabras de Alma)</t>
  </si>
  <si>
    <t>Juana Martinez-Neal</t>
  </si>
  <si>
    <t>Martinez-Neal, Juana</t>
  </si>
  <si>
    <t>4x4-picture-books-g (#77)</t>
  </si>
  <si>
    <t>La Casa de Muñecas de Gabby: ¡Héroes gatásticos al rescate! (Gabby's Dollhouse: Cat-tastic Heroes to the Rescue!) (La Casa De Muñecas De Gabby/ Gabby's Dollhouse) (Spanish Edition)</t>
  </si>
  <si>
    <t>Gabhi Martins</t>
  </si>
  <si>
    <t>Martins, Gabhi</t>
  </si>
  <si>
    <t>4x4-picture-books-g (#32)</t>
  </si>
  <si>
    <t>The Best Show &amp; Share</t>
  </si>
  <si>
    <t>HarperFestival</t>
  </si>
  <si>
    <t>5x5-picture-books-b (#16)</t>
  </si>
  <si>
    <t>Just a Mess (A Golden Look-Look Book)</t>
  </si>
  <si>
    <t>5x5-picture-books_h (#14)</t>
  </si>
  <si>
    <t>Just Me and My Dad</t>
  </si>
  <si>
    <t>Golden Press</t>
  </si>
  <si>
    <t>5x5-picture-books_h (#13)</t>
  </si>
  <si>
    <t>I Just Forgot (A Golden Look-Look Book)</t>
  </si>
  <si>
    <t>5x5-picture-books_h (#11)</t>
  </si>
  <si>
    <t>Just Grandma and Me (A Golden Look-Look Book)</t>
  </si>
  <si>
    <t>closet_3rd-4th-grade-chapter-books, white-bookshelf-n, 5x5-picture-books_h</t>
  </si>
  <si>
    <t>closet_3rd-4th-grade-chapter-books (#7), white-bookshelf-n (#26), 5x5-picture-books_h (#10)</t>
  </si>
  <si>
    <t>Just Going to the Dentist (A Golden Look-Look Book)</t>
  </si>
  <si>
    <t>white-bookshelf-n, 5x5-picture-books_h</t>
  </si>
  <si>
    <t>white-bookshelf-n (#25), 5x5-picture-books_h (#12)</t>
  </si>
  <si>
    <t>I Was So Mad (A Golden Look-Look Book)</t>
  </si>
  <si>
    <t>backpacks_emotions (#7)</t>
  </si>
  <si>
    <t>La Aldea de Pescadores / Fishing Village</t>
  </si>
  <si>
    <t>Pamela McDowell</t>
  </si>
  <si>
    <t>McDowell, Pamela</t>
  </si>
  <si>
    <t>to-read (#219), 1-x-4_spanish-picture-books_a (#72)</t>
  </si>
  <si>
    <t>Your Amazing Body (Pupil Book)</t>
  </si>
  <si>
    <t>Rebecca Weber McEwen</t>
  </si>
  <si>
    <t>McEwen, Rebecca Weber</t>
  </si>
  <si>
    <t>Jared Lee</t>
  </si>
  <si>
    <t>McGraw-Hill</t>
  </si>
  <si>
    <t>backpacks_my-body (#3)</t>
  </si>
  <si>
    <t>Flashing Fire Engines (Amazing Machines)</t>
  </si>
  <si>
    <t>Tony Mitton</t>
  </si>
  <si>
    <t>Mitton, Tony</t>
  </si>
  <si>
    <t>Ant Parker</t>
  </si>
  <si>
    <t>Kingfisher</t>
  </si>
  <si>
    <t>closet_3rd-4th-grade-chapter-books, 5x5-picture-books_i</t>
  </si>
  <si>
    <t>closet_3rd-4th-grade-chapter-books (#9), 5x5-picture-books_i (#7)</t>
  </si>
  <si>
    <t>Snowy Day (Curious George)</t>
  </si>
  <si>
    <t>Rotem Moscovich</t>
  </si>
  <si>
    <t>Moscovich, Rotem</t>
  </si>
  <si>
    <t>Houghton Mifflin Harcourt</t>
  </si>
  <si>
    <t>backpacks_curious-george</t>
  </si>
  <si>
    <t>backpacks_curious-george (#4)</t>
  </si>
  <si>
    <t>Peter's Painting</t>
  </si>
  <si>
    <t>Sally Moss</t>
  </si>
  <si>
    <t>Moss, Sally</t>
  </si>
  <si>
    <t>Mondo Pub</t>
  </si>
  <si>
    <t>white-bookshelf-l (#4), 5x5-picture-books-c (#64)</t>
  </si>
  <si>
    <t>Stephanie's Ponytail (Munsch for Kids)</t>
  </si>
  <si>
    <t>Robert Munsch</t>
  </si>
  <si>
    <t>Munsch, Robert</t>
  </si>
  <si>
    <t>Michael Martchenko</t>
  </si>
  <si>
    <t>Annick Press</t>
  </si>
  <si>
    <t>5x5-picture-books_h (#1)</t>
  </si>
  <si>
    <t>El avión de angela (Spanish Edition)</t>
  </si>
  <si>
    <t>1-x-4-spanish-picture-books_b (#25)</t>
  </si>
  <si>
    <t>La Estación de Policía (the Police Station )</t>
  </si>
  <si>
    <t>Julie Murray</t>
  </si>
  <si>
    <t>Murray, Julie</t>
  </si>
  <si>
    <t>to-read (#226), 1-x-4_spanish-picture-books_a (#79)</t>
  </si>
  <si>
    <t>Jump, Pup! (National Geographic Readers)</t>
  </si>
  <si>
    <t>Susan B. Neuman</t>
  </si>
  <si>
    <t>Neuman, Susan B.</t>
  </si>
  <si>
    <t>leveled-readers_my-first-reading (#34)</t>
  </si>
  <si>
    <t>National Geographic Readers: Hang On Monkey! (Pre-Reader)</t>
  </si>
  <si>
    <t>National Geographic Children's Books</t>
  </si>
  <si>
    <t>leveled-readers_my-first-reading (#33)</t>
  </si>
  <si>
    <t>Chase is on the Case! (Paw Patrol) (Step into Reading)</t>
  </si>
  <si>
    <t>Nickelodeon</t>
  </si>
  <si>
    <t>Nickelodeon, Nickelodeon</t>
  </si>
  <si>
    <t>leveled-readers-2 (#16)</t>
  </si>
  <si>
    <t>Los hermanitas son.../ Little Sisters Are... (Spanish Edition)</t>
  </si>
  <si>
    <t>Beth Norling</t>
  </si>
  <si>
    <t>Norling, Beth</t>
  </si>
  <si>
    <t>Kane Miller Book Pub</t>
  </si>
  <si>
    <t>4x4-picture-books-g (#31)</t>
  </si>
  <si>
    <t>Happy Valentine's Day, Mouse (If You Give...)</t>
  </si>
  <si>
    <t>Laura Joffe Numeroff</t>
  </si>
  <si>
    <t>Numeroff, Laura Joffe</t>
  </si>
  <si>
    <t>Felicia Bond</t>
  </si>
  <si>
    <t>closet-black-bin-holiday, 5x5-picture-books_h</t>
  </si>
  <si>
    <t>closet-black-bin-holiday (#9), 5x5-picture-books_h (#55)</t>
  </si>
  <si>
    <t>Tea For Two (Fancy Nancy)</t>
  </si>
  <si>
    <t>Robin Preiss Glasser</t>
  </si>
  <si>
    <t>5x5-picture-books_k (#27)</t>
  </si>
  <si>
    <t>Fancy Nancy and the Late, Late, LATE Night: A Picture Book for Kids (Ages 4-8) About Movie Stars and Staying Up</t>
  </si>
  <si>
    <t>5x5-picture-books_k (#26)</t>
  </si>
  <si>
    <t>Fancy Nancy and the Sensational Babysitter</t>
  </si>
  <si>
    <t>Robin Preiss Glasser, Aleksey Ivanov, Olga Ivanov</t>
  </si>
  <si>
    <t>5x5-picture-books_k (#25)</t>
  </si>
  <si>
    <t>Fancy Nancy: Budding Ballerina</t>
  </si>
  <si>
    <t>5x5-picture-books_k (#23)</t>
  </si>
  <si>
    <t>Fancy Nancy: Puppy Party</t>
  </si>
  <si>
    <t>Robin Preiss Glasser, Carolyn Bracken</t>
  </si>
  <si>
    <t>5x5-picture-books_k (#20)</t>
  </si>
  <si>
    <t>Fancy Nancy: Candy Bonanza: A Fun Halloween Storybook About Trick-or-Treating and Delectable Candy</t>
  </si>
  <si>
    <t>5x5-picture-books_k (#6)</t>
  </si>
  <si>
    <t>David Beckham (World Soccer Stars / Estrellas Del Futbol Mundial) (English and Spanish Edition)</t>
  </si>
  <si>
    <t>José María Obregón</t>
  </si>
  <si>
    <t>Obregón, José María</t>
  </si>
  <si>
    <t>Editorial Buenas Letras</t>
  </si>
  <si>
    <t>1-x-4-spanish-picture-books_b (#28)</t>
  </si>
  <si>
    <t>Ronaldinho (World Soccer Stars / Estrellas Del Futbol Mundial) (English and Spanish Edition)</t>
  </si>
  <si>
    <t>Powerkids Pr</t>
  </si>
  <si>
    <t>1-x-4-spanish-picture-books_b (#16)</t>
  </si>
  <si>
    <t>Los tres cerditos / The Three Little Pigs (Bilingual Tales)</t>
  </si>
  <si>
    <t>Luz Orihuela</t>
  </si>
  <si>
    <t>Orihuela, Luz</t>
  </si>
  <si>
    <t>Maria Rius</t>
  </si>
  <si>
    <t>4x4-picture-books-g (#23), 1-x-4_spanish-picture-books_a (#27)</t>
  </si>
  <si>
    <t>Bilingual Tales: El patito feo / The Ugly Duckling (Spanish and English Edition)</t>
  </si>
  <si>
    <t>Irene Bordoy, Esther Sarfatti</t>
  </si>
  <si>
    <t>4x4-picture-books-g (#22)</t>
  </si>
  <si>
    <t>Bilingual Tales: Caperucita roja / Little Red Riding Hood (Scholastic Bilingual) (Spanish Edition)</t>
  </si>
  <si>
    <t>4x4-picture-books-g (#21)</t>
  </si>
  <si>
    <t>Paleta de diez colores/ Palette of Ten Colors (Reloj de versos/ Clock of Poems) (Spanish Edition)</t>
  </si>
  <si>
    <t>Fernando del Paso</t>
  </si>
  <si>
    <t>Paso, Fernando del</t>
  </si>
  <si>
    <t>Vicente Rojo</t>
  </si>
  <si>
    <t>Centro De Informacion Y Desarrollo</t>
  </si>
  <si>
    <t>4x4-picture-books-g (#14)</t>
  </si>
  <si>
    <t>China: Treasure Quest (Tiny Travelers)</t>
  </si>
  <si>
    <t>Susie Jaramillo, Mei Li, Magali Reyes McDonald</t>
  </si>
  <si>
    <t>5x5-picture-books_m (#11)</t>
  </si>
  <si>
    <t>Animals / Animales (Talking Hands) (English and Spanish Edition)</t>
  </si>
  <si>
    <t>Kathleen Petelinsek</t>
  </si>
  <si>
    <t>Petelinsek, Kathleen</t>
  </si>
  <si>
    <t>to-read (#18), 1-x-4-spanish-picture-books_b (#32)</t>
  </si>
  <si>
    <t>Perrazo y Perrito/Big Dog and Little Dog bilingual (reader) (Green Light Readers Level 1)</t>
  </si>
  <si>
    <t>Clarion Books</t>
  </si>
  <si>
    <t>white-bookshelf-o (#3)</t>
  </si>
  <si>
    <t>Rudolph the Red-Nosed Reindeer (Look and Find)</t>
  </si>
  <si>
    <t>Phoenix International Publications</t>
  </si>
  <si>
    <t>Publications, Phoenix International</t>
  </si>
  <si>
    <t>Art Mawhinney</t>
  </si>
  <si>
    <t>FBA Powersetup</t>
  </si>
  <si>
    <t>closet-black-bin-holiday (#56)</t>
  </si>
  <si>
    <t>A qué huele? : un libro sobre el olfato = Sniff, Sniff: A Book about Smell (Nuestro Asombroso Cuerpo)</t>
  </si>
  <si>
    <t>Rick Peterson, Patricia Abello</t>
  </si>
  <si>
    <t>to-read (#224), 1-x-4_spanish-picture-books_a (#77)</t>
  </si>
  <si>
    <t>Que rico!/ Yum: Un libro sobre el gusto/ A Book About Taste (Nuestro Asombroso Cuerpo: Los Cinco Sentidos/ Our Amazing Body: the Five Senses) (Spanish Edition)</t>
  </si>
  <si>
    <t>to-read (#223), 1-x-4_spanish-picture-books_a (#76)</t>
  </si>
  <si>
    <t>Suave y liso, aspero y rugoso/ Soft and Smooth, Rough and Bumpy: Un libro sobre el tacto/ A Book About Touch</t>
  </si>
  <si>
    <t>to-read (#222), 1-x-4_spanish-picture-books_a (#75)</t>
  </si>
  <si>
    <t>El Leon En La Hierba/ the Leon in the Hierba (Benchmark Rebus) (Spanish Edition)</t>
  </si>
  <si>
    <t>Nanci R. Vargus</t>
  </si>
  <si>
    <t>Benchmark Books</t>
  </si>
  <si>
    <t>to-read (#209), 1-x-4_spanish-picture-books_a (#62)</t>
  </si>
  <si>
    <t>La Ballena En El Oceano/ the Whale in the Water (Benchmark Rebus) (Spanish Edition)</t>
  </si>
  <si>
    <t>1-x-4-spanish-picture-books_b (#41)</t>
  </si>
  <si>
    <t>El Conejo en el Huerto</t>
  </si>
  <si>
    <t>1-x-4-spanish-picture-books_b (#40)</t>
  </si>
  <si>
    <t>El Robin en el Arbol</t>
  </si>
  <si>
    <t>1-x-4-spanish-picture-books_b (#35)</t>
  </si>
  <si>
    <t>A Flotar!/ Floating (Benchmark Rebus) (Spanish Edition)</t>
  </si>
  <si>
    <t>1-x-4-spanish-picture-books_b (#34)</t>
  </si>
  <si>
    <t>A Rodar!</t>
  </si>
  <si>
    <t>to-read (#19), 1-x-4-spanish-picture-books_b (#33)</t>
  </si>
  <si>
    <t>Los osos y sus guaridas / Bears Make Dens (Animal Builders) (Spanish Edition)</t>
  </si>
  <si>
    <t>Elizabeth Raum</t>
  </si>
  <si>
    <t>Raum, Elizabeth</t>
  </si>
  <si>
    <t>Romina Mart</t>
  </si>
  <si>
    <t>1-x-4_spanish-picture-books_a (#23)</t>
  </si>
  <si>
    <t>Curious George Makes a Valentine (CGTV Reader)</t>
  </si>
  <si>
    <t>H.A. Rey</t>
  </si>
  <si>
    <t>Rey, H.A.</t>
  </si>
  <si>
    <t>closet-black-bin-holiday (#14)</t>
  </si>
  <si>
    <t>Curious George in the Big City</t>
  </si>
  <si>
    <t>Margret Rey</t>
  </si>
  <si>
    <t>5x5-picture-books_l</t>
  </si>
  <si>
    <t>5x5-picture-books_l (#12)</t>
  </si>
  <si>
    <t>Curious George Subway Train Adventure (CGTV Reader)</t>
  </si>
  <si>
    <t>leveled-readers-2 (#40)</t>
  </si>
  <si>
    <t>Curious George Lemonade Stand: A Delightful Summer Tale about Entrepreneurship Featuring Everyone's Favorite Mischievous Monkey</t>
  </si>
  <si>
    <t>leveled-readers-2 (#38)</t>
  </si>
  <si>
    <t>Curious George's Home Run</t>
  </si>
  <si>
    <t>backpacks_curious-george (#3)</t>
  </si>
  <si>
    <t>Curious George Goes to the Beach</t>
  </si>
  <si>
    <t>Rey, Margret</t>
  </si>
  <si>
    <t>5x5-picture-books_l (#18)</t>
  </si>
  <si>
    <t>Happy Easter, Curious George</t>
  </si>
  <si>
    <t>H.A. Rey, R.P. Anderson, Mary O'Keefe Young</t>
  </si>
  <si>
    <t>curious-george, 5x5-picture-books_l</t>
  </si>
  <si>
    <t>curious-george (#1), 5x5-picture-books_l (#16)</t>
  </si>
  <si>
    <t>Curious George's Dinosaur Discovery: A Read-Aloud Adventure for Kids Featuring the Classic Curious Monkey and Real Dinosaur Bones</t>
  </si>
  <si>
    <t>H.A. Rey, Catherine Hapka, Anna Grossnickle Hines</t>
  </si>
  <si>
    <t>5x5-picture-books_l (#14)</t>
  </si>
  <si>
    <t>Curious George's Dream</t>
  </si>
  <si>
    <t>HMH Books</t>
  </si>
  <si>
    <t>5x5-picture-books_l (#13)</t>
  </si>
  <si>
    <t>Curious George Takes a Train</t>
  </si>
  <si>
    <t>H.A. Rey, Martha Weston</t>
  </si>
  <si>
    <t>5x5-picture-books_l (#11)</t>
  </si>
  <si>
    <t>Curious George Goes to a Movie</t>
  </si>
  <si>
    <t>5x5-picture-books_l (#9)</t>
  </si>
  <si>
    <t>Curious George and the Fire-fighters</t>
  </si>
  <si>
    <t>H.A. Rey, Anna Grossnickle Hines</t>
  </si>
  <si>
    <t>5x5-picture-books_l (#41)</t>
  </si>
  <si>
    <t>Curious George in the Snow</t>
  </si>
  <si>
    <t>5x5-picture-books_l (#7)</t>
  </si>
  <si>
    <t>Curious George Builds a Home</t>
  </si>
  <si>
    <t>Monica Pérez</t>
  </si>
  <si>
    <t>5x5-picture-books_l (#6)</t>
  </si>
  <si>
    <t>Curious George Goes to a Costume Party</t>
  </si>
  <si>
    <t>5x5-picture-books_l (#5)</t>
  </si>
  <si>
    <t>Curious George's First Day of School</t>
  </si>
  <si>
    <t>5x5-picture-books_l (#2)</t>
  </si>
  <si>
    <t>Curious George Visits the Library</t>
  </si>
  <si>
    <t>backpacks_curious-george, 5x5-picture-books_l</t>
  </si>
  <si>
    <t>backpacks_curious-george (#6), 5x5-picture-books_l (#40)</t>
  </si>
  <si>
    <t>Curious George at the Baseball Game</t>
  </si>
  <si>
    <t>H.A. Rey, Laura Driscoll, Anna Grossnickle Hines</t>
  </si>
  <si>
    <t>backpacks_curious-george (#5)</t>
  </si>
  <si>
    <t>Curious George and the Puppies</t>
  </si>
  <si>
    <t>curious-george (#2), 5x5-picture-books_l (#15)</t>
  </si>
  <si>
    <t>Curious George Makes Pancakes</t>
  </si>
  <si>
    <t>backpacks_curious-george (#2)</t>
  </si>
  <si>
    <t>Elephants (Amazing Animals)</t>
  </si>
  <si>
    <t>Kate Riggs</t>
  </si>
  <si>
    <t>Riggs, Kate</t>
  </si>
  <si>
    <t>white-bookshelf-m, to-read, 5x5-picture-books-e</t>
  </si>
  <si>
    <t>white-bookshelf-m (#32), to-read (#146), 5x5-picture-books-e (#19)</t>
  </si>
  <si>
    <t>Goats (Seedlings)</t>
  </si>
  <si>
    <t>5x5-picture-books-e (#65)</t>
  </si>
  <si>
    <t>Foxes (Amazing Animals)</t>
  </si>
  <si>
    <t>Creative Paperbacks</t>
  </si>
  <si>
    <t>5x5-picture-books-e (#52)</t>
  </si>
  <si>
    <t>Axel the Truck: Speed Track (My First I Can Read)</t>
  </si>
  <si>
    <t>J.D. Riley</t>
  </si>
  <si>
    <t>Riley, J.D.</t>
  </si>
  <si>
    <t>leveled-readers_my-first-reading (#18)</t>
  </si>
  <si>
    <t>Me and My Mom</t>
  </si>
  <si>
    <t>Alison Ritchie</t>
  </si>
  <si>
    <t>Ritchie, Alison</t>
  </si>
  <si>
    <t>Good Books</t>
  </si>
  <si>
    <t>backpacks_family</t>
  </si>
  <si>
    <t>backpacks_family (#2)</t>
  </si>
  <si>
    <t>Superman Classic: Parasite City</t>
  </si>
  <si>
    <t>Lucy Rosen</t>
  </si>
  <si>
    <t>Rosen, Lucy</t>
  </si>
  <si>
    <t>Steven E. Gordon, Eric A. Gordon</t>
  </si>
  <si>
    <t>5x5-picture-books-a (#8), to-read (#46)</t>
  </si>
  <si>
    <t>Light: Shadows, Mirrors, and Rainbows (Amazing Science)</t>
  </si>
  <si>
    <t>Natalie M. Rosinsky</t>
  </si>
  <si>
    <t>Rosinsky, Natalie M.</t>
  </si>
  <si>
    <t>Sheree Boyd</t>
  </si>
  <si>
    <t>4x4-picture-books-c (#14)</t>
  </si>
  <si>
    <t>Puppy (See How They Grow)</t>
  </si>
  <si>
    <t>Angela Royston</t>
  </si>
  <si>
    <t>Royston, Angela</t>
  </si>
  <si>
    <t>Jane Burton</t>
  </si>
  <si>
    <t>backpacks_animals (#9)</t>
  </si>
  <si>
    <t>Richard Scarry's A Day at the Airport (Pictureback)</t>
  </si>
  <si>
    <t>Richard Scarry</t>
  </si>
  <si>
    <t>Scarry, Richard</t>
  </si>
  <si>
    <t>4x4-picture-books-a (#14)</t>
  </si>
  <si>
    <t>Finding Dory: Dory's Story (Disney/Pixar Finding Dory)</t>
  </si>
  <si>
    <t>Bill Scollon</t>
  </si>
  <si>
    <t>Scollon, Bill</t>
  </si>
  <si>
    <t>leveled-readers-2 (#72)</t>
  </si>
  <si>
    <t>The Journey Home (Disney/Pixar The Good Dinosaur) (Step into Reading)</t>
  </si>
  <si>
    <t>leveled-readers-2 (#73)</t>
  </si>
  <si>
    <t>Dr. Seuss's ABC</t>
  </si>
  <si>
    <t>5x5-picture-books_g</t>
  </si>
  <si>
    <t>5x5-picture-books_g (#10)</t>
  </si>
  <si>
    <t>Shark in the Park on a Windy Day!</t>
  </si>
  <si>
    <t>Nick Sharratt</t>
  </si>
  <si>
    <t>Sharratt, Nick</t>
  </si>
  <si>
    <t>Picture Corgi</t>
  </si>
  <si>
    <t>5x5-picture-books_n (#3)</t>
  </si>
  <si>
    <t>Shark in the Park!</t>
  </si>
  <si>
    <t>Corgi Childrens</t>
  </si>
  <si>
    <t>white-bookshelf-g, 5x5-picture-books_n</t>
  </si>
  <si>
    <t>white-bookshelf-g (#1), 5x5-picture-books_n (#2)</t>
  </si>
  <si>
    <t>Olivia and the Haunted Hotel</t>
  </si>
  <si>
    <t>Jodie Shepherd</t>
  </si>
  <si>
    <t>Shepherd, Jodie</t>
  </si>
  <si>
    <t>Patrick Spaziante</t>
  </si>
  <si>
    <t>5x5-picture-books_k (#12)</t>
  </si>
  <si>
    <t>Shivery Shades of Halloween</t>
  </si>
  <si>
    <t>Mary McKenna Siddals</t>
  </si>
  <si>
    <t>Siddals, Mary McKenna</t>
  </si>
  <si>
    <t>Jimmy Pickering</t>
  </si>
  <si>
    <t>closet-black-bin-holiday (#31)</t>
  </si>
  <si>
    <t>The Wonky Donkey</t>
  </si>
  <si>
    <t>Craig           Smith</t>
  </si>
  <si>
    <t>Smith, Craig</t>
  </si>
  <si>
    <t>Katz Cowley</t>
  </si>
  <si>
    <t>Scholastic New Zealand</t>
  </si>
  <si>
    <t>5x5-picture-books-c (#72)</t>
  </si>
  <si>
    <t>The Grinny Granny Donkey (A Wonky Donkey Book)</t>
  </si>
  <si>
    <t>white-bookshelf-l (#29), 5x5-picture-books-c (#31)</t>
  </si>
  <si>
    <t>Where?</t>
  </si>
  <si>
    <t>4x4-picture-books-c (#19)</t>
  </si>
  <si>
    <t>Why?</t>
  </si>
  <si>
    <t>4x4-picture-books-c (#20)</t>
  </si>
  <si>
    <t>When? (A Rand McNally question book)</t>
  </si>
  <si>
    <t>4x4-picture-books-l (#26)</t>
  </si>
  <si>
    <t>When? (A Question Book from Discovery Toys, #327)</t>
  </si>
  <si>
    <t>Ottenheimer Publishers, Inc.</t>
  </si>
  <si>
    <t>closet_math-and-science (#29)</t>
  </si>
  <si>
    <t>Why? a Question Book from Discovery Toys</t>
  </si>
  <si>
    <t>Ottenheimer</t>
  </si>
  <si>
    <t>closet_math-and-science (#28)</t>
  </si>
  <si>
    <t>Dinner with Olivia</t>
  </si>
  <si>
    <t>Emily Sollinger</t>
  </si>
  <si>
    <t>Sollinger, Emily</t>
  </si>
  <si>
    <t>Guy Wolek</t>
  </si>
  <si>
    <t>5x5-picture-books_k (#11)</t>
  </si>
  <si>
    <t>A reparar ese camion! (LEGO City)</t>
  </si>
  <si>
    <t>Michael Anthony Steele</t>
  </si>
  <si>
    <t>Steele, Michael Anthony</t>
  </si>
  <si>
    <t>4x4-picture-books-g (#25)</t>
  </si>
  <si>
    <t>See How They Grow: Butterfly</t>
  </si>
  <si>
    <t>Kim Taylor</t>
  </si>
  <si>
    <t>Taylor, Kim</t>
  </si>
  <si>
    <t>Helen Senior, Mary Ling</t>
  </si>
  <si>
    <t>backpacks_animals (#10)</t>
  </si>
  <si>
    <t>Tonka: If I Could Drive a Loader</t>
  </si>
  <si>
    <t>Michael Teitelbaum</t>
  </si>
  <si>
    <t>Teitelbaum, Michael</t>
  </si>
  <si>
    <t>Klavins / Walker</t>
  </si>
  <si>
    <t>Cartwheel</t>
  </si>
  <si>
    <t>backpacks_construction-vehicles (#2)</t>
  </si>
  <si>
    <t>Pumpkin Pumpkin</t>
  </si>
  <si>
    <t>Jeanne Titherington</t>
  </si>
  <si>
    <t>Titherington, Jeanne</t>
  </si>
  <si>
    <t>Mulberry Books</t>
  </si>
  <si>
    <t>white-bookshelf-n (#39), to-read (#158), 5x5-picture-books-e (#31)</t>
  </si>
  <si>
    <t>Halloween Pie</t>
  </si>
  <si>
    <t>Michael O. Tunnell</t>
  </si>
  <si>
    <t>Tunnell, Michael O.</t>
  </si>
  <si>
    <t>Kevin O'Malley</t>
  </si>
  <si>
    <t>Lothrop Lee &amp; Shepard</t>
  </si>
  <si>
    <t>closet-black-bin-holiday (#37)</t>
  </si>
  <si>
    <t>La Historia de la Navidad (The Story of Christmas Spanish Edition) (Little Golden Book)</t>
  </si>
  <si>
    <t>Jane Werner Watson</t>
  </si>
  <si>
    <t>Watson, Jane Werner</t>
  </si>
  <si>
    <t>Eloise Wilkin</t>
  </si>
  <si>
    <t>Golden Books</t>
  </si>
  <si>
    <t>to-read (#188), 1-x-4_spanish-picture-books_a (#39)</t>
  </si>
  <si>
    <t>Max's Easter Surprise (Max and Ruby)</t>
  </si>
  <si>
    <t>Rosemary Wells</t>
  </si>
  <si>
    <t>Wells, Rosemary</t>
  </si>
  <si>
    <t>Grosset &amp; Dunlap</t>
  </si>
  <si>
    <t>closet-black-bin-holiday (#15)</t>
  </si>
  <si>
    <t>Cricket and the Excitable Egg (Wee Wizards)</t>
  </si>
  <si>
    <t>Tracey West</t>
  </si>
  <si>
    <t>West, Tracey</t>
  </si>
  <si>
    <t>John Manders</t>
  </si>
  <si>
    <t>5x5-picture-books-b (#15)</t>
  </si>
  <si>
    <t>I Can Handle It (Mindful Mantras, #1)</t>
  </si>
  <si>
    <t>Laurie Wright</t>
  </si>
  <si>
    <t>Wright, Laurie</t>
  </si>
  <si>
    <t>Ana  Santos</t>
  </si>
  <si>
    <t>4x4-picture-books-j (#32)</t>
  </si>
  <si>
    <t>Puff, the Magic Dragon</t>
  </si>
  <si>
    <t>Peter Yarrow</t>
  </si>
  <si>
    <t>Yarrow, Peter</t>
  </si>
  <si>
    <t>Lenny Lipton, Éric Puybaret</t>
  </si>
  <si>
    <t>4x4-picture-books-e (#37)</t>
  </si>
  <si>
    <t>What the Ladybird Heard</t>
  </si>
  <si>
    <t>Julia Donaldson</t>
  </si>
  <si>
    <t>Donaldson, Julia</t>
  </si>
  <si>
    <t>Lydia Monks</t>
  </si>
  <si>
    <t>MacMillan Children's Books</t>
  </si>
  <si>
    <t>5x5-picture-books-b (#4), to-read (#67)</t>
  </si>
  <si>
    <t>Hair Like Mine (Kids Like Mine, #1)</t>
  </si>
  <si>
    <t>LaTashia M. Perry</t>
  </si>
  <si>
    <t>Perry, LaTashia M.</t>
  </si>
  <si>
    <t>Bea Jackson</t>
  </si>
  <si>
    <t>G Publishing LLC</t>
  </si>
  <si>
    <t>4x4-picture-books-i (#18)</t>
  </si>
  <si>
    <t>Be Kind, Be Brave, Be You! (Peanuts)</t>
  </si>
  <si>
    <t>Elizabeth Dennis Barton</t>
  </si>
  <si>
    <t>Barton, Elizabeth Dennis</t>
  </si>
  <si>
    <t>Scott Jeralds, Charles M. Schulz</t>
  </si>
  <si>
    <t>4x4-picture-books-m (#1)</t>
  </si>
  <si>
    <t>The Adventures of Max the Minnow</t>
  </si>
  <si>
    <t>William Boniface</t>
  </si>
  <si>
    <t>Boniface, William</t>
  </si>
  <si>
    <t>Don Sullivan</t>
  </si>
  <si>
    <t>Andrews McMeel Publishing</t>
  </si>
  <si>
    <t>5x5-picture-books_m (#2)</t>
  </si>
  <si>
    <t>Biscuit (My First I Can Read)</t>
  </si>
  <si>
    <t>Harper Collins Publishers</t>
  </si>
  <si>
    <t>white-bookshelf-i, 4x4-picture-books-l</t>
  </si>
  <si>
    <t>white-bookshelf-i (#19), 4x4-picture-books-l (#40)</t>
  </si>
  <si>
    <t>After Dark</t>
  </si>
  <si>
    <t>Teryl Euvremer</t>
  </si>
  <si>
    <t>Euvremer, Teryl</t>
  </si>
  <si>
    <t>Alfred A. Knopf</t>
  </si>
  <si>
    <t>4x4-picture-books-e (#34)</t>
  </si>
  <si>
    <t>Kwanzaa (Holidays)</t>
  </si>
  <si>
    <t>Buddy Books</t>
  </si>
  <si>
    <t>to-read (#225), 1-x-4_spanish-picture-books_a (#78)</t>
  </si>
  <si>
    <t>The Adventures of Isabel</t>
  </si>
  <si>
    <t>Ogden Nash</t>
  </si>
  <si>
    <t>Nash, Ogden</t>
  </si>
  <si>
    <t>Bridget Taylor</t>
  </si>
  <si>
    <t>5x5-picture-books-b (#23)</t>
  </si>
  <si>
    <t>Seasons of Love</t>
  </si>
  <si>
    <t>Janet Parsons</t>
  </si>
  <si>
    <t>Parsons, Janet</t>
  </si>
  <si>
    <t>Claire Richards</t>
  </si>
  <si>
    <t>Potoroo Publishing</t>
  </si>
  <si>
    <t>4x4-picture-books-m (#13)</t>
  </si>
  <si>
    <t>Who's There, Little Hoo?</t>
  </si>
  <si>
    <t>Brenda Ponnay</t>
  </si>
  <si>
    <t>Ponnay, Brenda</t>
  </si>
  <si>
    <t>white-bookshelf-o (#18)</t>
  </si>
  <si>
    <t>Giant Pop-Out Shapes: A Pop-Out Surprise Book</t>
  </si>
  <si>
    <t>Amelia Powers</t>
  </si>
  <si>
    <t>Powers, Amelia</t>
  </si>
  <si>
    <t>4x4-picture-books-b (#16)</t>
  </si>
  <si>
    <t>Alphaprints: ABC</t>
  </si>
  <si>
    <t>4x4-picture-books-b (#8)</t>
  </si>
  <si>
    <t>I Am Cindy-Lou Who: Based on Dr. Seuss's How the Grinch Stole Christmas! (Dr. Seuss's I Am Board Books)</t>
  </si>
  <si>
    <t>closet-black-bin-holiday (#60)</t>
  </si>
  <si>
    <t>I Yoga You</t>
  </si>
  <si>
    <t>Genevieve Santos</t>
  </si>
  <si>
    <t>Santos, Genevieve</t>
  </si>
  <si>
    <t>4x4-picture-books-m (#6)</t>
  </si>
  <si>
    <t>There Was An Old Lady Who Swallowed The ABCs</t>
  </si>
  <si>
    <t>4x4-picture-books-f (#12)</t>
  </si>
  <si>
    <t>Lumberjanes: Friendship to the Max (Lumberjanes, #7)</t>
  </si>
  <si>
    <t>N.D. Stevenson</t>
  </si>
  <si>
    <t>Stevenson, N.D.</t>
  </si>
  <si>
    <t>Grace Ellis, Brooke A. Allen</t>
  </si>
  <si>
    <t>BOOM!Box</t>
  </si>
  <si>
    <t>closet_graphic-novels, 4-x-4-early-elem-chapter-books_c</t>
  </si>
  <si>
    <t>closet_graphic-novels (#7), 4-x-4-early-elem-chapter-books_c (#1)</t>
  </si>
  <si>
    <t>Thelma the Unicorn</t>
  </si>
  <si>
    <t>4x4-picture-books-i (#19)</t>
  </si>
  <si>
    <t>Little Rabbit Waits for the Moon</t>
  </si>
  <si>
    <t>Parragon Books</t>
  </si>
  <si>
    <t>Books, Parragon</t>
  </si>
  <si>
    <t>Parragon Inc</t>
  </si>
  <si>
    <t>white-bookshelf-l (#18), 5x5-picture-books-c (#53)</t>
  </si>
  <si>
    <t>Clifford's Word Book</t>
  </si>
  <si>
    <t>Norman Bridwell</t>
  </si>
  <si>
    <t>Bridwell, Norman</t>
  </si>
  <si>
    <t>5x5-picture-books_l (#32)</t>
  </si>
  <si>
    <t>There Was an Old Lady Who Swallowed a Bat!</t>
  </si>
  <si>
    <t>4x4-picture-books-f (#33)</t>
  </si>
  <si>
    <t>Bravo! (Bilingual board book - Spanish edition): Poems About Amazing Hispanics / Poemas sobre Hispanos Extraordinarios</t>
  </si>
  <si>
    <t>Margarita Engle</t>
  </si>
  <si>
    <t>Engle, Margarita</t>
  </si>
  <si>
    <t>Henry Holt and Co. (BYR)</t>
  </si>
  <si>
    <t>4x4-picture-books-h (#15)</t>
  </si>
  <si>
    <t>Snuggle Up, Sleepy Ones</t>
  </si>
  <si>
    <t>Claire Freedman</t>
  </si>
  <si>
    <t>Freedman, Claire</t>
  </si>
  <si>
    <t>Tina Macnaughton</t>
  </si>
  <si>
    <t>Good BookS</t>
  </si>
  <si>
    <t>5x5-picture-books-a (#20), to-read (#34)</t>
  </si>
  <si>
    <t>Un día de nieve</t>
  </si>
  <si>
    <t>Ezra Jack Keats</t>
  </si>
  <si>
    <t>Keats, Ezra Jack</t>
  </si>
  <si>
    <t>4x4-picture-books-g (#60)</t>
  </si>
  <si>
    <t>Any Room for Me?</t>
  </si>
  <si>
    <t>Loek Koopmans</t>
  </si>
  <si>
    <t>Koopmans, Loek</t>
  </si>
  <si>
    <t>Floris Books</t>
  </si>
  <si>
    <t>5x5-picture-books-b (#50), to-read (#99)</t>
  </si>
  <si>
    <t>Japan: Treasure Quest (Tiny Travelers)</t>
  </si>
  <si>
    <t>Susie Jaramillo, Meiyee Tan, Abigail Gross</t>
  </si>
  <si>
    <t>5x5-picture-books_m (#8)</t>
  </si>
  <si>
    <t>La Pulga y el Piojo</t>
  </si>
  <si>
    <t>Víctor Pérez</t>
  </si>
  <si>
    <t>Pérez, Víctor</t>
  </si>
  <si>
    <t>Ediciones Ekaré</t>
  </si>
  <si>
    <t>4x4-picture-books-h (#6)</t>
  </si>
  <si>
    <t>Estaba El Senor Don Gato (Spanish Edition)</t>
  </si>
  <si>
    <t>Tradición popular</t>
  </si>
  <si>
    <t>popular, Tradición</t>
  </si>
  <si>
    <t>4x4-picture-books-g (#54)</t>
  </si>
  <si>
    <t>Tinkering Tink (An Embossed Storybook)</t>
  </si>
  <si>
    <t>Elle D. Risco</t>
  </si>
  <si>
    <t>Risco, Elle D.</t>
  </si>
  <si>
    <t>Denise Shimabukuro, Dee Farnsworth</t>
  </si>
  <si>
    <t>5x5-picture-books-b (#63), to-read (#89)</t>
  </si>
  <si>
    <t>Beautiful Oops [Board book]</t>
  </si>
  <si>
    <t>Barney Saltzberg</t>
  </si>
  <si>
    <t>Saltzberg, Barney</t>
  </si>
  <si>
    <t>4x4-picture-books-b (#14)</t>
  </si>
  <si>
    <t>¡Hay un molillo en mi bolsillo!</t>
  </si>
  <si>
    <t>Yanitzia Canetti</t>
  </si>
  <si>
    <t>white-bookshelf-o, 1-x-4_spanish-picture-books_a</t>
  </si>
  <si>
    <t>white-bookshelf-o (#10), 1-x-4_spanish-picture-books_a (#18)</t>
  </si>
  <si>
    <t>The Shape of Me and Other Stuff</t>
  </si>
  <si>
    <t>Picture Lions</t>
  </si>
  <si>
    <t>backpacks_dr-suess (#7)</t>
  </si>
  <si>
    <t>Twinkle Twinkle Little Star (Kate Toms Mini)</t>
  </si>
  <si>
    <t>Kate Toms</t>
  </si>
  <si>
    <t>Toms, Kate</t>
  </si>
  <si>
    <t>Make Believe Ideas</t>
  </si>
  <si>
    <t>white-bookshelf-m</t>
  </si>
  <si>
    <t>white-bookshelf-m (#1)</t>
  </si>
  <si>
    <t>In My Heart: A Book of Feelings (Growing Hearts)</t>
  </si>
  <si>
    <t>Jo Witek</t>
  </si>
  <si>
    <t>Witek, Jo</t>
  </si>
  <si>
    <t>Christine Roussey</t>
  </si>
  <si>
    <t>4x4-picture-books-n</t>
  </si>
  <si>
    <t>4x4-picture-books-n (#5)</t>
  </si>
  <si>
    <t>El Senor Conejo Y El Hermoso Regalo/ Mr. Rabbit and the Lovely Present (Spanish Edition)</t>
  </si>
  <si>
    <t>Charlotte Zolotow</t>
  </si>
  <si>
    <t>Zolotow, Charlotte</t>
  </si>
  <si>
    <t>to-read (#195), 1-x-4_spanish-picture-books_a (#47)</t>
  </si>
  <si>
    <t>The Jolly Postman or Other People's Letters</t>
  </si>
  <si>
    <t>Janet Ahlberg</t>
  </si>
  <si>
    <t>Ahlberg, Janet</t>
  </si>
  <si>
    <t>Allan Ahlberg</t>
  </si>
  <si>
    <t>Boston, Massachusetts, U.S.A.: Little Brown &amp; Co</t>
  </si>
  <si>
    <t>4x4-picture-books-b (#9)</t>
  </si>
  <si>
    <t>Are You a Grasshopper?</t>
  </si>
  <si>
    <t>Judy Allen</t>
  </si>
  <si>
    <t>Allen, Judy</t>
  </si>
  <si>
    <t>Kingfisher Books Ltd</t>
  </si>
  <si>
    <t>white-bookshelf-n, 5x5-picture-books_i, 5x5-picture-books-e</t>
  </si>
  <si>
    <t>white-bookshelf-n (#44), 5x5-picture-books_i (#6), 5x5-picture-books-e (#70)</t>
  </si>
  <si>
    <t>Let's Read About... Ruby Bridges</t>
  </si>
  <si>
    <t>Ruby Bridges</t>
  </si>
  <si>
    <t>Bridges, Ruby</t>
  </si>
  <si>
    <t>4x4-picture-books-p (#12)</t>
  </si>
  <si>
    <t>Achoo!</t>
  </si>
  <si>
    <t>Mij Kelly</t>
  </si>
  <si>
    <t>Kelly, Mij</t>
  </si>
  <si>
    <t>Mary McQuillan</t>
  </si>
  <si>
    <t>B E S Pub Co</t>
  </si>
  <si>
    <t>to-read, 4x4-picture-books-j</t>
  </si>
  <si>
    <t>to-read (#1), 4x4-picture-books-j (#52)</t>
  </si>
  <si>
    <t>The Tale of Peter Rabbit (Dolly Parton's Imagination Library)</t>
  </si>
  <si>
    <t>Beatrix Potter</t>
  </si>
  <si>
    <t>Potter, Beatrix</t>
  </si>
  <si>
    <t>The Penguin Group</t>
  </si>
  <si>
    <t>4x4-picture-books-f (#25)</t>
  </si>
  <si>
    <t>My Name Is Yoon</t>
  </si>
  <si>
    <t>Helen Recorvits</t>
  </si>
  <si>
    <t>Recorvits, Helen</t>
  </si>
  <si>
    <t>Gabi Swiatkowska</t>
  </si>
  <si>
    <t>Farrar, Straus and Giroux (BYR)</t>
  </si>
  <si>
    <t>4x4-picture-books-k, 4x4-picture-books-o</t>
  </si>
  <si>
    <t>4x4-picture-books-k (#15), 4x4-picture-books-o (#9)</t>
  </si>
  <si>
    <t>Penguins (Eyes on Nature)</t>
  </si>
  <si>
    <t>Jane Parker Resnick</t>
  </si>
  <si>
    <t>Resnick, Jane Parker</t>
  </si>
  <si>
    <t>Kidsbooks</t>
  </si>
  <si>
    <t>backpacks-sea-animals (#1)</t>
  </si>
  <si>
    <t>The Princess and the Happiness</t>
  </si>
  <si>
    <t>Ulf Stark</t>
  </si>
  <si>
    <t>Stark, Ulf</t>
  </si>
  <si>
    <t>Silke Leffler</t>
  </si>
  <si>
    <t>medieval (#1)</t>
  </si>
  <si>
    <t>The Book Report from the Black Lagoon</t>
  </si>
  <si>
    <t>Mike Thaler</t>
  </si>
  <si>
    <t>Thaler, Mike</t>
  </si>
  <si>
    <t>montclair-high-school-sets (#8)</t>
  </si>
  <si>
    <t>How Do Dinosaurs Go to School?</t>
  </si>
  <si>
    <t>Jane Yolen</t>
  </si>
  <si>
    <t>Yolen, Jane</t>
  </si>
  <si>
    <t>The Blue Sky Press</t>
  </si>
  <si>
    <t>white-bookshelf-m (#7)</t>
  </si>
  <si>
    <t>This Is an Ocean (Power 100)</t>
  </si>
  <si>
    <t>Gina Zorzi</t>
  </si>
  <si>
    <t>Zorzi, Gina</t>
  </si>
  <si>
    <t>Trace Taylor</t>
  </si>
  <si>
    <t>Amer Reading Co</t>
  </si>
  <si>
    <t>ocean</t>
  </si>
  <si>
    <t>ocean (#3)</t>
  </si>
  <si>
    <t>Race to the Rescue: The Flights of Marceau</t>
  </si>
  <si>
    <t>Stephen Marchesi</t>
  </si>
  <si>
    <t>poetry</t>
  </si>
  <si>
    <t>poetry (#2)</t>
  </si>
  <si>
    <t>Arthur Babysits (Arthur Adventure Series)</t>
  </si>
  <si>
    <t>5x5-picture-books-b (#3), to-read (#68)</t>
  </si>
  <si>
    <t>La historia de Ruby Bridges</t>
  </si>
  <si>
    <t>Robert Coles</t>
  </si>
  <si>
    <t>Coles, Robert</t>
  </si>
  <si>
    <t>4x4-picture-books-p (#26)</t>
  </si>
  <si>
    <t>The Day the Crayons Quit</t>
  </si>
  <si>
    <t>Drew Daywalt</t>
  </si>
  <si>
    <t>Daywalt, Drew</t>
  </si>
  <si>
    <t>Philomel Books</t>
  </si>
  <si>
    <t>4x4-picture-books-d</t>
  </si>
  <si>
    <t>4x4-picture-books-d (#29)</t>
  </si>
  <si>
    <t>The Magic School Bus Fights Germs</t>
  </si>
  <si>
    <t>Kate Egan</t>
  </si>
  <si>
    <t>Egan, Kate</t>
  </si>
  <si>
    <t>Cartwheel Books Scholastic</t>
  </si>
  <si>
    <t>leveled-readers-2 (#83)</t>
  </si>
  <si>
    <t>My First Book of Sign Language</t>
  </si>
  <si>
    <t>teacher-grants (#71)</t>
  </si>
  <si>
    <t>Frozen: An Icy Monster</t>
  </si>
  <si>
    <t>Megan Ilnitzki</t>
  </si>
  <si>
    <t>Ilnitzki, Megan</t>
  </si>
  <si>
    <t>leveled-readers_1 (#1), leveled-readers_1_sets (#63)</t>
  </si>
  <si>
    <t>Frozen: The Spring Parade</t>
  </si>
  <si>
    <t>white-bookshelf-k (#10)</t>
  </si>
  <si>
    <t>Algún día</t>
  </si>
  <si>
    <t>Alison McGhee</t>
  </si>
  <si>
    <t>McGhee, Alison</t>
  </si>
  <si>
    <t>Peter H. Reynolds</t>
  </si>
  <si>
    <t>4x4-picture-books-m (#14)</t>
  </si>
  <si>
    <t>The Kissing Hand</t>
  </si>
  <si>
    <t>Audrey Penn</t>
  </si>
  <si>
    <t>Penn, Audrey</t>
  </si>
  <si>
    <t>Ruth E. Harper, Nancy M. Leak</t>
  </si>
  <si>
    <t>Tanglewood</t>
  </si>
  <si>
    <t>white-bookshelf-k, 5x5-picture-books-c</t>
  </si>
  <si>
    <t>white-bookshelf-k (#23), 5x5-picture-books-c (#78)</t>
  </si>
  <si>
    <t>Picture a Tree</t>
  </si>
  <si>
    <t>Barbara Reid</t>
  </si>
  <si>
    <t>Reid, Barbara</t>
  </si>
  <si>
    <t>5x5-picture-books-b (#67)</t>
  </si>
  <si>
    <t>Cry, Heart, But Never Break</t>
  </si>
  <si>
    <t>Glenn Ringtved</t>
  </si>
  <si>
    <t>Ringtved, Glenn</t>
  </si>
  <si>
    <t>Charlotte  Pardi, Robert  Moulthrop</t>
  </si>
  <si>
    <t>Enchanted Lion Books</t>
  </si>
  <si>
    <t>4x4-picture-books-j (#39)</t>
  </si>
  <si>
    <t>Frozen: Anna in Charge</t>
  </si>
  <si>
    <t>leveled-readers_1 (#3), leveled-readers_1_sets (#64)</t>
  </si>
  <si>
    <t>Frozen: A Cool Contest</t>
  </si>
  <si>
    <t>leveled-readers_1 (#2), leveled-readers_1_sets (#62)</t>
  </si>
  <si>
    <t>There's a Wocket in My Pocket!</t>
  </si>
  <si>
    <t>backpacks_dr-suess (#10)</t>
  </si>
  <si>
    <t>Silly Sally</t>
  </si>
  <si>
    <t>white-bookshelf-n, to-read, 5x5-picture-books-d</t>
  </si>
  <si>
    <t>white-bookshelf-n (#10), to-read (#122), 5x5-picture-books-d (#44)</t>
  </si>
  <si>
    <t>Fritz and the Beautiful Horses</t>
  </si>
  <si>
    <t>Jan Brett</t>
  </si>
  <si>
    <t>Brett, Jan</t>
  </si>
  <si>
    <t>to-read, 5x5-picture-books-d</t>
  </si>
  <si>
    <t>to-read (#138), 5x5-picture-books-d (#62)</t>
  </si>
  <si>
    <t>JAKE AT GYMNASTICS JAKE HACE GIMNASIA (2014 EDITION SPANISH AND ENGLISH BOTH IN ONE BOOK)</t>
  </si>
  <si>
    <t>Rachel Isadora</t>
  </si>
  <si>
    <t>Isadora, Rachel</t>
  </si>
  <si>
    <t>PENGUIN RANDOM HOUSE</t>
  </si>
  <si>
    <t>4x4-picture-books-g (#61)</t>
  </si>
  <si>
    <t>Today I Thought I'd Run Away</t>
  </si>
  <si>
    <t>Jane  Johnson</t>
  </si>
  <si>
    <t>Johnson, Jane</t>
  </si>
  <si>
    <t>Dutton</t>
  </si>
  <si>
    <t>white-bookshelf-m (#16), to-read (#132), 5x5-picture-books-d (#55)</t>
  </si>
  <si>
    <t>The Joker's Ice Scream (Batman: I Can Read!, Level 2)</t>
  </si>
  <si>
    <t>Donald Lemke</t>
  </si>
  <si>
    <t>Lemke, Donald</t>
  </si>
  <si>
    <t>Andie Tong</t>
  </si>
  <si>
    <t>Turtleback Books</t>
  </si>
  <si>
    <t>leveled-readers-2 (#14)</t>
  </si>
  <si>
    <t>Inch by Inch</t>
  </si>
  <si>
    <t>HarperCollinsPublishers</t>
  </si>
  <si>
    <t>white-bookshelf-n (#40), 5x5-picture-books_h (#32)</t>
  </si>
  <si>
    <t>Maps / Los mapas (Bookworms: Earth Matters / Nuestro Planeta es Importante) (English and Spanish Edition)</t>
  </si>
  <si>
    <t>to-read (#17), 1-x-4-spanish-picture-books_b (#31)</t>
  </si>
  <si>
    <t>I Spy Ultimate Challenger! A Book of Picture Riddles</t>
  </si>
  <si>
    <t>Walter Wick</t>
  </si>
  <si>
    <t>Wick, Walter</t>
  </si>
  <si>
    <t>Jean Marzollo</t>
  </si>
  <si>
    <t>4x4-picture-books-a (#4)</t>
  </si>
  <si>
    <t>Ladybug at Orchard Avenue (Smithsonian's Backyard)</t>
  </si>
  <si>
    <t>Kathleen Weidner Zoehfeld</t>
  </si>
  <si>
    <t>Zoehfeld, Kathleen Weidner</t>
  </si>
  <si>
    <t>Soundprints</t>
  </si>
  <si>
    <t>backpacks_insects (#5)</t>
  </si>
  <si>
    <t>The Sleeping Beauty / La Bella Durmiente</t>
  </si>
  <si>
    <t>Christoph Abbrederis</t>
  </si>
  <si>
    <t>Abbrederis, Christoph</t>
  </si>
  <si>
    <t>Miquel Desclot</t>
  </si>
  <si>
    <t>4x4-picture-books-g (#48)</t>
  </si>
  <si>
    <t>Mediopollito/Half-Chicken: A Folktale in Spanish and English</t>
  </si>
  <si>
    <t>Alma Flor Ada</t>
  </si>
  <si>
    <t>Ada, Alma Flor</t>
  </si>
  <si>
    <t>Kim Howard</t>
  </si>
  <si>
    <t>4x4-picture-books-g (#37)</t>
  </si>
  <si>
    <t>Place Value</t>
  </si>
  <si>
    <t>Holiday House</t>
  </si>
  <si>
    <t>4x4-picture-books-c (#11)</t>
  </si>
  <si>
    <t>Young Cam Jansen and the Dinosaur Game (Young Cam Jansen Mysteries, #1)</t>
  </si>
  <si>
    <t>Susanna Natti</t>
  </si>
  <si>
    <t>Penguin Young Readers</t>
  </si>
  <si>
    <t>leveled-readers-2 (#28)</t>
  </si>
  <si>
    <t>Young Cam Jansen and the Double Beach Mystery (Young Cam Jansen Mysteries, #8)</t>
  </si>
  <si>
    <t>leveled-readers-2 (#25)</t>
  </si>
  <si>
    <t>Young Cam Jansen and the New Girl Mystery (Young Cam Jansen Mysteries, #10)</t>
  </si>
  <si>
    <t>leveled-readers-2 (#23)</t>
  </si>
  <si>
    <t>Young Cam Jansen and the Lost Tooth (Young Cam Jansen Mysteries, #3)</t>
  </si>
  <si>
    <t>leveled-readers-2 (#21)</t>
  </si>
  <si>
    <t>Young Cam Jansen and the Zoo Note Mystery (Young Cam Jansen Mysteries, #9)</t>
  </si>
  <si>
    <t>leveled-readers-2 (#19)</t>
  </si>
  <si>
    <t>Lion Lessons</t>
  </si>
  <si>
    <t>Jon Agee</t>
  </si>
  <si>
    <t>Agee, Jon</t>
  </si>
  <si>
    <t>Rocky Pond Books</t>
  </si>
  <si>
    <t>4x4-picture-books-j, to-read, 5x5-picture-books-d</t>
  </si>
  <si>
    <t>4x4-picture-books-j (#24), to-read (#121), 5x5-picture-books-d (#43)</t>
  </si>
  <si>
    <t>The Sandwich Swap</t>
  </si>
  <si>
    <t>Rania al-Abdullah</t>
  </si>
  <si>
    <t>al-Abdullah, Rania</t>
  </si>
  <si>
    <t>Kelly DiPucchio, Tricia Tusa</t>
  </si>
  <si>
    <t>Hyperion Books</t>
  </si>
  <si>
    <t>4x4-picture-books-j (#17)</t>
  </si>
  <si>
    <t>I'm NOT just a Scribble...</t>
  </si>
  <si>
    <t>Diane Alber</t>
  </si>
  <si>
    <t>Alber, Diane</t>
  </si>
  <si>
    <t>Diane Alber Art LLC</t>
  </si>
  <si>
    <t>4x4-picture-books-i (#30)</t>
  </si>
  <si>
    <t>Donde Esta Mi Osito?</t>
  </si>
  <si>
    <t>Jez Alborough</t>
  </si>
  <si>
    <t>Alborough, Jez</t>
  </si>
  <si>
    <t>Mario Castro</t>
  </si>
  <si>
    <t>4x4-picture-books-g (#27)</t>
  </si>
  <si>
    <t>My Five Senses Big Book (Let's-Read-and-Find-Out Science, Stage 1)</t>
  </si>
  <si>
    <t>Aliki</t>
  </si>
  <si>
    <t>Aliki, Aliki</t>
  </si>
  <si>
    <t>4x4-picture-books-c (#28)</t>
  </si>
  <si>
    <t>My Hands (Let's-Read-and-Find-Out Science, Stage 1)</t>
  </si>
  <si>
    <t>backpacks_my-body (#4)</t>
  </si>
  <si>
    <t>El Expreso Polar</t>
  </si>
  <si>
    <t>Chris Van Allsburg</t>
  </si>
  <si>
    <t>Allsburg, Chris Van</t>
  </si>
  <si>
    <t>to-read (#196), 1-x-4_spanish-picture-books_a (#48)</t>
  </si>
  <si>
    <t>The Commotion in the Ocean (Picture Books)</t>
  </si>
  <si>
    <t>Giles Andreae</t>
  </si>
  <si>
    <t>Andreae, Giles</t>
  </si>
  <si>
    <t>David Wojtowycz</t>
  </si>
  <si>
    <t>Orchard Books</t>
  </si>
  <si>
    <t>5x5-picture-books_n (#24)</t>
  </si>
  <si>
    <t>Free to Be Elephant Me</t>
  </si>
  <si>
    <t>Guy Parker-Rees</t>
  </si>
  <si>
    <t>4x4-picture-books-i (#2)</t>
  </si>
  <si>
    <t>Giraffes Can't Dance</t>
  </si>
  <si>
    <t>4x4-picture-books-i (#1)</t>
  </si>
  <si>
    <t>Rumble in the Jungle</t>
  </si>
  <si>
    <t>Tiger Tales</t>
  </si>
  <si>
    <t>5x5-picture-books-b (#26), to-read (#81)</t>
  </si>
  <si>
    <t>Oh My Baby, Little One: A Heartwarming Bird Story About Family Love and Saying Goodbye for Children (Ages 0-3)</t>
  </si>
  <si>
    <t>Jane Dyer</t>
  </si>
  <si>
    <t>5x5-picture-books-a (#7), to-read (#47)</t>
  </si>
  <si>
    <t>Boom Chicka Rock</t>
  </si>
  <si>
    <t>John Archambault</t>
  </si>
  <si>
    <t>Archambault, John</t>
  </si>
  <si>
    <t>Suzanne Tanner Chitwood</t>
  </si>
  <si>
    <t>4x4-picture-books-e (#22)</t>
  </si>
  <si>
    <t>Daniel Finds a Poem</t>
  </si>
  <si>
    <t>Micha Archer</t>
  </si>
  <si>
    <t>Archer, Micha</t>
  </si>
  <si>
    <t>Nancy Paulsen Books</t>
  </si>
  <si>
    <t>4x4-picture-books-e (#21)</t>
  </si>
  <si>
    <t>La Fiesta De Las Tortillas / The Fiesta Of The Tortillas</t>
  </si>
  <si>
    <t>Jorge Argueta</t>
  </si>
  <si>
    <t>Argueta, Jorge</t>
  </si>
  <si>
    <t>Joe Hayes</t>
  </si>
  <si>
    <t>Alfaguara Infantil</t>
  </si>
  <si>
    <t>1-x-4-spanish-picture-books_b (#2)</t>
  </si>
  <si>
    <t>El Zipitio (Spanish Language Edition)</t>
  </si>
  <si>
    <t>Groundwood Books</t>
  </si>
  <si>
    <t>1-x-4_spanish-picture-books_a (#8)</t>
  </si>
  <si>
    <t>Agua, Aguita/ Water, Little Water (Spanish and English Edition)</t>
  </si>
  <si>
    <t>Jorge Tetl Argueta</t>
  </si>
  <si>
    <t>Argueta, Jorge Tetl</t>
  </si>
  <si>
    <t>Felipe Ugalde, Felipe Ugalde Alcantara</t>
  </si>
  <si>
    <t>Pinata Books</t>
  </si>
  <si>
    <t>4x4-picture-books-g (#66)</t>
  </si>
  <si>
    <t>¡Cosas que andan! (Scholastic Explora Tu Mundo)</t>
  </si>
  <si>
    <t>Penelope Arlon</t>
  </si>
  <si>
    <t>Arlon, Penelope</t>
  </si>
  <si>
    <t>to-read (#220), 1-x-4_spanish-picture-books_a (#73)</t>
  </si>
  <si>
    <t>Fly Guy's Amazing Tricks</t>
  </si>
  <si>
    <t>Tedd Arnold</t>
  </si>
  <si>
    <t>Arnold, Tedd</t>
  </si>
  <si>
    <t>5x5-picture-books_h (#41)</t>
  </si>
  <si>
    <t>Fly Guy Meets Fly Girl</t>
  </si>
  <si>
    <t>5x5-picture-books_h (#31)</t>
  </si>
  <si>
    <t>Attack of the 50-Foot Fly Guy!</t>
  </si>
  <si>
    <t>5x5-picture-books_h (#30)</t>
  </si>
  <si>
    <t>Fly Guy and the Frankenfly</t>
  </si>
  <si>
    <t>5x5-picture-books_h (#29)</t>
  </si>
  <si>
    <t>Prince Fly Guy</t>
  </si>
  <si>
    <t>5x5-picture-books_h (#28)</t>
  </si>
  <si>
    <t>I Spy Fly Guy!</t>
  </si>
  <si>
    <t>5x5-picture-books_h (#27)</t>
  </si>
  <si>
    <t>Hombre Mosca y Chica Mosca: Terror nocturno (Fly Guy and Fly Girl: Night Fright) (Spanish Edition)</t>
  </si>
  <si>
    <t>5x5-picture-books_h (#18)</t>
  </si>
  <si>
    <t>Green Wilma (Puffin Pied Piper)</t>
  </si>
  <si>
    <t>Fly Guy Presents: Monster Trucks (Scholastic Reader, Level 2)</t>
  </si>
  <si>
    <t>5x5-picture-books_h (#26)</t>
  </si>
  <si>
    <t>Fly Guy Presents: Police Officers (Scholastic Reader, Level 2) (11)</t>
  </si>
  <si>
    <t>5x5-picture-books_h (#25)</t>
  </si>
  <si>
    <t>Fly Guy Presents: Insects (Scholastic Reader, Level 2)</t>
  </si>
  <si>
    <t>Scholastic Reference</t>
  </si>
  <si>
    <t>fly-guy-bins, 5x5-picture-books_h</t>
  </si>
  <si>
    <t>fly-guy-bins (#6), 5x5-picture-books_h (#20)</t>
  </si>
  <si>
    <t>Fly Guy Presents: The White House (Scholastic Reader, Level 2)</t>
  </si>
  <si>
    <t>fly-guy-bins (#5), 5x5-picture-books_h (#22)</t>
  </si>
  <si>
    <t>Fly Guy Presents: Space (Fly Guy Presents, #2)</t>
  </si>
  <si>
    <t>fly-guy-bins (#4), 5x5-picture-books_h (#21)</t>
  </si>
  <si>
    <t>Fly Guy Presents: Garbage and Recycling (Scholastic Reader, Level 2)</t>
  </si>
  <si>
    <t>fly-guy-bins</t>
  </si>
  <si>
    <t>fly-guy-bins (#3)</t>
  </si>
  <si>
    <t>Fly Guy Presents: Firefighters (Fly Guy Presents, #4)</t>
  </si>
  <si>
    <t>fly-guy-bins (#2), 5x5-picture-books_h (#23)</t>
  </si>
  <si>
    <t>Fly Guy Presents: Bats (Scholastic Reader, Level 2)</t>
  </si>
  <si>
    <t>fly-guy-bins (#1), 5x5-picture-books_h (#24)</t>
  </si>
  <si>
    <t>Fly Guy Presents: Sharks (Fly Guy Presents, #1)</t>
  </si>
  <si>
    <t>Scholastic Nonfiction</t>
  </si>
  <si>
    <t>ocean, 5x5-picture-books_h</t>
  </si>
  <si>
    <t>ocean (#2), 5x5-picture-books_h (#19)</t>
  </si>
  <si>
    <t>William Wakes Up</t>
  </si>
  <si>
    <t>Linda Ashman</t>
  </si>
  <si>
    <t>Ashman, Linda</t>
  </si>
  <si>
    <t>Chuck Groenink</t>
  </si>
  <si>
    <t>5x5-picture-books-b (#32), to-read (#76)</t>
  </si>
  <si>
    <t>Princess Prunella and the Purple Peanut</t>
  </si>
  <si>
    <t>Margaret Atwood</t>
  </si>
  <si>
    <t>Atwood, Margaret</t>
  </si>
  <si>
    <t>Maryann Kovalski</t>
  </si>
  <si>
    <t>Workman Publishing</t>
  </si>
  <si>
    <t>picture-books (#1)</t>
  </si>
  <si>
    <t>Thomas and Percy and the Dragon (Thomas &amp; Friends: Step into Reading)</t>
  </si>
  <si>
    <t>leveled-readers_1_sets (#38)</t>
  </si>
  <si>
    <t>Thomas Goes Fishing (Thomas &amp; Friends) (Step into Reading)</t>
  </si>
  <si>
    <t>leveled-readers_1_sets (#37)</t>
  </si>
  <si>
    <t>The Completed Hickory Dickory Dock (Aladdin Picture Books)</t>
  </si>
  <si>
    <t>Eileen Christelow</t>
  </si>
  <si>
    <t>Aladdin</t>
  </si>
  <si>
    <t>4x4-picture-books-e (#2)</t>
  </si>
  <si>
    <t>A Den Is a Bed for a Bear (ZigZag)</t>
  </si>
  <si>
    <t>Becky Baines</t>
  </si>
  <si>
    <t>Baines, Becky</t>
  </si>
  <si>
    <t>National Geographic</t>
  </si>
  <si>
    <t>backpacks-bears (#1)</t>
  </si>
  <si>
    <t>Harold And The Purple Crayon: Race Car (Festival Readers)</t>
  </si>
  <si>
    <t>Liza Baker</t>
  </si>
  <si>
    <t>Baker, Liza</t>
  </si>
  <si>
    <t>white-bookshelf-m (#2), 5x5-picture-books-c (#28)</t>
  </si>
  <si>
    <t>El Esqueleto Dentro De TI (Let'S-Read-And-Find-Out) (Spanish Edition)</t>
  </si>
  <si>
    <t>Philip Balestrino</t>
  </si>
  <si>
    <t>Balestrino, Philip</t>
  </si>
  <si>
    <t>4x4-picture-books-c (#29)</t>
  </si>
  <si>
    <t>Allie's Basketball Dream</t>
  </si>
  <si>
    <t>Barbara E. Barber</t>
  </si>
  <si>
    <t>Barber, Barbara E.</t>
  </si>
  <si>
    <t>Darryl Ligasan</t>
  </si>
  <si>
    <t>Lee &amp; Low Books</t>
  </si>
  <si>
    <t>4x4-picture-books-p (#32)</t>
  </si>
  <si>
    <t>The Rescue Mission (Pokemon The Series XYZ, Level 2 Reader)</t>
  </si>
  <si>
    <t>Maria S. Barbo</t>
  </si>
  <si>
    <t>Barbo, Maria S.</t>
  </si>
  <si>
    <t>leveled-readers-2 (#31)</t>
  </si>
  <si>
    <t>The Mine-O-Saur</t>
  </si>
  <si>
    <t>Sudipta  Bardhan-Quallen</t>
  </si>
  <si>
    <t>Bardhan-Quallen, Sudipta</t>
  </si>
  <si>
    <t>David H. Clark</t>
  </si>
  <si>
    <t>Putnam Juvenile</t>
  </si>
  <si>
    <t>5x5-picture-books-c (#42)</t>
  </si>
  <si>
    <t>Crown: An Ode to the Fresh Cut</t>
  </si>
  <si>
    <t>Derrick Barnes</t>
  </si>
  <si>
    <t>Barnes, Derrick</t>
  </si>
  <si>
    <t>Gordon C. James</t>
  </si>
  <si>
    <t>Agate Bolden</t>
  </si>
  <si>
    <t>teacher-grants (#89)</t>
  </si>
  <si>
    <t>Cloudy with a Chance of Meatballs (Cloudy with a Chance of Meatballs, #1)</t>
  </si>
  <si>
    <t>Judi Barrett</t>
  </si>
  <si>
    <t>Barrett, Judi</t>
  </si>
  <si>
    <t>Ron Barrett</t>
  </si>
  <si>
    <t>Atheneum Books for Young Readers</t>
  </si>
  <si>
    <t>montclair-high-school-sets, white-bookshelf-n, to-read, 5x5-picture-books-e</t>
  </si>
  <si>
    <t>montclair-high-school-sets (#15), white-bookshelf-n (#47), to-read (#153), 5x5-picture-books-e (#26)</t>
  </si>
  <si>
    <t>Animals Should Definitely Not Wear Clothing.</t>
  </si>
  <si>
    <t>white-bookshelf-k, 4x4-picture-books-o</t>
  </si>
  <si>
    <t>white-bookshelf-k (#5), 4x4-picture-books-o (#14)</t>
  </si>
  <si>
    <t>Welcome</t>
  </si>
  <si>
    <t>Barroux</t>
  </si>
  <si>
    <t>Barroux, Barroux</t>
  </si>
  <si>
    <t>little bee books</t>
  </si>
  <si>
    <t>5x5-picture-books-a (#16), to-read (#38)</t>
  </si>
  <si>
    <t>Whoosh!: Lonnie Johnson's Super-Soaking Stream of Inventions</t>
  </si>
  <si>
    <t>Don Tate</t>
  </si>
  <si>
    <t>Charlesbridge</t>
  </si>
  <si>
    <t>teacher-grants (#48)</t>
  </si>
  <si>
    <t>The Three Little Pigs/Los Tres Cerditos (Bilingual Fairy Tales, BILI)</t>
  </si>
  <si>
    <t>Mercè Escardó i Bas</t>
  </si>
  <si>
    <t>Bas, Mercè Escardó i</t>
  </si>
  <si>
    <t>Pere Joan</t>
  </si>
  <si>
    <t>4x4-picture-books-g (#76)</t>
  </si>
  <si>
    <t>Everybody Needs a Rock</t>
  </si>
  <si>
    <t>Byrd Baylor</t>
  </si>
  <si>
    <t>Baylor, Byrd</t>
  </si>
  <si>
    <t>Peter Parnall</t>
  </si>
  <si>
    <t>4x4-picture-books-d (#1)</t>
  </si>
  <si>
    <t>Rosie Revere, Engineer (The Questioneers (Picture Books) #2)</t>
  </si>
  <si>
    <t>Andrea Beaty</t>
  </si>
  <si>
    <t>Beaty, Andrea</t>
  </si>
  <si>
    <t>David Roberts</t>
  </si>
  <si>
    <t>4x4-picture-books-p (#23)</t>
  </si>
  <si>
    <t>Ada Twist, Scientist (The Questioneers (Picture Books) #3)</t>
  </si>
  <si>
    <t>Abrams Books for Young Readers</t>
  </si>
  <si>
    <t>4x4-picture-books-p (#22)</t>
  </si>
  <si>
    <t>No Sleep for the Sheep!</t>
  </si>
  <si>
    <t>Karen Beaumont</t>
  </si>
  <si>
    <t>Beaumont, Karen</t>
  </si>
  <si>
    <t>Jackie Urbanovic</t>
  </si>
  <si>
    <t>picture-books-about-animals (#9)</t>
  </si>
  <si>
    <t>Star Wars: Even Droids Need Friends!</t>
  </si>
  <si>
    <t>Simon Beecroft</t>
  </si>
  <si>
    <t>Beecroft, Simon</t>
  </si>
  <si>
    <t>leveled-readers_my-first-reading (#14)</t>
  </si>
  <si>
    <t>Madeline's Christmas</t>
  </si>
  <si>
    <t>Ludwig Bemelmans</t>
  </si>
  <si>
    <t>Bemelmans, Ludwig</t>
  </si>
  <si>
    <t>The Viking Press</t>
  </si>
  <si>
    <t>closet-black-bin-holiday (#17)</t>
  </si>
  <si>
    <t>The Butt Book</t>
  </si>
  <si>
    <t>Artie Bennett</t>
  </si>
  <si>
    <t>Bennett, Artie</t>
  </si>
  <si>
    <t>Mike Lester</t>
  </si>
  <si>
    <t>Bloomsbury USA Childrens</t>
  </si>
  <si>
    <t>4x4-picture-books-e (#24)</t>
  </si>
  <si>
    <t>Teeny Tiny</t>
  </si>
  <si>
    <t>Jill Bennett</t>
  </si>
  <si>
    <t>Bennett, Jill</t>
  </si>
  <si>
    <t>Tomie dePaola</t>
  </si>
  <si>
    <t>G.P. Putnam's Sons</t>
  </si>
  <si>
    <t>closet-black-bin-holiday (#51)</t>
  </si>
  <si>
    <t>King Jack and the Dragon</t>
  </si>
  <si>
    <t>Peter Bently</t>
  </si>
  <si>
    <t>Bently, Peter</t>
  </si>
  <si>
    <t>Helen Oxenbury</t>
  </si>
  <si>
    <t>Dial Books</t>
  </si>
  <si>
    <t>5x5-picture-books_n (#18)</t>
  </si>
  <si>
    <t>Bunny Loves to Read</t>
  </si>
  <si>
    <t>Deborah Melmon</t>
  </si>
  <si>
    <t>white-bookshelf-l (#25), 5x5-picture-books-c (#38)</t>
  </si>
  <si>
    <t>The Berenstain Bears: Kindness Counts (Berenstain Bears/Living Lights: A Faith Story)</t>
  </si>
  <si>
    <t>Jan Berenstain</t>
  </si>
  <si>
    <t>Berenstain, Jan</t>
  </si>
  <si>
    <t>Zonderkidz</t>
  </si>
  <si>
    <t>4x4-picture-books-j (#53)</t>
  </si>
  <si>
    <t>The Berenstain Bears: Kindness Counts</t>
  </si>
  <si>
    <t>Mike Berenstain</t>
  </si>
  <si>
    <t>4x4-picture-books-j (#13)</t>
  </si>
  <si>
    <t>The Berenstain Bears by the Sea (Step-Into-Reading, Step 2)</t>
  </si>
  <si>
    <t>Stan Berenstain</t>
  </si>
  <si>
    <t>Berenstain, Stan</t>
  </si>
  <si>
    <t>leveled-readers-2 (#33)</t>
  </si>
  <si>
    <t>Penny of the Pyramids (Mr. Peabody &amp; Sherman) (Step into Reading)</t>
  </si>
  <si>
    <t>Frank Berrios</t>
  </si>
  <si>
    <t>Berrios, Frank</t>
  </si>
  <si>
    <t>Bill Robinson</t>
  </si>
  <si>
    <t>leveled-readers-2 (#70)</t>
  </si>
  <si>
    <t>Let’s Talk About Needing Attention (Let's Talk About Book 5)</t>
  </si>
  <si>
    <t>backpacks_emotions (#5)</t>
  </si>
  <si>
    <t>Firehouse Coloring Book (Dover Kids Coloring Books)</t>
  </si>
  <si>
    <t>Cathy Beylon</t>
  </si>
  <si>
    <t>Beylon, Cathy</t>
  </si>
  <si>
    <t>Dover Publications</t>
  </si>
  <si>
    <t>closet_coloring-and-sticker-books (#5)</t>
  </si>
  <si>
    <t>Everything Goes: Henry in a Jam: An Exciting Picture Book for Kids (Ages 4-8) About Emergency Vehicles and Traffic (My First I Can Read)</t>
  </si>
  <si>
    <t>Brian Biggs</t>
  </si>
  <si>
    <t>Biggs, Brian</t>
  </si>
  <si>
    <t>Simon Abbott</t>
  </si>
  <si>
    <t>leveled-readers_my-first-reading (#3)</t>
  </si>
  <si>
    <t>Pig the Star</t>
  </si>
  <si>
    <t>5x5-picture-books_h (#39)</t>
  </si>
  <si>
    <t>Pig the Monster (Pig the Pug)</t>
  </si>
  <si>
    <t>5x5-picture-books_h (#36)</t>
  </si>
  <si>
    <t>The Pain and the Great One (The Pain and the Great One, #1)</t>
  </si>
  <si>
    <t>Judy Blume</t>
  </si>
  <si>
    <t>Blume, Judy</t>
  </si>
  <si>
    <t>Irene Trivas</t>
  </si>
  <si>
    <t>Dell</t>
  </si>
  <si>
    <t>5x5-picture-books-b (#11)</t>
  </si>
  <si>
    <t>Paddington and the Magic Trick (I Can Read Level 1)</t>
  </si>
  <si>
    <t>leveled-readers_1 (#54)</t>
  </si>
  <si>
    <t>Milk Goes to School</t>
  </si>
  <si>
    <t>Terry Border</t>
  </si>
  <si>
    <t>Border, Terry</t>
  </si>
  <si>
    <t>4x4-picture-books-j (#51)</t>
  </si>
  <si>
    <t>The Snow Dancer</t>
  </si>
  <si>
    <t>Addie Boswell</t>
  </si>
  <si>
    <t>Boswell, Addie</t>
  </si>
  <si>
    <t>Mercè López</t>
  </si>
  <si>
    <t>Two Lions</t>
  </si>
  <si>
    <t>backpacks_snow (#1)</t>
  </si>
  <si>
    <t>What a Cold Needs</t>
  </si>
  <si>
    <t>Barbara Bottner</t>
  </si>
  <si>
    <t>Bottner, Barbara</t>
  </si>
  <si>
    <t>Chris Sheban</t>
  </si>
  <si>
    <t>Neal Porter Books</t>
  </si>
  <si>
    <t>5x5-picture-books-b (#10)</t>
  </si>
  <si>
    <t>Gingerbread Mouse</t>
  </si>
  <si>
    <t>Katy Bratun</t>
  </si>
  <si>
    <t>Bratun, Katy</t>
  </si>
  <si>
    <t>closet-black-bin-holiday (#42)</t>
  </si>
  <si>
    <t>Stephen Curry (Sports All-Stars (Lerner ™ Sports))</t>
  </si>
  <si>
    <t>Eric Braun</t>
  </si>
  <si>
    <t>Braun, Eric</t>
  </si>
  <si>
    <t>sports</t>
  </si>
  <si>
    <t>sports (#1)</t>
  </si>
  <si>
    <t>I Love My Daddy</t>
  </si>
  <si>
    <t>Sebastien Braun</t>
  </si>
  <si>
    <t>Braun, Sebastien</t>
  </si>
  <si>
    <t>5x5-picture-books-a (#33), to-read (#23)</t>
  </si>
  <si>
    <t>The Moon (Rookie Read-About Science)</t>
  </si>
  <si>
    <t>Carmen Bredeson</t>
  </si>
  <si>
    <t>Bredeson, Carmen</t>
  </si>
  <si>
    <t>Katy Kane, Jeanne Clidas</t>
  </si>
  <si>
    <t>Childrens Pr</t>
  </si>
  <si>
    <t>backpacks_space (#2)</t>
  </si>
  <si>
    <t>Cinders: A Chicken Cinderella</t>
  </si>
  <si>
    <t>G.P. Putnam's Sons Books for Young Readers</t>
  </si>
  <si>
    <t>4x4-picture-books-f (#21)</t>
  </si>
  <si>
    <t>Berlioz the Bear</t>
  </si>
  <si>
    <t>4x4-picture-books-f (#40)</t>
  </si>
  <si>
    <t>Clifford The Firehouse Dog</t>
  </si>
  <si>
    <t>white-bookshelf-i, 5x5-picture-books_l</t>
  </si>
  <si>
    <t>white-bookshelf-i (#20), 5x5-picture-books_l (#4)</t>
  </si>
  <si>
    <t>Clifford, We Love You</t>
  </si>
  <si>
    <t>5x5-picture-books_l (#33)</t>
  </si>
  <si>
    <t>Clifford's Birthday Party</t>
  </si>
  <si>
    <t>5x5-picture-books_l (#30)</t>
  </si>
  <si>
    <t>Clifford Goes to Kindergarten (Classic Storybook)</t>
  </si>
  <si>
    <t>5x5-picture-books_l (#39)</t>
  </si>
  <si>
    <t>Clifford Va De Viaje</t>
  </si>
  <si>
    <t>white-bookshelf-o, 5x5-picture-books_l</t>
  </si>
  <si>
    <t>white-bookshelf-o (#1), 5x5-picture-books_l (#28)</t>
  </si>
  <si>
    <t>The Witch Goes to School</t>
  </si>
  <si>
    <t>closet-black-bin-holiday (#49)</t>
  </si>
  <si>
    <t>The Snowman</t>
  </si>
  <si>
    <t>Raymond Briggs</t>
  </si>
  <si>
    <t>Briggs, Raymond</t>
  </si>
  <si>
    <t>4x4-picture-books-d (#6)</t>
  </si>
  <si>
    <t>Love Monster and the Last Chocolate</t>
  </si>
  <si>
    <t>Rachel Bright</t>
  </si>
  <si>
    <t>Bright, Rachel</t>
  </si>
  <si>
    <t>HarperCollins childrens books</t>
  </si>
  <si>
    <t>backpacks_valentines-day (#1)</t>
  </si>
  <si>
    <t>Aaron and Alexander: The Most Famous Duel in American History</t>
  </si>
  <si>
    <t>Don  Brown</t>
  </si>
  <si>
    <t>Brown, Don</t>
  </si>
  <si>
    <t>Roaring Brook Press</t>
  </si>
  <si>
    <t>4x4-picture-books-f (#3)</t>
  </si>
  <si>
    <t>Flat Stanley at Bat: An Early Reading Baseball Story for Kids (Ages 4–8) (I Can Read Level 2)</t>
  </si>
  <si>
    <t>Macky Pamintuan</t>
  </si>
  <si>
    <t>leveled-readers-2 (#64)</t>
  </si>
  <si>
    <t>Flat Stanley Goes Camping (I Can Read Level 2)</t>
  </si>
  <si>
    <t>leveled-readers-2 (#34)</t>
  </si>
  <si>
    <t>Volcanoes (Discover More Readers)</t>
  </si>
  <si>
    <t>Laaren Brown</t>
  </si>
  <si>
    <t>Brown, Laaren</t>
  </si>
  <si>
    <t>4x4-picture-books-c (#36)</t>
  </si>
  <si>
    <t>Arturo Escribe un Cuento</t>
  </si>
  <si>
    <t>1-x-4_spanish-picture-books_a (#10)</t>
  </si>
  <si>
    <t>A Home in the Barn: A Snowy Picture Book About Animals Finding Shelter for Kids (Ages 4-8)</t>
  </si>
  <si>
    <t>Jerry Pinkney</t>
  </si>
  <si>
    <t>5x5-picture-books-a (#37), to-read (#60)</t>
  </si>
  <si>
    <t>Goodnight Moon</t>
  </si>
  <si>
    <t>Clement Hurd</t>
  </si>
  <si>
    <t>backpacks_bedtime-stories</t>
  </si>
  <si>
    <t>backpacks_bedtime-stories (#3)</t>
  </si>
  <si>
    <t>Side by Side/Lado a Lado: The Story of Dolores Huerta and Cesar Chavez/La Historia de Dolores Huerta y Cesar Chavez</t>
  </si>
  <si>
    <t>Monica Brown</t>
  </si>
  <si>
    <t>Brown, Monica</t>
  </si>
  <si>
    <t>Joe Cepeda</t>
  </si>
  <si>
    <t>HarperCollins Espanol</t>
  </si>
  <si>
    <t>4-x-4-early-elem-chapter-books_g (#37)</t>
  </si>
  <si>
    <t>My Name is Gabito / Me llamo Gabito: The Life of Gabriel García Márquez</t>
  </si>
  <si>
    <t>Raúl Colón</t>
  </si>
  <si>
    <t>Cooper Square Publishing LLC</t>
  </si>
  <si>
    <t>4x4-picture-books-h (#18)</t>
  </si>
  <si>
    <t>My Cold Plum Lemon Pie Bluesy Mood</t>
  </si>
  <si>
    <t>Tameka Fryer Brown</t>
  </si>
  <si>
    <t>Brown, Tameka Fryer</t>
  </si>
  <si>
    <t>Shane Evans</t>
  </si>
  <si>
    <t>Viking Books for Young Readers</t>
  </si>
  <si>
    <t>4x4-picture-books-j (#60)</t>
  </si>
  <si>
    <t>Piggybook</t>
  </si>
  <si>
    <t>Anthony Browne</t>
  </si>
  <si>
    <t>Browne, Anthony</t>
  </si>
  <si>
    <t>Dragonfly Books</t>
  </si>
  <si>
    <t>5x5-picture-books-a (#26), to-read (#29)</t>
  </si>
  <si>
    <t>The First Strawberries</t>
  </si>
  <si>
    <t>Joseph Bruchac</t>
  </si>
  <si>
    <t>Bruchac, Joseph</t>
  </si>
  <si>
    <t>Anna Vojtech</t>
  </si>
  <si>
    <t>4x4-picture-books-k (#3)</t>
  </si>
  <si>
    <t>Snowmen at Christmas</t>
  </si>
  <si>
    <t>Caralyn Buehner</t>
  </si>
  <si>
    <t>Buehner, Caralyn</t>
  </si>
  <si>
    <t>Mark Buehner</t>
  </si>
  <si>
    <t>backpacks_snow (#7)</t>
  </si>
  <si>
    <t>Snowmen at Work</t>
  </si>
  <si>
    <t>closet-black-bin-holiday (#41)</t>
  </si>
  <si>
    <t>Bugs Hide and Seek (DK Readers L1)</t>
  </si>
  <si>
    <t>Laura Buller</t>
  </si>
  <si>
    <t>Buller, Laura</t>
  </si>
  <si>
    <t>backpacks_insects (#4)</t>
  </si>
  <si>
    <t>I Am Enough</t>
  </si>
  <si>
    <t>Grace Byers</t>
  </si>
  <si>
    <t>Byers, Grace</t>
  </si>
  <si>
    <t>Keturah A. Bobo</t>
  </si>
  <si>
    <t>teacher-grants, 4x4-picture-books-i</t>
  </si>
  <si>
    <t>teacher-grants (#84), 4x4-picture-books-i (#33)</t>
  </si>
  <si>
    <t>Life Cycles: Desert</t>
  </si>
  <si>
    <t>Sean Callery</t>
  </si>
  <si>
    <t>Callery, Sean</t>
  </si>
  <si>
    <t>white-bookshelf-i, to-read, 5x5-picture-books-e</t>
  </si>
  <si>
    <t>white-bookshelf-i (#4), to-read (#149), 5x5-picture-books-e (#22)</t>
  </si>
  <si>
    <t>Life Cycles: Ocean</t>
  </si>
  <si>
    <t>backpacks-sea-animals (#7)</t>
  </si>
  <si>
    <t>Engine, Engine, Number Nine</t>
  </si>
  <si>
    <t>Stephanie Calmenson</t>
  </si>
  <si>
    <t>Calmenson, Stephanie</t>
  </si>
  <si>
    <t>Paul  Meisel</t>
  </si>
  <si>
    <t>Hyperion</t>
  </si>
  <si>
    <t>4x4-picture-books-e (#8)</t>
  </si>
  <si>
    <t>Muffler Man/El Hombre Mofle (English and Spanish Edition)</t>
  </si>
  <si>
    <t>Tito Campos</t>
  </si>
  <si>
    <t>Campos, Tito</t>
  </si>
  <si>
    <t>Evangelina Vigil-Pinon</t>
  </si>
  <si>
    <t>1-x-4_spanish-picture-books_a (#6)</t>
  </si>
  <si>
    <t>Fully Charged (The Amazing Spider-Man: World of Reading: Level 2)</t>
  </si>
  <si>
    <t>Brittany Candau</t>
  </si>
  <si>
    <t>Candau, Brittany</t>
  </si>
  <si>
    <t>Marvel Press</t>
  </si>
  <si>
    <t>leveled-readers-2 (#30)</t>
  </si>
  <si>
    <t>Sophie's Fish</t>
  </si>
  <si>
    <t>Ann Edwards Cannon</t>
  </si>
  <si>
    <t>Cannon, Ann Edwards</t>
  </si>
  <si>
    <t>Lee White</t>
  </si>
  <si>
    <t>white-bookshelf-k (#18), 5x5-picture-books-c (#76)</t>
  </si>
  <si>
    <t>The Magic School Bus Builds The Statue Of Liberty</t>
  </si>
  <si>
    <t>Anne Capeci</t>
  </si>
  <si>
    <t>Capeci, Anne</t>
  </si>
  <si>
    <t>leveled-readers-2 (#82)</t>
  </si>
  <si>
    <t>The Magic School Bus Has a Heart</t>
  </si>
  <si>
    <t>Carolyn Bracken, S.I. Artists</t>
  </si>
  <si>
    <t>4x4-picture-books-c (#26)</t>
  </si>
  <si>
    <t>The Magic School Bus Gets Recycled (Scholastic Reader)</t>
  </si>
  <si>
    <t>Carolyn Bracken</t>
  </si>
  <si>
    <t>leveled-readers-2 (#84)</t>
  </si>
  <si>
    <t>Biscuit Plays Ball (My First I Can Read)</t>
  </si>
  <si>
    <t>leveled-readers_my-first-reading (#40)</t>
  </si>
  <si>
    <t>Biscuit Feeds the Pets (My First I Can Read)</t>
  </si>
  <si>
    <t>leveled-readers_my-first-reading (#39)</t>
  </si>
  <si>
    <t>Biscuit's Day at the Farm (My First I Can Read)</t>
  </si>
  <si>
    <t>leveled-readers_my-first-reading (#1)</t>
  </si>
  <si>
    <t>Biscuit Goes to School</t>
  </si>
  <si>
    <t>closet_3rd-4th-grade-chapter-books (#3)</t>
  </si>
  <si>
    <t>Snuggle Buddies (Disney Princess: Palace Pets)</t>
  </si>
  <si>
    <t>Courtney Carbone</t>
  </si>
  <si>
    <t>Carbone, Courtney</t>
  </si>
  <si>
    <t>leveled-readers-2 (#3)</t>
  </si>
  <si>
    <t>The Very Quiet Cricket</t>
  </si>
  <si>
    <t>backpacks_insects (#8)</t>
  </si>
  <si>
    <t>Thank You, Teacher</t>
  </si>
  <si>
    <t>teacher-grants (#112)</t>
  </si>
  <si>
    <t>Love from the Very Hungry Caterpillar</t>
  </si>
  <si>
    <t>teacher-grants (#111)</t>
  </si>
  <si>
    <t>Wonderful You</t>
  </si>
  <si>
    <t>teacher-grants (#110)</t>
  </si>
  <si>
    <t>Happy Birthday (The World of Eric Carle)</t>
  </si>
  <si>
    <t>teacher-grants (#108)</t>
  </si>
  <si>
    <t>The Very Hungry Caterpillar</t>
  </si>
  <si>
    <t>teacher-grants (#9)</t>
  </si>
  <si>
    <t>From Head to Toe</t>
  </si>
  <si>
    <t>5x5-picture-books_l (#36)</t>
  </si>
  <si>
    <t>Today Is Monday</t>
  </si>
  <si>
    <t>picture-books-about-animals, white-bookshelf-n, 5x5-picture-books_l</t>
  </si>
  <si>
    <t>picture-books-about-animals (#15), white-bookshelf-n (#49), 5x5-picture-books_l (#42)</t>
  </si>
  <si>
    <t>Bats</t>
  </si>
  <si>
    <t>Elizabeth Carney</t>
  </si>
  <si>
    <t>Carney, Elizabeth</t>
  </si>
  <si>
    <t>to-read (#170), 5x5-picture-books-e (#42)</t>
  </si>
  <si>
    <t>Swine Divine</t>
  </si>
  <si>
    <t>Jan Carr</t>
  </si>
  <si>
    <t>Carr, Jan</t>
  </si>
  <si>
    <t>Robert Bender</t>
  </si>
  <si>
    <t>5x5-picture-books-a (#11), to-read (#43)</t>
  </si>
  <si>
    <t>Do Sharks Glow in the Dark?: . . . and Other Shark-tastic Questions (Just Ask!)</t>
  </si>
  <si>
    <t>Mary Kay Carson</t>
  </si>
  <si>
    <t>Carson, Mary Kay</t>
  </si>
  <si>
    <t>backpacks_animals, 5x5-picture-books_n</t>
  </si>
  <si>
    <t>backpacks_animals (#2), 5x5-picture-books_n (#22)</t>
  </si>
  <si>
    <t>VEINTE BOSTEZOS (Spanish Edition)</t>
  </si>
  <si>
    <t>JANE SMILEY &amp; lLAURENT CASTILLO</t>
  </si>
  <si>
    <t>CASTILLO, JANE SMILEY &amp; lLAURENT</t>
  </si>
  <si>
    <t>Editorial Corimbo S.L.</t>
  </si>
  <si>
    <t>4x4-picture-books-h (#13)</t>
  </si>
  <si>
    <t>Dragsters Top Fuel (Pasión Por Los Motores)</t>
  </si>
  <si>
    <t>Deanna Caswell</t>
  </si>
  <si>
    <t>Caswell, Deanna</t>
  </si>
  <si>
    <t>Bolt</t>
  </si>
  <si>
    <t>to-read (#227), 1-x-4_spanish-picture-books_a (#80)</t>
  </si>
  <si>
    <t>We the Kids</t>
  </si>
  <si>
    <t>David Catrow</t>
  </si>
  <si>
    <t>Catrow, David</t>
  </si>
  <si>
    <t>Dial</t>
  </si>
  <si>
    <t>5x5-picture-books-b (#25), to-read (#82)</t>
  </si>
  <si>
    <t>Hair Love</t>
  </si>
  <si>
    <t>Matthew A. Cherry</t>
  </si>
  <si>
    <t>Cherry, Matthew A.</t>
  </si>
  <si>
    <t>Vashti Harrison</t>
  </si>
  <si>
    <t>Kokila</t>
  </si>
  <si>
    <t>4x4-picture-books-i (#17)</t>
  </si>
  <si>
    <t>Fire Truck Dreams</t>
  </si>
  <si>
    <t>Sharon Chriscoe</t>
  </si>
  <si>
    <t>Chriscoe, Sharon</t>
  </si>
  <si>
    <t>Dave Mottram</t>
  </si>
  <si>
    <t>Running Press Kids</t>
  </si>
  <si>
    <t>5x5-picture-books_i (#13)</t>
  </si>
  <si>
    <t>Bulldozer Dreams</t>
  </si>
  <si>
    <t>John Joven</t>
  </si>
  <si>
    <t>5x5-picture-books_i (#12)</t>
  </si>
  <si>
    <t>Yes, Virginia, There Is a Santa Claus</t>
  </si>
  <si>
    <t>Francis Pharcellus Church</t>
  </si>
  <si>
    <t>Church, Francis Pharcellus</t>
  </si>
  <si>
    <t>Virginia O'Hanlon, Joel Spector</t>
  </si>
  <si>
    <t>closet-black-bin-holiday (#18)</t>
  </si>
  <si>
    <t>Harry's Bath (Little Rooster)</t>
  </si>
  <si>
    <t>Seymour Chwast</t>
  </si>
  <si>
    <t>Chwast, Seymour</t>
  </si>
  <si>
    <t>Harriet Ziefert</t>
  </si>
  <si>
    <t>Bantam Books for Young Readers</t>
  </si>
  <si>
    <t>leveled-readers-2 (#74)</t>
  </si>
  <si>
    <t>Hairs/Pelitos</t>
  </si>
  <si>
    <t>Sandra Cisneros</t>
  </si>
  <si>
    <t>Cisneros, Sandra</t>
  </si>
  <si>
    <t>4x4-picture-books-g (#45)</t>
  </si>
  <si>
    <t>The Growing-Up Feet</t>
  </si>
  <si>
    <t>Beverly Cleary</t>
  </si>
  <si>
    <t>Cleary, Beverly</t>
  </si>
  <si>
    <t>DyAnne DiSalvo-Ryan</t>
  </si>
  <si>
    <t>5x5-picture-books-b (#28)</t>
  </si>
  <si>
    <t>She Persisted: 13 American Women Who Changed the World</t>
  </si>
  <si>
    <t>Chelsea Clinton</t>
  </si>
  <si>
    <t>Clinton, Chelsea</t>
  </si>
  <si>
    <t>Alexandra Boiger</t>
  </si>
  <si>
    <t>4x4-picture-books-p (#24)</t>
  </si>
  <si>
    <t>She Persisted in Sports: American Olympians Who Changed the Game</t>
  </si>
  <si>
    <t>4x4-picture-books-p (#25)</t>
  </si>
  <si>
    <t>Time to Say Bye-Bye</t>
  </si>
  <si>
    <t>Maryann Cocca-Leffler</t>
  </si>
  <si>
    <t>Cocca-Leffler, Maryann</t>
  </si>
  <si>
    <t>Viking Juvenile</t>
  </si>
  <si>
    <t>4x4-picture-books-g (#11)</t>
  </si>
  <si>
    <t>Engineer Ari and the Rosh Hashanah Ride (High Holidays)</t>
  </si>
  <si>
    <t>Deborah Bodin Cohen</t>
  </si>
  <si>
    <t>Cohen, Deborah Bodin</t>
  </si>
  <si>
    <t>Shahar Kober</t>
  </si>
  <si>
    <t>Kar-Ben Publishing ®</t>
  </si>
  <si>
    <t>4x4-picture-books-o (#19)</t>
  </si>
  <si>
    <t>There Was an Old Lady Who Swallowed a Ghost!</t>
  </si>
  <si>
    <t>4x4-picture-books-f (#17)</t>
  </si>
  <si>
    <t>There Was an Old Lady Who Swallowed a Rose!</t>
  </si>
  <si>
    <t>4x4-picture-books-f (#32)</t>
  </si>
  <si>
    <t>There Was a Cold Lady Who Swallowed Some Snow!</t>
  </si>
  <si>
    <t>4x4-picture-books-f (#31)</t>
  </si>
  <si>
    <t>There Was an Old Lady Who Swallowed a Shell!</t>
  </si>
  <si>
    <t>4x4-picture-books-f (#30)</t>
  </si>
  <si>
    <t>There Was an Old Lady Who Swallowed Some Books!</t>
  </si>
  <si>
    <t>4x4-picture-books-f (#16)</t>
  </si>
  <si>
    <t>There Was an Old Lady Who Swallowed Some Leaves!</t>
  </si>
  <si>
    <t>4x4-picture-books-f (#19)</t>
  </si>
  <si>
    <t>It's Raining Bats &amp; Frogs</t>
  </si>
  <si>
    <t>Rebecca Colby</t>
  </si>
  <si>
    <t>Colby, Rebecca</t>
  </si>
  <si>
    <t>Steven   Henry</t>
  </si>
  <si>
    <t>Feiwel &amp; Friends</t>
  </si>
  <si>
    <t>closet-black-bin-holiday (#35)</t>
  </si>
  <si>
    <t>The Magic School Bus Going Batty: A Book About Bats</t>
  </si>
  <si>
    <t>Nancy E. Krulik, Bob Ostrom, Bruce Degen</t>
  </si>
  <si>
    <t>Scholastic Paperbacks</t>
  </si>
  <si>
    <t>closet_math-and-science (#25)</t>
  </si>
  <si>
    <t>El Autobus Magico - Se Salpica Todo (Magic School Bus - Wet All Over)</t>
  </si>
  <si>
    <t>Joanne Cole</t>
  </si>
  <si>
    <t>Cole, Joanne</t>
  </si>
  <si>
    <t>to-read (#184), 1-x-4_spanish-picture-books_a (#35)</t>
  </si>
  <si>
    <t>La historia de Ruby Bridges (The Story of Ruby Bridges) (Spanish Edition)</t>
  </si>
  <si>
    <t>George Ford</t>
  </si>
  <si>
    <t>4x4-picture-books-h (#12)</t>
  </si>
  <si>
    <t>Star Wars: Chaos at the Castle</t>
  </si>
  <si>
    <t>Nate Millici, Andrea Parisi</t>
  </si>
  <si>
    <t>Disney Lucasfilm Press</t>
  </si>
  <si>
    <t>leveled-readers_1_sets (#41)</t>
  </si>
  <si>
    <t>The Tub People: A Picture Book About a Wooden Toy Family and Bath Play for Kids (Ages 4-8)</t>
  </si>
  <si>
    <t>Pam Conrad</t>
  </si>
  <si>
    <t>Conrad, Pam</t>
  </si>
  <si>
    <t>white-bookshelf-n (#34), to-read (#155), 5x5-picture-books-e (#28)</t>
  </si>
  <si>
    <t>Miss Rumphius</t>
  </si>
  <si>
    <t>Barbara Cooney</t>
  </si>
  <si>
    <t>Cooney, Barbara</t>
  </si>
  <si>
    <t>white-bookshelf-m (#9), 5x5-picture-books-c (#23)</t>
  </si>
  <si>
    <t>Max and the Tag-Along Moon</t>
  </si>
  <si>
    <t>Floyd Cooper</t>
  </si>
  <si>
    <t>Cooper, Floyd</t>
  </si>
  <si>
    <t>4x4-picture-books-k (#32)</t>
  </si>
  <si>
    <t>The Ring Bearer</t>
  </si>
  <si>
    <t>4x4-picture-books-k (#14)</t>
  </si>
  <si>
    <t>PAPA</t>
  </si>
  <si>
    <t>Phillippe Corentin</t>
  </si>
  <si>
    <t>Corentin, Phillippe</t>
  </si>
  <si>
    <t>4x4-picture-books-g (#19), 1-x-4_spanish-picture-books_a (#17)</t>
  </si>
  <si>
    <t>James Goes Buzz Buzz (Thomas &amp; Friends) (Step into Reading)</t>
  </si>
  <si>
    <t>Shana Corey</t>
  </si>
  <si>
    <t>Corey, Shana</t>
  </si>
  <si>
    <t>leveled-readers-2 (#13)</t>
  </si>
  <si>
    <t>Jabari Tries</t>
  </si>
  <si>
    <t>Gaia Cornwall</t>
  </si>
  <si>
    <t>Cornwall, Gaia</t>
  </si>
  <si>
    <t>4x4-picture-books-j (#26)</t>
  </si>
  <si>
    <t>Jabari Jumps</t>
  </si>
  <si>
    <t>4x4-picture-books-j (#25)</t>
  </si>
  <si>
    <t>Jabari Salta (Jabari, #1)</t>
  </si>
  <si>
    <t>Georgina Lázaro</t>
  </si>
  <si>
    <t>4x4-picture-books-g (#2)</t>
  </si>
  <si>
    <t>Aliens Love Underpants</t>
  </si>
  <si>
    <t>Ben Cort</t>
  </si>
  <si>
    <t>Cort, Ben</t>
  </si>
  <si>
    <t>backpacks_space, white-bookshelf-l, 5x5-picture-books-c</t>
  </si>
  <si>
    <t>backpacks_space (#7), white-bookshelf-l (#21), 5x5-picture-books-c (#40)</t>
  </si>
  <si>
    <t>The Brand New Kid</t>
  </si>
  <si>
    <t>Katie Couric</t>
  </si>
  <si>
    <t>Couric, Katie</t>
  </si>
  <si>
    <t>Marjorie Priceman</t>
  </si>
  <si>
    <t>Doubleday</t>
  </si>
  <si>
    <t>4x4-picture-books-j (#22)</t>
  </si>
  <si>
    <t>Click, Clack, Moo I Love You!</t>
  </si>
  <si>
    <t>Doreen Cronin</t>
  </si>
  <si>
    <t>Cronin, Doreen</t>
  </si>
  <si>
    <t>Betsy Lewin</t>
  </si>
  <si>
    <t>Atheneum/Caitlyn Dlouhy Books</t>
  </si>
  <si>
    <t>backpacks_valentines-day (#2)</t>
  </si>
  <si>
    <t>Click, Clack, Quack to School! (A Click Clack Book)</t>
  </si>
  <si>
    <t>white-bookshelf-j (#5), 5x5-picture-books_h (#54)</t>
  </si>
  <si>
    <t>Zombelina</t>
  </si>
  <si>
    <t>Kristyn Crow</t>
  </si>
  <si>
    <t>Crow, Kristyn</t>
  </si>
  <si>
    <t>Bloomsbury Children's Books</t>
  </si>
  <si>
    <t>5x5-picture-books-a (#13), to-read (#42)</t>
  </si>
  <si>
    <t>La cucarachita Martina / Cucarachita Martina (Spanish Edition)</t>
  </si>
  <si>
    <t>Hector Cuenca</t>
  </si>
  <si>
    <t>Cuenca, Hector</t>
  </si>
  <si>
    <t>1-x-4_spanish-picture-books_a (#7)</t>
  </si>
  <si>
    <t>Clean Your Room, Harvey Moon!</t>
  </si>
  <si>
    <t>Pat Cummings</t>
  </si>
  <si>
    <t>Cummings, Pat</t>
  </si>
  <si>
    <t>white-bookshelf-j, to-read, 5x5-picture-books-d</t>
  </si>
  <si>
    <t>white-bookshelf-j (#2), to-read (#111), 5x5-picture-books-d (#32)</t>
  </si>
  <si>
    <t>Big Words for Little People: A Funny Picture Book About Vocabulary and Family for Kids (Ages 4-8)</t>
  </si>
  <si>
    <t>Jamie Lee Curtis</t>
  </si>
  <si>
    <t>Curtis, Jamie Lee</t>
  </si>
  <si>
    <t>Laura Cornell</t>
  </si>
  <si>
    <t>4x4-picture-books-j (#4)</t>
  </si>
  <si>
    <t>Hooray for Reading Day! (Jessica Worries)</t>
  </si>
  <si>
    <t>Margery Cuyler</t>
  </si>
  <si>
    <t>Cuyler, Margery</t>
  </si>
  <si>
    <t>Arthur Howard</t>
  </si>
  <si>
    <t>Simon &amp; Schuster Books for Young Readers</t>
  </si>
  <si>
    <t>white-bookshelf-n (#12), to-read (#123), 5x5-picture-books-d (#45)</t>
  </si>
  <si>
    <t>That's Good! That's Bad!</t>
  </si>
  <si>
    <t>Henry Holt and Co.</t>
  </si>
  <si>
    <t>5x5-picture-books-b (#5)</t>
  </si>
  <si>
    <t>Super Kena: A Girl Made Fierce with Hearing Aids</t>
  </si>
  <si>
    <t>Becky Cymbaluk</t>
  </si>
  <si>
    <t>Cymbaluk, Becky</t>
  </si>
  <si>
    <t>Zuzana Svobodova, Carol McAdoo Rehme</t>
  </si>
  <si>
    <t>Aspen's Grace LLC</t>
  </si>
  <si>
    <t>teacher-grants (#77)</t>
  </si>
  <si>
    <t>Trees Make Perfect Pets: A Story About Nature, Plants And Gardening For Kids</t>
  </si>
  <si>
    <t>Paul Czajak</t>
  </si>
  <si>
    <t>Czajak, Paul</t>
  </si>
  <si>
    <t>Cathy Gendron</t>
  </si>
  <si>
    <t>5x5-picture-books-c (#57)</t>
  </si>
  <si>
    <t>Spinner McClock and the Christmas Visit</t>
  </si>
  <si>
    <t>Richard Dacey</t>
  </si>
  <si>
    <t>Dacey, Richard</t>
  </si>
  <si>
    <t>Ambassador Books Inc</t>
  </si>
  <si>
    <t>closet-black-bin-holiday (#54)</t>
  </si>
  <si>
    <t>Nighttime Ninja</t>
  </si>
  <si>
    <t>Barbara DaCosta</t>
  </si>
  <si>
    <t>DaCosta, Barbara</t>
  </si>
  <si>
    <t>Ed   Young</t>
  </si>
  <si>
    <t>Little, Brown</t>
  </si>
  <si>
    <t>5x5-picture-books-a (#18), to-read (#36)</t>
  </si>
  <si>
    <t>Bedtime for Batman (DC Super Heroes)</t>
  </si>
  <si>
    <t>Michael Dahl</t>
  </si>
  <si>
    <t>Dahl, Michael</t>
  </si>
  <si>
    <t>Ethen Beavers</t>
  </si>
  <si>
    <t>closet_graphic-novels (#14), 4-x-4-early-elem-chapter-books_c (#20)</t>
  </si>
  <si>
    <t>Superhero Max</t>
  </si>
  <si>
    <t>Lawrence David</t>
  </si>
  <si>
    <t>David, Lawrence</t>
  </si>
  <si>
    <t>Tara Calahan King</t>
  </si>
  <si>
    <t>Doubleday Books for Young Readers</t>
  </si>
  <si>
    <t>5x5-picture-books-b (#21), to-read (#85)</t>
  </si>
  <si>
    <t>Super Red Riding Hood</t>
  </si>
  <si>
    <t>Claudia Davila</t>
  </si>
  <si>
    <t>Davila, Claudia</t>
  </si>
  <si>
    <t>Kids Can Press</t>
  </si>
  <si>
    <t>4x4-picture-books-f (#1)</t>
  </si>
  <si>
    <t>Swimming with Dolphins</t>
  </si>
  <si>
    <t>Lambert Davis</t>
  </si>
  <si>
    <t>Davis, Lambert</t>
  </si>
  <si>
    <t>Blue Sky Press</t>
  </si>
  <si>
    <t>white-bookshelf-i, 5x5-picture-books_n</t>
  </si>
  <si>
    <t>white-bookshelf-i (#17), 5x5-picture-books_n (#11)</t>
  </si>
  <si>
    <t>Living in Space (Usborne Beginners)</t>
  </si>
  <si>
    <t>Lucy Bowman</t>
  </si>
  <si>
    <t>backpacks_space (#4)</t>
  </si>
  <si>
    <t>Pete the Cat's Train Trip (My First I Can Read)</t>
  </si>
  <si>
    <t>Kimberly Dean</t>
  </si>
  <si>
    <t>leveled-readers_my-first-reading (#36), leveled-readers_1_sets (#57)</t>
  </si>
  <si>
    <t>Pete the Cat and the Tip-Top Tree House (My First I Can Read)</t>
  </si>
  <si>
    <t>leveled-readers_my-first-reading (#22), leveled-readers_1_sets (#56)</t>
  </si>
  <si>
    <t>Pete the Cat: Snow Daze: A Winter Story for Children (Ages 4-8) (My First I Can Read)</t>
  </si>
  <si>
    <t>leveled-readers_my-first-reading (#10)</t>
  </si>
  <si>
    <t>Pete the Cat and the Cool Caterpillar: An Early Reading Picture Book of Butterflies and Insects (I Can Read Level 1)</t>
  </si>
  <si>
    <t>leveled-readers_1 (#37), leveled-readers_1_sets (#60)</t>
  </si>
  <si>
    <t>Pete the Cat Goes Camping</t>
  </si>
  <si>
    <t>leveled-readers_1_sets (#58)</t>
  </si>
  <si>
    <t>Pete the Cat and the Lost Tooth: A Fun Tooth Fairy Story for Children (Ages 4-8) (My First I Can Read)</t>
  </si>
  <si>
    <t>leveled-readers_my-first-reading (#6)</t>
  </si>
  <si>
    <t>Pete the Cat: Sir Pete the Brave (My First I Can Read)</t>
  </si>
  <si>
    <t>leveled-readers_my-first-reading (#9)</t>
  </si>
  <si>
    <t>Pete the Cat's Groovy Bake Sale (My First I Can Read)</t>
  </si>
  <si>
    <t>leveled-readers_my-first-reading (#19)</t>
  </si>
  <si>
    <t>Pete the Cat: Pete's Big Lunch (Pete the Cat: I Can Read)</t>
  </si>
  <si>
    <t>Harper</t>
  </si>
  <si>
    <t>leveled-readers_my-first-reading (#23)</t>
  </si>
  <si>
    <t>Pete the Cat: Scuba-Cat (My First I Can Read)</t>
  </si>
  <si>
    <t>leveled-readers_my-first-reading (#8), leveled-readers_1_sets (#55)</t>
  </si>
  <si>
    <t>Pete the Cat and the Surprise Teacher (My First I Can Read)</t>
  </si>
  <si>
    <t>leveled-readers_my-first-reading (#24)</t>
  </si>
  <si>
    <t>Pete the Cat: Play Ball! (Pete the Cat: I Can Read)</t>
  </si>
  <si>
    <t>leveled-readers_my-first-reading (#7)</t>
  </si>
  <si>
    <t>Pete the Cat: Too Cool for School</t>
  </si>
  <si>
    <t>leveled-readers_my-first-reading (#11)</t>
  </si>
  <si>
    <t>Pete the Kitty Goes to the Doctor (My First I Can Read)</t>
  </si>
  <si>
    <t>leveled-readers_my-first-reading (#12)</t>
  </si>
  <si>
    <t>Pete the Cat's Trip to the Supermarket</t>
  </si>
  <si>
    <t>leveled-readers_1 (#36), leveled-readers_1_sets (#59)</t>
  </si>
  <si>
    <t>Pete the Kitty and the Unicorn's Missing Colors</t>
  </si>
  <si>
    <t>leveled-readers_my-first-reading (#25)</t>
  </si>
  <si>
    <t>Martina una cucarachita muy linda: Un cuento cubano (Spanish Edition)</t>
  </si>
  <si>
    <t>Carmen Agra Deedy</t>
  </si>
  <si>
    <t>Deedy, Carmen Agra</t>
  </si>
  <si>
    <t>Michael  Austin</t>
  </si>
  <si>
    <t>Peachtree</t>
  </si>
  <si>
    <t>1-x-4_spanish-picture-books_a (#5)</t>
  </si>
  <si>
    <t>Arroz Con Leche: Popular Songs and Rhymes from Latin America</t>
  </si>
  <si>
    <t>4x4-picture-books-e (#46)</t>
  </si>
  <si>
    <t>Pirates Go to School</t>
  </si>
  <si>
    <t>Corinne Demas</t>
  </si>
  <si>
    <t>Demas, Corinne</t>
  </si>
  <si>
    <t>5x5-picture-books_n (#16)</t>
  </si>
  <si>
    <t>TouchThinkLearn: ABC</t>
  </si>
  <si>
    <t>Xavier Deneux</t>
  </si>
  <si>
    <t>Deneux, Xavier</t>
  </si>
  <si>
    <t>4x4-picture-books-b (#6)</t>
  </si>
  <si>
    <t>The Dumb Bunnies' Easter (Dumb Bunnies, #2)</t>
  </si>
  <si>
    <t>Sue Denim</t>
  </si>
  <si>
    <t>Denim, Sue</t>
  </si>
  <si>
    <t>closet-black-bin-holiday (#13)</t>
  </si>
  <si>
    <t>Planting Stories: The Life of Librarian and Storyteller Pura Belpré</t>
  </si>
  <si>
    <t>Anika Aldamuy Denise</t>
  </si>
  <si>
    <t>Denise, Anika Aldamuy</t>
  </si>
  <si>
    <t>Paola Escobar</t>
  </si>
  <si>
    <t>4x4-picture-books-l (#34)</t>
  </si>
  <si>
    <t>Nana Upstairs and Nana Downstairs</t>
  </si>
  <si>
    <t>dePaola, Tomie</t>
  </si>
  <si>
    <t>5x5-picture-books-b (#31), to-read (#77)</t>
  </si>
  <si>
    <t>Andy, That's My Name</t>
  </si>
  <si>
    <t>montclair-high-school-sets (#7)</t>
  </si>
  <si>
    <t>I Can Be a Gymnast (Barbie) (Step into Reading)</t>
  </si>
  <si>
    <t>Kristen L. Depken</t>
  </si>
  <si>
    <t>Depken, Kristen L.</t>
  </si>
  <si>
    <t>Tino Santanach, Joaquín Cañizares, Mattel</t>
  </si>
  <si>
    <t>leveled-readers_1 (#58)</t>
  </si>
  <si>
    <t>Dinosaur Rescue! (Jurassic World: Fallen Kingdom) (Step into Reading)</t>
  </si>
  <si>
    <t>leveled-readers-3 (#11)</t>
  </si>
  <si>
    <t>Paletero Man/¡Que Paletero tan Cool!: Bilingual English-Spanish (Spanish Edition)</t>
  </si>
  <si>
    <t>Lucky Diaz</t>
  </si>
  <si>
    <t>Diaz, Lucky</t>
  </si>
  <si>
    <t>Micah Player, Carmen Tafolla</t>
  </si>
  <si>
    <t>teacher-grants (#96)</t>
  </si>
  <si>
    <t>A Piglet Named Mercy</t>
  </si>
  <si>
    <t>Chris Van Dusen</t>
  </si>
  <si>
    <t>4x4-picture-books-d (#19)</t>
  </si>
  <si>
    <t>Human Computer: Mary Jackson, Engineer (Picture Book Biography)</t>
  </si>
  <si>
    <t>Andi Diehn</t>
  </si>
  <si>
    <t>Diehn, Andi</t>
  </si>
  <si>
    <t>Katie Mazeika</t>
  </si>
  <si>
    <t>Nomad Press</t>
  </si>
  <si>
    <t>teacher-grants (#49)</t>
  </si>
  <si>
    <t>The Caring Me I Want to Be</t>
  </si>
  <si>
    <t>Mary DiPalermo</t>
  </si>
  <si>
    <t>DiPalermo, Mary</t>
  </si>
  <si>
    <t>Emma Randall</t>
  </si>
  <si>
    <t>4x4-picture-books-j (#14)</t>
  </si>
  <si>
    <t>Spaghetti in a Hot Dog Bun: Having the Courage To Be Who You Are</t>
  </si>
  <si>
    <t>Maria Dismondy</t>
  </si>
  <si>
    <t>Dismondy, Maria</t>
  </si>
  <si>
    <t>Kimberly Shaw-Peterson</t>
  </si>
  <si>
    <t>Cardinal Rule Press</t>
  </si>
  <si>
    <t>4x4-picture-books-i (#14)</t>
  </si>
  <si>
    <t>Slinky Malinki, Open the Door</t>
  </si>
  <si>
    <t>Lynley Dodd</t>
  </si>
  <si>
    <t>Dodd, Lynley</t>
  </si>
  <si>
    <t>picture-books-about-animals (#7)</t>
  </si>
  <si>
    <t>Drum, Chavi, Drum / Toca, Chavi, Toca</t>
  </si>
  <si>
    <t>Mayra Lazara Dole</t>
  </si>
  <si>
    <t>Dole, Mayra Lazara</t>
  </si>
  <si>
    <t>Childrens Book Pr</t>
  </si>
  <si>
    <t>1-x-4-spanish-picture-books_b (#22)</t>
  </si>
  <si>
    <t>The Gruffalo (Gruffalo, #1)</t>
  </si>
  <si>
    <t>Axel Scheffler</t>
  </si>
  <si>
    <t>Macmillan Pub Ltd</t>
  </si>
  <si>
    <t>5x5-picture-books-b (#54), to-read (#96)</t>
  </si>
  <si>
    <t>Freddie and the Fairy</t>
  </si>
  <si>
    <t>Karen George</t>
  </si>
  <si>
    <t>Macmillan Children's Books</t>
  </si>
  <si>
    <t>picture-books, 4x4-picture-books-f</t>
  </si>
  <si>
    <t>picture-books (#4), 4x4-picture-books-f (#29)</t>
  </si>
  <si>
    <t>The Spiffiest Giant in Town</t>
  </si>
  <si>
    <t>4x4-picture-books-j (#23)</t>
  </si>
  <si>
    <t>The Snail and the Whale</t>
  </si>
  <si>
    <t>4x4-picture-books-e (#32)</t>
  </si>
  <si>
    <t>4x4-picture-books-e (#30)</t>
  </si>
  <si>
    <t>Room on the Broom</t>
  </si>
  <si>
    <t>4x4-picture-books-e (#23)</t>
  </si>
  <si>
    <t>I Knew You Could!: A Book for All the Stops in Your Life (By CRAIG DORFMAN) (Illustrated by CRISTINA ONG)</t>
  </si>
  <si>
    <t>Craig Dorfman</t>
  </si>
  <si>
    <t>Dorfman, Craig</t>
  </si>
  <si>
    <t>Cristina Ong</t>
  </si>
  <si>
    <t>4x4-picture-books-i (#15)</t>
  </si>
  <si>
    <t>Wally Does Not Want a Haircut</t>
  </si>
  <si>
    <t>Amanda Driscoll</t>
  </si>
  <si>
    <t>Driscoll, Amanda</t>
  </si>
  <si>
    <t>Knopf Books for Young Readers</t>
  </si>
  <si>
    <t>5x5-picture-books-b (#34), to-read (#75)</t>
  </si>
  <si>
    <t>Hank Has a Dream</t>
  </si>
  <si>
    <t>Rebecca Dudley</t>
  </si>
  <si>
    <t>Dudley, Rebecca</t>
  </si>
  <si>
    <t>Peter Pauper Press</t>
  </si>
  <si>
    <t>backpacks_bedtime-stories (#6)</t>
  </si>
  <si>
    <t>Tell Me Something Happy Before I Go to Sleep</t>
  </si>
  <si>
    <t>Joyce Dunbar</t>
  </si>
  <si>
    <t>Dunbar, Joyce</t>
  </si>
  <si>
    <t>backpacks_bedtime-stories, white-bookshelf-l, 5x5-picture-books-c</t>
  </si>
  <si>
    <t>backpacks_bedtime-stories (#1), white-bookshelf-l (#24), 5x5-picture-books-c (#37)</t>
  </si>
  <si>
    <t>Randy Riley's Really Big Hit</t>
  </si>
  <si>
    <t>Dusen, Chris Van</t>
  </si>
  <si>
    <t>white-bookshelf-n (#38), to-read (#131), 5x5-picture-books-d (#53)</t>
  </si>
  <si>
    <t>If I Built a School (If I Built Series)</t>
  </si>
  <si>
    <t>white-bookshelf-m (#20), 5x5-picture-books-c (#25)</t>
  </si>
  <si>
    <t>Perro Grande... Perro Pequeño: un cuento de las buenas noches = Big dog-- little dog : a bedtime story</t>
  </si>
  <si>
    <t>P.D. Eastman</t>
  </si>
  <si>
    <t>Eastman, P.D.</t>
  </si>
  <si>
    <t>4x4-picture-books-g (#47)</t>
  </si>
  <si>
    <t>Growing Vegetable Soup</t>
  </si>
  <si>
    <t>Lois Ehlert</t>
  </si>
  <si>
    <t>Ehlert, Lois</t>
  </si>
  <si>
    <t>Harcourt</t>
  </si>
  <si>
    <t>1-x-4_spanish-picture-books_a, 5x5-picture-books-a</t>
  </si>
  <si>
    <t>1-x-4_spanish-picture-books_a (#45), 5x5-picture-books-a (#47)</t>
  </si>
  <si>
    <t>Flying High (DC Super Friends)</t>
  </si>
  <si>
    <t>Nick Eliopulos</t>
  </si>
  <si>
    <t>Eliopulos, Nick</t>
  </si>
  <si>
    <t>Loston Wallace, Dave Tanguay</t>
  </si>
  <si>
    <t>leveled-readers_1 (#10), leveled-readers_1_sets (#44)</t>
  </si>
  <si>
    <t>Adios Oscar! A Butterfly Fable</t>
  </si>
  <si>
    <t>Peter Elwell</t>
  </si>
  <si>
    <t>Elwell, Peter</t>
  </si>
  <si>
    <t>4x4-picture-books-g (#1)</t>
  </si>
  <si>
    <t>Little Roja Riding Hood</t>
  </si>
  <si>
    <t>Susan Middleton Elya</t>
  </si>
  <si>
    <t>Elya, Susan Middleton</t>
  </si>
  <si>
    <t>Susan Guevara</t>
  </si>
  <si>
    <t>4x4-picture-books-l (#38)</t>
  </si>
  <si>
    <t>La Princesa and the Pea</t>
  </si>
  <si>
    <t>G.P. Putnam’s Sons Books for Young Readers</t>
  </si>
  <si>
    <t>4x4-picture-books-g (#53)</t>
  </si>
  <si>
    <t>Teensy Weensy Animals</t>
  </si>
  <si>
    <t>Joan Emerson</t>
  </si>
  <si>
    <t>Emerson, Joan</t>
  </si>
  <si>
    <t>Scholastic Paperback Nonfiction</t>
  </si>
  <si>
    <t>leveled-readers-2 (#78)</t>
  </si>
  <si>
    <t>Chimpanzees for Tea!</t>
  </si>
  <si>
    <t>Jo Empson</t>
  </si>
  <si>
    <t>Empson, Jo</t>
  </si>
  <si>
    <t>5x5-picture-books-d</t>
  </si>
  <si>
    <t>5x5-picture-books-d (#72)</t>
  </si>
  <si>
    <t>Disney Junior Fancy Nancy: Nancy’s Fancy Heirloom (I Can Read Level 1)</t>
  </si>
  <si>
    <t>Marisa Evans-Sanden</t>
  </si>
  <si>
    <t>Evans-Sanden, Marisa</t>
  </si>
  <si>
    <t>leveled-readers_1 (#21), leveled-readers_1_sets (#21)</t>
  </si>
  <si>
    <t>Bugs for Lunch</t>
  </si>
  <si>
    <t>Margery Facklam</t>
  </si>
  <si>
    <t>Facklam, Margery</t>
  </si>
  <si>
    <t>Sylvia Long</t>
  </si>
  <si>
    <t>5x5-picture-books-e (#68)</t>
  </si>
  <si>
    <t>Gorillas In Our Midst</t>
  </si>
  <si>
    <t>Richard Fairgray</t>
  </si>
  <si>
    <t>Fairgray, Richard</t>
  </si>
  <si>
    <t>Terry Jones</t>
  </si>
  <si>
    <t>Sky Pony Press</t>
  </si>
  <si>
    <t>5x5-picture-books-a (#29), to-read (#26)</t>
  </si>
  <si>
    <t>Bark, George</t>
  </si>
  <si>
    <t>Jules Feiffer</t>
  </si>
  <si>
    <t>Feiffer, Jules</t>
  </si>
  <si>
    <t>Michael di Capua Books</t>
  </si>
  <si>
    <t>picture-books-about-animals (#18)</t>
  </si>
  <si>
    <t>Kingfisher Readers L1: Brilliant Birds</t>
  </si>
  <si>
    <t>Thea Feldman</t>
  </si>
  <si>
    <t>Feldman, Thea</t>
  </si>
  <si>
    <t>leveled-readers_1 (#47)</t>
  </si>
  <si>
    <t>The LEGO (R) Movie Calling All Master Builders! (DK Readers Level 1)</t>
  </si>
  <si>
    <t>David Fentiman</t>
  </si>
  <si>
    <t>Fentiman, David</t>
  </si>
  <si>
    <t>Dorling Kindersley Publishers Ltd</t>
  </si>
  <si>
    <t>leveled-readers_1_sets (#39)</t>
  </si>
  <si>
    <t>Miss Malarkey Doesn't Live in Room 10</t>
  </si>
  <si>
    <t>Judy Finchler</t>
  </si>
  <si>
    <t>Finchler, Judy</t>
  </si>
  <si>
    <t>white-bookshelf-m, 5x5-picture-books-d</t>
  </si>
  <si>
    <t>white-bookshelf-m (#26), 5x5-picture-books-d (#24)</t>
  </si>
  <si>
    <t>Batman Classic: I Am Batman (I Can Read Level 2)</t>
  </si>
  <si>
    <t>Delphine Finnegan</t>
  </si>
  <si>
    <t>Finnegan, Delphine</t>
  </si>
  <si>
    <t>leveled-readers-2 (#7)</t>
  </si>
  <si>
    <t>The Smallest Snowman</t>
  </si>
  <si>
    <t>Sarah Fisch</t>
  </si>
  <si>
    <t>Fisch, Sarah</t>
  </si>
  <si>
    <t>Jim Durk</t>
  </si>
  <si>
    <t>5x5-picture-books_l (#31)</t>
  </si>
  <si>
    <t>My Even Day (Arbordale Collection)</t>
  </si>
  <si>
    <t>Doris Fisher</t>
  </si>
  <si>
    <t>Fisher, Doris</t>
  </si>
  <si>
    <t>Dani Sneed, Karen Lee</t>
  </si>
  <si>
    <t>Arbordale Publishing</t>
  </si>
  <si>
    <t>4x4-picture-books-c (#56)</t>
  </si>
  <si>
    <t>Alphabet Under Construction</t>
  </si>
  <si>
    <t>Denise Fleming</t>
  </si>
  <si>
    <t>Fleming, Denise</t>
  </si>
  <si>
    <t>Square Fish</t>
  </si>
  <si>
    <t>to-read (#162), 5x5-picture-books-e (#34)</t>
  </si>
  <si>
    <t>Ninja at the Pet Shop (Moby Shinobi, #3)</t>
  </si>
  <si>
    <t>Luke Flowers</t>
  </si>
  <si>
    <t>Flowers, Luke</t>
  </si>
  <si>
    <t>leveled-readers_1_sets (#35)</t>
  </si>
  <si>
    <t>Ninja in the Kitchen (Moby Shinobi, #2)</t>
  </si>
  <si>
    <t>leveled-readers_1 (#55), leveled-readers_1_sets (#68)</t>
  </si>
  <si>
    <t>And Then It's Spring</t>
  </si>
  <si>
    <t>Julie Fogliano</t>
  </si>
  <si>
    <t>Fogliano, Julie</t>
  </si>
  <si>
    <t>Erin E. Stead</t>
  </si>
  <si>
    <t>5x5-picture-books-b (#36), to-read (#74)</t>
  </si>
  <si>
    <t>A Charlie Brown Christmas (Peanuts)</t>
  </si>
  <si>
    <t>Justine Korman Fontes</t>
  </si>
  <si>
    <t>Fontes, Justine Korman</t>
  </si>
  <si>
    <t>Ron Fontes, Paige Braddock, Charles M. Schulz</t>
  </si>
  <si>
    <t>closet-black-bin-holiday (#24)</t>
  </si>
  <si>
    <t>It's the Great Pumpkin, Charlie Brown</t>
  </si>
  <si>
    <t>closet-black-bin-holiday (#20)</t>
  </si>
  <si>
    <t>Read to Tiger</t>
  </si>
  <si>
    <t>S.J. Fore</t>
  </si>
  <si>
    <t>Fore, S.J.</t>
  </si>
  <si>
    <t>5x5-picture-books-c (#65)</t>
  </si>
  <si>
    <t>Reading Together Level 2: Mother Goose (Reading Together)</t>
  </si>
  <si>
    <t>Michael Foreman</t>
  </si>
  <si>
    <t>Foreman, Michael</t>
  </si>
  <si>
    <t>Walker Bks.</t>
  </si>
  <si>
    <t>5x5-picture-books-c (#69)</t>
  </si>
  <si>
    <t>Lily's Cat Mask</t>
  </si>
  <si>
    <t>Julie Fortenberry</t>
  </si>
  <si>
    <t>Fortenberry, Julie</t>
  </si>
  <si>
    <t>4x4-picture-books-i (#28)</t>
  </si>
  <si>
    <t>My Name Is Not Alexander (Isabella)</t>
  </si>
  <si>
    <t>Jennifer Fosberry</t>
  </si>
  <si>
    <t>Fosberry, Jennifer</t>
  </si>
  <si>
    <t>Mike Litwin</t>
  </si>
  <si>
    <t>5x5-picture-books-a (#5), to-read (#49)</t>
  </si>
  <si>
    <t>My Name is Not Isabella</t>
  </si>
  <si>
    <t>Monkey Barrel Pr</t>
  </si>
  <si>
    <t>4x4-picture-books-p (#19)</t>
  </si>
  <si>
    <t>Plants that Eat Animals (Rookie Read-About Science: Plants and Fungi)</t>
  </si>
  <si>
    <t>Allan Fowler</t>
  </si>
  <si>
    <t>Fowler, Allan</t>
  </si>
  <si>
    <t>to-read (#175), 5x5-picture-books-e (#47)</t>
  </si>
  <si>
    <t>Living in a Desert (Rookie Read-About Geography)</t>
  </si>
  <si>
    <t>travel (#5)</t>
  </si>
  <si>
    <t>Koala Lou</t>
  </si>
  <si>
    <t>Mem Fox</t>
  </si>
  <si>
    <t>Fox, Mem</t>
  </si>
  <si>
    <t>Pamela Lofts</t>
  </si>
  <si>
    <t>teacher-grants (#7)</t>
  </si>
  <si>
    <t>Dirt on My Shirt: Hilarious Poems About Neighborhood Adventures and Family Fun for Kids (Ages 4-8)</t>
  </si>
  <si>
    <t>Steve Bjorkman</t>
  </si>
  <si>
    <t>poetry (#1)</t>
  </si>
  <si>
    <t>Dirt on My Shirt: Selected Poems: A Hilarious I Can Read Story About Family and Neighborhood Life for Kids (Ages 4-8) (I Can Read Level 2)</t>
  </si>
  <si>
    <t>leveled-readers-2 (#52)</t>
  </si>
  <si>
    <t>Aqui tambien</t>
  </si>
  <si>
    <t>Paula Fränkel</t>
  </si>
  <si>
    <t>Fränkel, Paula</t>
  </si>
  <si>
    <t>AMANUENSE</t>
  </si>
  <si>
    <t>4x4-picture-books-g (#9)</t>
  </si>
  <si>
    <t>Monster Trouble!</t>
  </si>
  <si>
    <t>Lane Fredrickson</t>
  </si>
  <si>
    <t>Fredrickson, Lane</t>
  </si>
  <si>
    <t>Michael   Robertson</t>
  </si>
  <si>
    <t>white-bookshelf-n (#51), to-read (#115), 5x5-picture-books-d (#36)</t>
  </si>
  <si>
    <t>Monsters Love Underpants</t>
  </si>
  <si>
    <t>Simon &amp; Schuster</t>
  </si>
  <si>
    <t>white-bookshelf-l (#23), 5x5-picture-books-c (#39)</t>
  </si>
  <si>
    <t>Pirates Love Underpants</t>
  </si>
  <si>
    <t>white-bookshelf-l, 5x5-picture-books_n</t>
  </si>
  <si>
    <t>white-bookshelf-l (#3), 5x5-picture-books_n (#13)</t>
  </si>
  <si>
    <t>A Rainbow of My Own</t>
  </si>
  <si>
    <t>Don Freeman</t>
  </si>
  <si>
    <t>Freeman, Don</t>
  </si>
  <si>
    <t>closet_3rd-4th-grade-chapter-books (#4)</t>
  </si>
  <si>
    <t>Daniel Learns to Share</t>
  </si>
  <si>
    <t>Jason Fruchter</t>
  </si>
  <si>
    <t>ore-level-one, pre-level-one</t>
  </si>
  <si>
    <t>ore-level-one (#1), pre-level-one (#1)</t>
  </si>
  <si>
    <t>Blueberry Girl</t>
  </si>
  <si>
    <t>Neil Gaiman</t>
  </si>
  <si>
    <t>Gaiman, Neil</t>
  </si>
  <si>
    <t>Charles Vess</t>
  </si>
  <si>
    <t>5x5-picture-books-a (#42), to-read (#55)</t>
  </si>
  <si>
    <t>The World Needs Who You Were Made to Be</t>
  </si>
  <si>
    <t>Joanna Gaines</t>
  </si>
  <si>
    <t>Gaines, Joanna</t>
  </si>
  <si>
    <t>Julianna Swaney</t>
  </si>
  <si>
    <t>Tommy Nelson</t>
  </si>
  <si>
    <t>4x4-picture-books-i (#4)</t>
  </si>
  <si>
    <t>¡Es la hora de los esqueletos! / It's Skeleton Time! (Scholastic Bilingual) (Spanish Edition)</t>
  </si>
  <si>
    <t>Ana Galán</t>
  </si>
  <si>
    <t>Galán, Ana</t>
  </si>
  <si>
    <t>Rodrigo Luján</t>
  </si>
  <si>
    <t>closet-black-bin-holiday (#26)</t>
  </si>
  <si>
    <t>Rumpelstiltskin</t>
  </si>
  <si>
    <t>Paul Galdone</t>
  </si>
  <si>
    <t>Galdone, Paul</t>
  </si>
  <si>
    <t>4x4-picture-books-f (#26)</t>
  </si>
  <si>
    <t>Hero School: Ready-to-Read Level 1 (PJ Masks)</t>
  </si>
  <si>
    <t>Tino Gallo</t>
  </si>
  <si>
    <t>Gallo, Tino</t>
  </si>
  <si>
    <t>leveled-readers_1 (#11)</t>
  </si>
  <si>
    <t>I Wonder Why Camels Have Humps: And Other Questions About Animals</t>
  </si>
  <si>
    <t>Anita Ganeri</t>
  </si>
  <si>
    <t>Ganeri, Anita</t>
  </si>
  <si>
    <t>5x5-picture-books-e (#50)</t>
  </si>
  <si>
    <t>I Wonder Why the Sea Is Salty: and Other Questions About the Oceans</t>
  </si>
  <si>
    <t>closet_math-and-science (#30)</t>
  </si>
  <si>
    <t>Happy Birthday, Rotten Ralph</t>
  </si>
  <si>
    <t>Jack Gantos</t>
  </si>
  <si>
    <t>Gantos, Jack</t>
  </si>
  <si>
    <t>Nicole Rubel</t>
  </si>
  <si>
    <t>4x4-picture-books-j (#5)</t>
  </si>
  <si>
    <t>Otter: Oh No, Bath Time! (My First I Can Read)</t>
  </si>
  <si>
    <t>Sam Garton</t>
  </si>
  <si>
    <t>Garton, Sam</t>
  </si>
  <si>
    <t>to-read, leveled-readers_my-first-reading</t>
  </si>
  <si>
    <t>to-read (#6), leveled-readers_my-first-reading (#16)</t>
  </si>
  <si>
    <t>Family Pictures / Cuadros de Familia</t>
  </si>
  <si>
    <t>Carmen Lomas Garza</t>
  </si>
  <si>
    <t>Garza, Carmen Lomas</t>
  </si>
  <si>
    <t>Sandra Cisneros, Pat Mora</t>
  </si>
  <si>
    <t>1-x-4-spanish-picture-books_b (#24)</t>
  </si>
  <si>
    <t>Lucia the Luchadora and the Million Masks</t>
  </si>
  <si>
    <t>Cynthia Leonor Garza</t>
  </si>
  <si>
    <t>Garza, Cynthia Leonor</t>
  </si>
  <si>
    <t>Alyssa Bermudez</t>
  </si>
  <si>
    <t>POW!</t>
  </si>
  <si>
    <t>4x4-picture-books-g (#5)</t>
  </si>
  <si>
    <t>And Then Another Sheep Turned Up</t>
  </si>
  <si>
    <t>Laura Gehl</t>
  </si>
  <si>
    <t>Gehl, Laura</t>
  </si>
  <si>
    <t>Amy Adele</t>
  </si>
  <si>
    <t>Kar-Ben Pub</t>
  </si>
  <si>
    <t>4x4-picture-books-e (#10)</t>
  </si>
  <si>
    <t>Flop Ear</t>
  </si>
  <si>
    <t>Guido Van Genechten</t>
  </si>
  <si>
    <t>Genechten, Guido Van</t>
  </si>
  <si>
    <t>5x5-picture-books-b (#57), to-read (#94)</t>
  </si>
  <si>
    <t>Duck, Duck, Dinosaur: Snowy Surprise (My First I Can Read)</t>
  </si>
  <si>
    <t>Kallie George</t>
  </si>
  <si>
    <t>George, Kallie</t>
  </si>
  <si>
    <t>Oriol Vidal</t>
  </si>
  <si>
    <t>leveled-readers_my-first-reading (#2)</t>
  </si>
  <si>
    <t>The Lost Gift: A Christmas Story</t>
  </si>
  <si>
    <t>Stephanie Graegin</t>
  </si>
  <si>
    <t>Schwartz &amp; Wade</t>
  </si>
  <si>
    <t>closet-black-bin-holiday (#21)</t>
  </si>
  <si>
    <t>Sir Cedric</t>
  </si>
  <si>
    <t>Roy Gerrard</t>
  </si>
  <si>
    <t>Gerrard, Roy</t>
  </si>
  <si>
    <t>Farrar Straus &amp; Giroux (J)</t>
  </si>
  <si>
    <t>white-bookshelf-l (#6), 5x5-picture-books-c (#62)</t>
  </si>
  <si>
    <t>Nature's Green Umbrella: A Colorful Picture Book About Rainforest Ecosystems for Kids (Ages 4-8)</t>
  </si>
  <si>
    <t>Gail Gibbons</t>
  </si>
  <si>
    <t>Gibbons, Gail</t>
  </si>
  <si>
    <t>4x4-picture-books-c (#17)</t>
  </si>
  <si>
    <t>Trains: An Engaging Introduction to Trains and Their Uses Including Locomotives, Tanker Cars, Boxcars, and More</t>
  </si>
  <si>
    <t>white-bookshelf-o (#2)</t>
  </si>
  <si>
    <t>Frozen: Olaf and the Three Polar Bears</t>
  </si>
  <si>
    <t>Calliope Glass</t>
  </si>
  <si>
    <t>Glass, Calliope</t>
  </si>
  <si>
    <t>white-bookshelf-o, 5x5-picture-books-d</t>
  </si>
  <si>
    <t>white-bookshelf-o (#24), 5x5-picture-books-d (#40)</t>
  </si>
  <si>
    <t>Iktomi and the Boulder</t>
  </si>
  <si>
    <t>Paul Goble</t>
  </si>
  <si>
    <t>Goble, Paul</t>
  </si>
  <si>
    <t>4x4-picture-books-k (#28)</t>
  </si>
  <si>
    <t>La Luna se fue de fiesta (Spanish Edition)</t>
  </si>
  <si>
    <t>Matthew Gollub</t>
  </si>
  <si>
    <t>Gollub, Matthew</t>
  </si>
  <si>
    <t>Tortuga Press</t>
  </si>
  <si>
    <t>to-read (#201), 1-x-4_spanish-picture-books_a (#53)</t>
  </si>
  <si>
    <t>Bossy Gallito / El gallo de bodas</t>
  </si>
  <si>
    <t>Lucia M. Gonzalez</t>
  </si>
  <si>
    <t>Gonzalez, Lucia M.</t>
  </si>
  <si>
    <t>4x4-picture-books-h (#14)</t>
  </si>
  <si>
    <t>Change Sings: a Children's Anthem</t>
  </si>
  <si>
    <t>Amanda Gorman</t>
  </si>
  <si>
    <t>Gorman, Amanda</t>
  </si>
  <si>
    <t>Loren Long</t>
  </si>
  <si>
    <t>4x4-picture-books-k (#41)</t>
  </si>
  <si>
    <t>Lego Star Wars: A New Hope (DK Readers)</t>
  </si>
  <si>
    <t>Emma Grange</t>
  </si>
  <si>
    <t>Grange, Emma</t>
  </si>
  <si>
    <t>leveled-readers_1_sets (#40)</t>
  </si>
  <si>
    <t>Lego Star Wars: The Empire Strikes Back (DK Readers L2)</t>
  </si>
  <si>
    <t>leveled-readers-2 (#48)</t>
  </si>
  <si>
    <t>Dog on a Frog?</t>
  </si>
  <si>
    <t>Kes Gray</t>
  </si>
  <si>
    <t>Gray, Kes</t>
  </si>
  <si>
    <t>Claire Gray, Jim Field</t>
  </si>
  <si>
    <t>5x5-picture-books-b (#41), to-read (#72)</t>
  </si>
  <si>
    <t>Frog on a Log?</t>
  </si>
  <si>
    <t>Jim Field</t>
  </si>
  <si>
    <t>4x4-picture-books-e (#18)</t>
  </si>
  <si>
    <t>Bugs!</t>
  </si>
  <si>
    <t>David T. Greenberg</t>
  </si>
  <si>
    <t>Greenberg, David T.</t>
  </si>
  <si>
    <t>Lynn Munsinger</t>
  </si>
  <si>
    <t>4x4-picture-books-e (#7)</t>
  </si>
  <si>
    <t>Marley: Strike Three, Marley! (I Can Read Level 2)</t>
  </si>
  <si>
    <t>John Grogan</t>
  </si>
  <si>
    <t>Grogan, John</t>
  </si>
  <si>
    <t>Susan  Hill, Richard Cowdrey, Ellen Beier</t>
  </si>
  <si>
    <t>leveled-readers-2 (#42)</t>
  </si>
  <si>
    <t>Jackie and Me: A Very Special Friendship</t>
  </si>
  <si>
    <t>Tania Grossinger</t>
  </si>
  <si>
    <t>Grossinger, Tania</t>
  </si>
  <si>
    <t>Charles George Esperanza</t>
  </si>
  <si>
    <t>4x4-picture-books-k (#35)</t>
  </si>
  <si>
    <t>¿Tu mamá es una llama? (Is Your Mama a Llama?)</t>
  </si>
  <si>
    <t>Deborah Guarino</t>
  </si>
  <si>
    <t>Guarino, Deborah</t>
  </si>
  <si>
    <t>Aída E. Marcuse, Steven Kellogg</t>
  </si>
  <si>
    <t>4-x-4-early-elem-chapter-books_g (#39)</t>
  </si>
  <si>
    <t>Rain, Rain, Rain Forest</t>
  </si>
  <si>
    <t>Brenda Z. Guiberson</t>
  </si>
  <si>
    <t>Guiberson, Brenda Z.</t>
  </si>
  <si>
    <t>Steve Jenkins</t>
  </si>
  <si>
    <t>5x5-picture-books-b (#24), to-read (#83)</t>
  </si>
  <si>
    <t>Señorita Mariposa</t>
  </si>
  <si>
    <t>Ben Gundersheimer</t>
  </si>
  <si>
    <t>Gundersheimer, Ben</t>
  </si>
  <si>
    <t>Marcos Almada Rivero</t>
  </si>
  <si>
    <t>4x4-picture-books-g (#52)</t>
  </si>
  <si>
    <t>Princesses Save the World</t>
  </si>
  <si>
    <t>Savannah Guthrie</t>
  </si>
  <si>
    <t>Guthrie, Savannah</t>
  </si>
  <si>
    <t>Allison Oppenheim, Eva Byrne</t>
  </si>
  <si>
    <t>4x4-picture-books-e (#36)</t>
  </si>
  <si>
    <t>Clark the Shark</t>
  </si>
  <si>
    <t>Bruce Hale</t>
  </si>
  <si>
    <t>Hale, Bruce</t>
  </si>
  <si>
    <t>Guy Francis</t>
  </si>
  <si>
    <t>5x5-picture-books-b, to-read, 5x5-picture-books_n</t>
  </si>
  <si>
    <t>5x5-picture-books-b (#22), to-read (#84), 5x5-picture-books_n (#23)</t>
  </si>
  <si>
    <t>Scapegoat: The Story of a Goat Named Oat and a Chewed-Up Coat</t>
  </si>
  <si>
    <t>Dean Hale</t>
  </si>
  <si>
    <t>Hale, Dean</t>
  </si>
  <si>
    <t>Michael Slack</t>
  </si>
  <si>
    <t>picture-books-about-animals (#5)</t>
  </si>
  <si>
    <t>Ballerina Girl (My First Reader) (My First Reader (Reissue))</t>
  </si>
  <si>
    <t>Anne Vittur Kennedy</t>
  </si>
  <si>
    <t>white-bookshelf-n</t>
  </si>
  <si>
    <t>white-bookshelf-n (#33)</t>
  </si>
  <si>
    <t>The Hare and the Tortoise / La Libre y la Tortuga</t>
  </si>
  <si>
    <t>Ann    Hamilton</t>
  </si>
  <si>
    <t>Hamilton, Ann</t>
  </si>
  <si>
    <t>Mooli Print</t>
  </si>
  <si>
    <t>Christmas for the Snowmen</t>
  </si>
  <si>
    <t>Wolfram Hänel</t>
  </si>
  <si>
    <t>Hänel, Wolfram</t>
  </si>
  <si>
    <t>Uli Waas</t>
  </si>
  <si>
    <t>North-South Books</t>
  </si>
  <si>
    <t>backpacks_snow (#2)</t>
  </si>
  <si>
    <t>I Love You, Mommy</t>
  </si>
  <si>
    <t>Jillian Harker</t>
  </si>
  <si>
    <t>Harker, Jillian</t>
  </si>
  <si>
    <t>Kristina Stephenson</t>
  </si>
  <si>
    <t>5x5-picture-books-a (#21), to-read (#33)</t>
  </si>
  <si>
    <t>The Wolf Who Cried Boy</t>
  </si>
  <si>
    <t>Bob Hartman</t>
  </si>
  <si>
    <t>Hartman, Bob</t>
  </si>
  <si>
    <t>Tim Raglin</t>
  </si>
  <si>
    <t>4x4-picture-books-f (#5)</t>
  </si>
  <si>
    <t>Amazing Buildings (DK Readers, Level 2)</t>
  </si>
  <si>
    <t>Kate Hayden</t>
  </si>
  <si>
    <t>Hayden, Kate</t>
  </si>
  <si>
    <t>travel (#7)</t>
  </si>
  <si>
    <t>Juan Verdades: The Man Who Couldn't Tell A Lie</t>
  </si>
  <si>
    <t>Hayes, Joe</t>
  </si>
  <si>
    <t>Joseph Daniel Fiedler</t>
  </si>
  <si>
    <t>Orchard</t>
  </si>
  <si>
    <t>1-x-4_spanish-picture-books_a (#26)</t>
  </si>
  <si>
    <t>I Wished for a Unicorn</t>
  </si>
  <si>
    <t>Robert Heidbreder</t>
  </si>
  <si>
    <t>Heidbreder, Robert</t>
  </si>
  <si>
    <t>Kady MacDonald Denton</t>
  </si>
  <si>
    <t>white-bookshelf-n, 5x5-picture-books_i</t>
  </si>
  <si>
    <t>white-bookshelf-n (#14), 5x5-picture-books_i (#5)</t>
  </si>
  <si>
    <t>How to Hide a Meadow Frog and Other Amphibians (Reading Railroad)</t>
  </si>
  <si>
    <t>Ruth Heller</t>
  </si>
  <si>
    <t>Heller, Ruth</t>
  </si>
  <si>
    <t>5x5-picture-books-e (#48)</t>
  </si>
  <si>
    <t>Owen</t>
  </si>
  <si>
    <t>Kevin Henkes</t>
  </si>
  <si>
    <t>Henkes, Kevin</t>
  </si>
  <si>
    <t>5x5-picture-books_l (#23)</t>
  </si>
  <si>
    <t>Wemberly Worried</t>
  </si>
  <si>
    <t>4x4-picture-books-j (#44)</t>
  </si>
  <si>
    <t>Waiting</t>
  </si>
  <si>
    <t>4x4-picture-books-d (#17)</t>
  </si>
  <si>
    <t>Chester's Way</t>
  </si>
  <si>
    <t>5x5-picture-books_l (#26)</t>
  </si>
  <si>
    <t>A Weekend with Wendell</t>
  </si>
  <si>
    <t>5x5-picture-books_l (#22)</t>
  </si>
  <si>
    <t>Chrysanthemum</t>
  </si>
  <si>
    <t>4x4-picture-books-i, 5x5-picture-books_l</t>
  </si>
  <si>
    <t>4x4-picture-books-i (#21), 5x5-picture-books_l (#24)</t>
  </si>
  <si>
    <t>Cheer Up, Mouse!</t>
  </si>
  <si>
    <t>Jed Henry</t>
  </si>
  <si>
    <t>Henry, Jed</t>
  </si>
  <si>
    <t>5x5-picture-books-b (#44), to-read (#69)</t>
  </si>
  <si>
    <t>She's Got This: An Encouraging Story About Trying, Falling, and Getting Back Up for Children (Ages 4–8)</t>
  </si>
  <si>
    <t>Laurie Hernandez</t>
  </si>
  <si>
    <t>Hernandez, Laurie</t>
  </si>
  <si>
    <t>Niña Mata</t>
  </si>
  <si>
    <t>backpacks_girl-power</t>
  </si>
  <si>
    <t>backpacks_girl-power (#1)</t>
  </si>
  <si>
    <t>Seed to Plant (Rookie Read-About Science)</t>
  </si>
  <si>
    <t>Lisa M. Herrington</t>
  </si>
  <si>
    <t>Herrington, Lisa M.</t>
  </si>
  <si>
    <t>C. Press/F. Watts Trade</t>
  </si>
  <si>
    <t>4x4-picture-books-c (#21)</t>
  </si>
  <si>
    <t>Duck &amp; Goose, A Gift for Goose (Step into Reading, Step 1)</t>
  </si>
  <si>
    <t>leveled-readers_1 (#45)</t>
  </si>
  <si>
    <t>Katie Loves the Kittens</t>
  </si>
  <si>
    <t>John Himmelman</t>
  </si>
  <si>
    <t>Himmelman, John</t>
  </si>
  <si>
    <t>picture-books-about-animals (#13)</t>
  </si>
  <si>
    <t>La hora de acostarse de Francisca</t>
  </si>
  <si>
    <t>Russell Hoban</t>
  </si>
  <si>
    <t>Hoban, Russell</t>
  </si>
  <si>
    <t>Garth Williams, Tomás González</t>
  </si>
  <si>
    <t>Rayo</t>
  </si>
  <si>
    <t>4x4-picture-books-g (#30)</t>
  </si>
  <si>
    <t>Bedtime for Frances</t>
  </si>
  <si>
    <t>Garth Williams</t>
  </si>
  <si>
    <t>white-bookshelf-l (#5)</t>
  </si>
  <si>
    <t>Estare En Casa por Navidad</t>
  </si>
  <si>
    <t>Holly Hobbie</t>
  </si>
  <si>
    <t>Hobbie, Holly</t>
  </si>
  <si>
    <t>Edebe</t>
  </si>
  <si>
    <t>to-read (#197), 1-x-4_spanish-picture-books_a (#49)</t>
  </si>
  <si>
    <t>Mrs. Brice's Mice</t>
  </si>
  <si>
    <t>Syd Hoff</t>
  </si>
  <si>
    <t>Hoff, Syd</t>
  </si>
  <si>
    <t>to-read (#7), leveled-readers_my-first-reading (#17)</t>
  </si>
  <si>
    <t>Amazing Grace</t>
  </si>
  <si>
    <t>Mary Hoffman</t>
  </si>
  <si>
    <t>Hoffman, Mary</t>
  </si>
  <si>
    <t>Caroline Binch</t>
  </si>
  <si>
    <t>4x4-picture-books-k (#30)</t>
  </si>
  <si>
    <t>Angelina on Stage (Angelina Ballerina)</t>
  </si>
  <si>
    <t>Katharine Holabird</t>
  </si>
  <si>
    <t>Holabird, Katharine</t>
  </si>
  <si>
    <t>Helen Craig</t>
  </si>
  <si>
    <t>white-bookshelf-n (#19), to-read (#144), 5x5-picture-books-d (#68)</t>
  </si>
  <si>
    <t>Tiny Stitches: The Life of Medical Pioneer Vivien Thomas</t>
  </si>
  <si>
    <t>Gwendolyn Hooks</t>
  </si>
  <si>
    <t>Hooks, Gwendolyn</t>
  </si>
  <si>
    <t>Colin Bootman</t>
  </si>
  <si>
    <t>teacher-grants (#50)</t>
  </si>
  <si>
    <t>Hey, Little Ant</t>
  </si>
  <si>
    <t>Phillip Hoose</t>
  </si>
  <si>
    <t>Hoose, Phillip</t>
  </si>
  <si>
    <t>Hannah Hoose, Debbie Tilley</t>
  </si>
  <si>
    <t>Tricycle Press</t>
  </si>
  <si>
    <t>5x5-picture-books-c (#49)</t>
  </si>
  <si>
    <t>Moon River Picture Book</t>
  </si>
  <si>
    <t>Tim Hopgood</t>
  </si>
  <si>
    <t>Hopgood, Tim</t>
  </si>
  <si>
    <t>OUP Oxford</t>
  </si>
  <si>
    <t>backpacks_bedtime-stories (#2)</t>
  </si>
  <si>
    <t>Flat Stanley and the Firehouse (I Can Read ~ Level 2)</t>
  </si>
  <si>
    <t>Lori Haskins Houran</t>
  </si>
  <si>
    <t>Houran, Lori Haskins</t>
  </si>
  <si>
    <t>Macky Pamintuan, Jeff Brown</t>
  </si>
  <si>
    <t>leveled-readers-2 (#62)</t>
  </si>
  <si>
    <t>The Day the Teacher Went Bananas</t>
  </si>
  <si>
    <t>James    Howe</t>
  </si>
  <si>
    <t>Howe, James</t>
  </si>
  <si>
    <t>Lillian Hoban</t>
  </si>
  <si>
    <t>5x5-picture-books-b (#29), to-read (#79)</t>
  </si>
  <si>
    <t>Trick-or-Treat Countdown</t>
  </si>
  <si>
    <t>Patricia Hubbard</t>
  </si>
  <si>
    <t>Hubbard, Patricia</t>
  </si>
  <si>
    <t>Michael Letzig</t>
  </si>
  <si>
    <t>closet-black-bin-holiday (#32)</t>
  </si>
  <si>
    <t>Peppa Pig: La historia de la Cerdita Peppa (The Story of Peppa Pig) (Spanish Edition)</t>
  </si>
  <si>
    <t>4x4-picture-books-l (#15)</t>
  </si>
  <si>
    <t>At the Crossroads (Rise and Shine)</t>
  </si>
  <si>
    <t>4x4-picture-books-k (#17)</t>
  </si>
  <si>
    <t>My Subway Ride</t>
  </si>
  <si>
    <t>Paul DuBois Jacobs</t>
  </si>
  <si>
    <t>Jacobs, Paul DuBois</t>
  </si>
  <si>
    <t>Paul DuBois Jacobs, Jennifer Swender</t>
  </si>
  <si>
    <t>Gibbs Smith</t>
  </si>
  <si>
    <t>backpacks_new-york</t>
  </si>
  <si>
    <t>backpacks_new-york (#4)</t>
  </si>
  <si>
    <t>The Golden Flower: A Taino Myth From Puerto Rico</t>
  </si>
  <si>
    <t>Nina Jaffe</t>
  </si>
  <si>
    <t>Jaffe, Nina</t>
  </si>
  <si>
    <t>Arte Publico Press</t>
  </si>
  <si>
    <t>4x4-picture-books-h (#4)</t>
  </si>
  <si>
    <t>Supertwins Meet the Dangerous Dino-Robots (Scholastic Reader level 2)</t>
  </si>
  <si>
    <t>Brian James</t>
  </si>
  <si>
    <t>James, Brian</t>
  </si>
  <si>
    <t>B.J. James, Chris L. Demarest</t>
  </si>
  <si>
    <t>leveled-readers-2 (#56)</t>
  </si>
  <si>
    <t>How to Catch a Star (The Boy, #1)</t>
  </si>
  <si>
    <t>4x4-picture-books-d (#12)</t>
  </si>
  <si>
    <t>The Hueys in... It Wasn't Me</t>
  </si>
  <si>
    <t>picture-books, 4x4-picture-books-o</t>
  </si>
  <si>
    <t>picture-books (#11), 4x4-picture-books-o (#18)</t>
  </si>
  <si>
    <t>Biggest, Strongest, Fastest</t>
  </si>
  <si>
    <t>Jenkins, Steve</t>
  </si>
  <si>
    <t>5x5-picture-books-e (#69)</t>
  </si>
  <si>
    <t>Penguin Problems (Animal Problems)</t>
  </si>
  <si>
    <t>Jory John</t>
  </si>
  <si>
    <t>John, Jory</t>
  </si>
  <si>
    <t>Lane Smith</t>
  </si>
  <si>
    <t>Random House Studio</t>
  </si>
  <si>
    <t>white-bookshelf-m (#25), to-read (#104), 5x5-picture-books-d (#23)</t>
  </si>
  <si>
    <t>That's What Dinosaurs Do</t>
  </si>
  <si>
    <t>Pete Oswald</t>
  </si>
  <si>
    <t>backpacks_dinosaurs-dragons (#3)</t>
  </si>
  <si>
    <t>The Good, the Bad, and the Spooky</t>
  </si>
  <si>
    <t>4x4-picture-books-o (#16)</t>
  </si>
  <si>
    <t>As Cool as It Gets</t>
  </si>
  <si>
    <t>5x5-picture-books-c (#55)</t>
  </si>
  <si>
    <t>Lily Brown's Paintings</t>
  </si>
  <si>
    <t>Angela           Johnson</t>
  </si>
  <si>
    <t>Johnson, Angela</t>
  </si>
  <si>
    <t>E.B. Lewis</t>
  </si>
  <si>
    <t>4x4-picture-books-k (#24)</t>
  </si>
  <si>
    <t>I Dream of Trains</t>
  </si>
  <si>
    <t>Loren Long (Illustrator)</t>
  </si>
  <si>
    <t>4x4-picture-books-d (#9)</t>
  </si>
  <si>
    <t>When I Am Old With You (Orchard Paperbacks)</t>
  </si>
  <si>
    <t>David Soman</t>
  </si>
  <si>
    <t>5x5-picture-books-b (#7)</t>
  </si>
  <si>
    <t>Daddy Calls Me Man</t>
  </si>
  <si>
    <t>Rhonda Mitchell</t>
  </si>
  <si>
    <t>4x4-picture-books-k (#1)</t>
  </si>
  <si>
    <t>The Lost Tooth Club</t>
  </si>
  <si>
    <t>Arden Johnson</t>
  </si>
  <si>
    <t>Johnson, Arden</t>
  </si>
  <si>
    <t>Arden Johnson-Petrov</t>
  </si>
  <si>
    <t>white-bookshelf-m (#19), 5x5-picture-books-c (#26)</t>
  </si>
  <si>
    <t>Alphabet City</t>
  </si>
  <si>
    <t>Stephen T. Johnson</t>
  </si>
  <si>
    <t>Johnson, Stephen T.</t>
  </si>
  <si>
    <t>Viking</t>
  </si>
  <si>
    <t>to-read (#163), 5x5-picture-books-e (#35)</t>
  </si>
  <si>
    <t>Matthew and Tilly (Picture Puffins)</t>
  </si>
  <si>
    <t>Rebecca C. Jones</t>
  </si>
  <si>
    <t>Jones, Rebecca C.</t>
  </si>
  <si>
    <t>white-bookshelf-m (#37), to-read (#118), 5x5-picture-books-d (#39)</t>
  </si>
  <si>
    <t>Salt in His Shoes: Michael Jordan in Pursuit of a Dream</t>
  </si>
  <si>
    <t>Deloris Jordan</t>
  </si>
  <si>
    <t>Jordan, Deloris</t>
  </si>
  <si>
    <t>Roslyn M. Jordan, Kadir Nelson</t>
  </si>
  <si>
    <t>4x4-picture-books-k (#18)</t>
  </si>
  <si>
    <t>Baby Bear, Baby Bear, What Do You See?</t>
  </si>
  <si>
    <t>Bill Martin Jr.</t>
  </si>
  <si>
    <t>Jr., Bill Martin</t>
  </si>
  <si>
    <t>white-bookshelf-h, 5x5-picture-books_l</t>
  </si>
  <si>
    <t>white-bookshelf-h (#12), 5x5-picture-books_l (#35)</t>
  </si>
  <si>
    <t>Chicka Chicka Boom Boom</t>
  </si>
  <si>
    <t>John Archambault, Lois Ehlert</t>
  </si>
  <si>
    <t>Beach Lane Books</t>
  </si>
  <si>
    <t>4x4-picture-books-d (#28)</t>
  </si>
  <si>
    <t>Spacesuits (Smithsonian)</t>
  </si>
  <si>
    <t>James Buckley Jr.</t>
  </si>
  <si>
    <t>Jr., James Buckley</t>
  </si>
  <si>
    <t>backpacks_space (#3)</t>
  </si>
  <si>
    <t>If You're Angry And You Know It! (Scholastic Reader Level 2)</t>
  </si>
  <si>
    <t>Cecily Kaiser</t>
  </si>
  <si>
    <t>Kaiser, Cecily</t>
  </si>
  <si>
    <t>4x4-picture-books-j (#36)</t>
  </si>
  <si>
    <t>Maya Angelou (Little People, BIG DREAMS, #4)</t>
  </si>
  <si>
    <t>Lisbeth Kaiser</t>
  </si>
  <si>
    <t>Kaiser, Lisbeth</t>
  </si>
  <si>
    <t>Leire Salaberria</t>
  </si>
  <si>
    <t>Frances Lincoln Children's Books</t>
  </si>
  <si>
    <t>4x4-picture-books-p (#38)</t>
  </si>
  <si>
    <t>What Is a Carnivore? (Big Science Ideas)</t>
  </si>
  <si>
    <t>Bobbie Kalman</t>
  </si>
  <si>
    <t>Kalman, Bobbie</t>
  </si>
  <si>
    <t>Crabtree Pub Co</t>
  </si>
  <si>
    <t>closet_math-and-science (#27)</t>
  </si>
  <si>
    <t>Goldilicious: A Magical Picture Book for Kids (Ages 4-8) About Pinkalicious and Her Enchanting Pet Unicorn</t>
  </si>
  <si>
    <t>5x5-picture-books_k (#21)</t>
  </si>
  <si>
    <t>Pinkalicious at the Fair: A Magical Unicorn Story and I Can Read Book for Kids (Ages 4-8) (I Can Read Level 1)</t>
  </si>
  <si>
    <t>leveled-readers_1 (#6), leveled-readers_1_sets (#10)</t>
  </si>
  <si>
    <t>Pinkalicious: Cherry Blossom (I Can Read Level 1)</t>
  </si>
  <si>
    <t>leveled-readers_1 (#5), leveled-readers_1_sets (#5)</t>
  </si>
  <si>
    <t>Pinkalicious: Dragon to the Rescue (I Can Read Level 1)</t>
  </si>
  <si>
    <t>leveled-readers_1 (#14), leveled-readers_1_sets (#8)</t>
  </si>
  <si>
    <t>Pinkalicious and Planet Pink: A Fun Level One I Can Read Book About Space and Aliens for Kids (Ages 4-8) (I Can Read Level 1)</t>
  </si>
  <si>
    <t>leveled-readers_1 (#32), leveled-readers_1_sets (#9)</t>
  </si>
  <si>
    <t>Pinkalicious: The Princess of Pink Slumber Party (I Can Read Level 1)</t>
  </si>
  <si>
    <t>leveled-readers_1_sets, leveled-readers_1</t>
  </si>
  <si>
    <t>leveled-readers_1_sets (#2), leveled-readers_1 (#61)</t>
  </si>
  <si>
    <t>Silverlicious</t>
  </si>
  <si>
    <t>white-bookshelf-n, 5x5-picture-books_k</t>
  </si>
  <si>
    <t>white-bookshelf-n (#7), 5x5-picture-books_k (#17)</t>
  </si>
  <si>
    <t>Pinkalicious</t>
  </si>
  <si>
    <t>Elizabeth Kann</t>
  </si>
  <si>
    <t>5x5-picture-books-d, 5x5-picture-books_k</t>
  </si>
  <si>
    <t>5x5-picture-books-d (#1), 5x5-picture-books_k (#19)</t>
  </si>
  <si>
    <t>Purplicious</t>
  </si>
  <si>
    <t>white-bookshelf-o, 5x5-picture-books_k</t>
  </si>
  <si>
    <t>white-bookshelf-o (#26), 5x5-picture-books_k (#18)</t>
  </si>
  <si>
    <t>Pinkalicious: Fashion Fun (I Can Read Level 1)</t>
  </si>
  <si>
    <t>leveled-readers_1_sets (#1)</t>
  </si>
  <si>
    <t>Pinkalicious: School Rules!</t>
  </si>
  <si>
    <t>leveled-readers_1 (#12), leveled-readers_1_sets (#4)</t>
  </si>
  <si>
    <t>Pinkalicious: Fairy House: An NYT Bestselling Early Reading Fantasy Picture Book for Kids (Ages 4–8) (I Can Read Level 1)</t>
  </si>
  <si>
    <t>leveled-readers_1 (#33), leveled-readers_1_sets (#6)</t>
  </si>
  <si>
    <t>Monsters Eat Whiny Children</t>
  </si>
  <si>
    <t>Bruce Eric Kaplan</t>
  </si>
  <si>
    <t>Kaplan, Bruce Eric</t>
  </si>
  <si>
    <t>4x4-picture-book-d (#1)</t>
  </si>
  <si>
    <t>Betty Bunny Didn't Do It</t>
  </si>
  <si>
    <t>Michael B. Kaplan</t>
  </si>
  <si>
    <t>Kaplan, Michael B.</t>
  </si>
  <si>
    <t>Stéphane Jorisch</t>
  </si>
  <si>
    <t>picture-books-about-animals (#4)</t>
  </si>
  <si>
    <t>I'm Still Here in the Bathtub: Brand New Silly Dilly Songs</t>
  </si>
  <si>
    <t>Alan Katz</t>
  </si>
  <si>
    <t>Katz, Alan</t>
  </si>
  <si>
    <t>Margaret K. McElderry Books</t>
  </si>
  <si>
    <t>4x4-picture-books-e (#5)</t>
  </si>
  <si>
    <t>The Snowy Day (Peter, #1)</t>
  </si>
  <si>
    <t>montclair-high-school-sets (#14), white-bookshelf-n (#23), to-read (#157), 5x5-picture-books-e (#30)</t>
  </si>
  <si>
    <t>Tallyho, Pinkerton (Picture Puffins)</t>
  </si>
  <si>
    <t>Steven Kellogg</t>
  </si>
  <si>
    <t>Kellogg, Steven</t>
  </si>
  <si>
    <t>white-bookshelf-n (#9), to-read (#125), 5x5-picture-books-d (#47)</t>
  </si>
  <si>
    <t>Achoo! Good Manners for Animals (and Children)</t>
  </si>
  <si>
    <t>4x4-picture-books-j (#12)</t>
  </si>
  <si>
    <t>One Night in the Zoo</t>
  </si>
  <si>
    <t>Judith Kerr</t>
  </si>
  <si>
    <t>Kerr, Judith</t>
  </si>
  <si>
    <t>4x4-picture-books-e (#41)</t>
  </si>
  <si>
    <t>King for a Day</t>
  </si>
  <si>
    <t>Rukhsana Khan</t>
  </si>
  <si>
    <t>Khan, Rukhsana</t>
  </si>
  <si>
    <t>Christiane Krömer</t>
  </si>
  <si>
    <t>4x4-picture-books-k (#36)</t>
  </si>
  <si>
    <t>Princess Lizzie Wears Hearing Aids</t>
  </si>
  <si>
    <t>Tosombra Kimes</t>
  </si>
  <si>
    <t>Kimes, Tosombra</t>
  </si>
  <si>
    <t>Karla Bivens</t>
  </si>
  <si>
    <t>Princess Lizzie Books, LC</t>
  </si>
  <si>
    <t>teacher-grants (#78)</t>
  </si>
  <si>
    <t>Zigazak! A Magical Hanukkah Night</t>
  </si>
  <si>
    <t>Eric A. Kimmel</t>
  </si>
  <si>
    <t>Kimmel, Eric A.</t>
  </si>
  <si>
    <t>Jon Goodell</t>
  </si>
  <si>
    <t>closet-black-bin-holiday (#3)</t>
  </si>
  <si>
    <t>Lucky's 24 Hour Garage</t>
  </si>
  <si>
    <t>Daniel Kirk</t>
  </si>
  <si>
    <t>Kirk, Daniel</t>
  </si>
  <si>
    <t>5x5-picture-books-a (#38), to-read (#59)</t>
  </si>
  <si>
    <t>Ten Thank-you Letters</t>
  </si>
  <si>
    <t>4x4-picture-books-j (#27)</t>
  </si>
  <si>
    <t>Sweet Dreams, Sarah: From Slavery to Inventor</t>
  </si>
  <si>
    <t>Vivian Kirkfield</t>
  </si>
  <si>
    <t>Kirkfield, Vivian</t>
  </si>
  <si>
    <t>Chris Ewald</t>
  </si>
  <si>
    <t>Creston Books</t>
  </si>
  <si>
    <t>teacher-grants (#55)</t>
  </si>
  <si>
    <t>All the Colors We Are/Todos los colores de nuestra piel: The Story of How We Get Our Skin Color/La historia de por qué tenemos diferentes colores de piel</t>
  </si>
  <si>
    <t>Katie Kissinger</t>
  </si>
  <si>
    <t>Kissinger, Katie</t>
  </si>
  <si>
    <t>Redleaf Press</t>
  </si>
  <si>
    <t>teacher-grants (#94)</t>
  </si>
  <si>
    <t>UFO Diary</t>
  </si>
  <si>
    <t>Satoshi Kitamura</t>
  </si>
  <si>
    <t>Kitamura, Satoshi</t>
  </si>
  <si>
    <t>Sunburst</t>
  </si>
  <si>
    <t>white-bookshelf-n, 5x5-picture-books_j</t>
  </si>
  <si>
    <t>white-bookshelf-n (#42), 5x5-picture-books_j (#1)</t>
  </si>
  <si>
    <t>My First 100 Words in Spanish/English</t>
  </si>
  <si>
    <t>Paula  Knight</t>
  </si>
  <si>
    <t>Knight, Paula</t>
  </si>
  <si>
    <t>Betty Root</t>
  </si>
  <si>
    <t>5x5-picture-books-d (#75)</t>
  </si>
  <si>
    <t>The Seesaw (The Animal Square)</t>
  </si>
  <si>
    <t>Judith Koppens</t>
  </si>
  <si>
    <t>Koppens, Judith</t>
  </si>
  <si>
    <t>Eline van Lindenhuizen</t>
  </si>
  <si>
    <t>Clavis Publishing</t>
  </si>
  <si>
    <t>white-bookshelf-k (#4), 5x5-picture-books-b (#49)</t>
  </si>
  <si>
    <t>Wild Predators (Wild Kratts) (Step into Reading, Step 2)</t>
  </si>
  <si>
    <t>Chris Kratt</t>
  </si>
  <si>
    <t>Kratt, Chris</t>
  </si>
  <si>
    <t>Martin Kratt, Random House</t>
  </si>
  <si>
    <t>leveled-readers-2 (#71)</t>
  </si>
  <si>
    <t>Wild Sea Creatures: Sharks, Whales and Dolphins! (Wild Kratts) (Step into Reading, Step 2)</t>
  </si>
  <si>
    <t>Martin Kratt</t>
  </si>
  <si>
    <t>closet_math-and-science, leveled-readers-2</t>
  </si>
  <si>
    <t>closet_math-and-science (#19), leveled-readers-2 (#35)</t>
  </si>
  <si>
    <t>Fraidy Cats (Hello Reader Level 2)</t>
  </si>
  <si>
    <t>Stephen Krensky</t>
  </si>
  <si>
    <t>Krensky, Stephen</t>
  </si>
  <si>
    <t>Fitzgerald Books</t>
  </si>
  <si>
    <t>leveled-readers-2 (#57)</t>
  </si>
  <si>
    <t>Jungle Bullies</t>
  </si>
  <si>
    <t>Steven Kroll</t>
  </si>
  <si>
    <t>Kroll, Steven</t>
  </si>
  <si>
    <t>Vincent Nguyen</t>
  </si>
  <si>
    <t>picture-books-about-animals (#10)</t>
  </si>
  <si>
    <t>Supermarket</t>
  </si>
  <si>
    <t>Kathleen Krull</t>
  </si>
  <si>
    <t>Krull, Kathleen</t>
  </si>
  <si>
    <t>5x5-picture-books-b (#37)</t>
  </si>
  <si>
    <t>City Dog</t>
  </si>
  <si>
    <t>Karla Kuskin</t>
  </si>
  <si>
    <t>Kuskin, Karla</t>
  </si>
  <si>
    <t>picture-books-about-animals (#2)</t>
  </si>
  <si>
    <t>The Big Bed</t>
  </si>
  <si>
    <t>Bunmi Laditan</t>
  </si>
  <si>
    <t>Laditan, Bunmi</t>
  </si>
  <si>
    <t>Tom Knight</t>
  </si>
  <si>
    <t>5x5-picture-books-b (#60), to-read (#91)</t>
  </si>
  <si>
    <t>Mater's Birthday Surprise (Disney/Pixar Cars) (Step into Reading, Step 2)</t>
  </si>
  <si>
    <t>Melissa Lagonegro</t>
  </si>
  <si>
    <t>Lagonegro, Melissa</t>
  </si>
  <si>
    <t>leveled-readers-2 (#69)</t>
  </si>
  <si>
    <t>Lucinda's Magical Yoga Adventure</t>
  </si>
  <si>
    <t>Betty Larrea</t>
  </si>
  <si>
    <t>Larrea, Betty</t>
  </si>
  <si>
    <t>Be Yoga Be Love</t>
  </si>
  <si>
    <t>4x4-picture-books-m (#4)</t>
  </si>
  <si>
    <t>LEGO Hero Factory: Meet the Heroes (DK Readers L2)</t>
  </si>
  <si>
    <t>Shari Last</t>
  </si>
  <si>
    <t>Last, Shari</t>
  </si>
  <si>
    <t>backpacks_space (#5)</t>
  </si>
  <si>
    <t>Behind the Scenes Gymnastics (Inside the Sport)</t>
  </si>
  <si>
    <t>Blythe Lawrence</t>
  </si>
  <si>
    <t>Lawrence, Blythe</t>
  </si>
  <si>
    <t>backpacks_girl-power (#2)</t>
  </si>
  <si>
    <t>Paris (Mes p'tits docs)</t>
  </si>
  <si>
    <t>Stéphanie Ledu</t>
  </si>
  <si>
    <t>Ledu, Stéphanie</t>
  </si>
  <si>
    <t>Kim Consigny</t>
  </si>
  <si>
    <t>MILAN</t>
  </si>
  <si>
    <t>hardcover</t>
  </si>
  <si>
    <t>travel (#4)</t>
  </si>
  <si>
    <t>Definitely Do Not Open This Book</t>
  </si>
  <si>
    <t>Andy Lee</t>
  </si>
  <si>
    <t>Lee, Andy</t>
  </si>
  <si>
    <t>Heath McKenzie</t>
  </si>
  <si>
    <t>Press Lake</t>
  </si>
  <si>
    <t>white-bookshelf-l (#7), 5x5-picture-books-c (#59)</t>
  </si>
  <si>
    <t>The Boy with Big, Big Feelings (The Big, Big Series, #1)</t>
  </si>
  <si>
    <t>Britney Winn Lee</t>
  </si>
  <si>
    <t>Lee, Britney Winn</t>
  </si>
  <si>
    <t>Jacob Souva</t>
  </si>
  <si>
    <t>Beaming Books</t>
  </si>
  <si>
    <t>closet_sel-be-yourself-emotions, 4x4-picture-books-j</t>
  </si>
  <si>
    <t>closet_sel-be-yourself-emotions (#1), 4x4-picture-books-j (#59)</t>
  </si>
  <si>
    <t>Kindergarten, Here We Come! (Pre-K Pals)</t>
  </si>
  <si>
    <t>Ana Bermejo</t>
  </si>
  <si>
    <t>closet-sel-mix</t>
  </si>
  <si>
    <t>closet-sel-mix (#4)</t>
  </si>
  <si>
    <t>Superman Classic: A Giant Attack (I Can Read Level 2)</t>
  </si>
  <si>
    <t>leveled-readers-2 (#27)</t>
  </si>
  <si>
    <t>Superman Classic: Pranking News (I Can Read Level 2)</t>
  </si>
  <si>
    <t>leveled-readers-2 (#22)</t>
  </si>
  <si>
    <t>Justice League Classic: Battle of the Power Ring (I Can Read Level 2)</t>
  </si>
  <si>
    <t>leveled-readers-2 (#10)</t>
  </si>
  <si>
    <t>Boris and the Worrisome Wakies</t>
  </si>
  <si>
    <t>Helen Lester</t>
  </si>
  <si>
    <t>Lester, Helen</t>
  </si>
  <si>
    <t>4x4-picture-books-j (#48)</t>
  </si>
  <si>
    <t>Three Cheers for Tacky</t>
  </si>
  <si>
    <t>5x5-picture-books-c (#48)</t>
  </si>
  <si>
    <t>Let's Talk About Race</t>
  </si>
  <si>
    <t>Julius Lester</t>
  </si>
  <si>
    <t>Lester, Julius</t>
  </si>
  <si>
    <t>Karen Barbour</t>
  </si>
  <si>
    <t>Amistad</t>
  </si>
  <si>
    <t>4x4-picture-books-o (#20)</t>
  </si>
  <si>
    <t>Runaway Radish / El Rabano Que Escapo</t>
  </si>
  <si>
    <t>Raven Tree Press</t>
  </si>
  <si>
    <t>white-bookshelf-l (#34), 5x5-picture-books-c (#29)</t>
  </si>
  <si>
    <t>The Spirit of Tío Fernando: A Day of the Dead Story / El espíritu de tío Fernando: Una historia del Día de los Muertos</t>
  </si>
  <si>
    <t>Morella Fuenmayor, Teresa Mlawer</t>
  </si>
  <si>
    <t>Albert Whitman &amp; Co</t>
  </si>
  <si>
    <t>4x4-picture-books-g, 1-x-4-spanish-picture-books_b</t>
  </si>
  <si>
    <t>4x4-picture-books-g (#51), 1-x-4-spanish-picture-books_b (#11)</t>
  </si>
  <si>
    <t>Spiderman Versus Sandman</t>
  </si>
  <si>
    <t>Harry Lime</t>
  </si>
  <si>
    <t>Lime, Harry</t>
  </si>
  <si>
    <t>Harper Collins Childrens Books</t>
  </si>
  <si>
    <t>leveled-readers-2 (#24)</t>
  </si>
  <si>
    <t>Splat the Cat Takes the Cake (I Can Read Level 1)</t>
  </si>
  <si>
    <t>Amy Hsu Lin</t>
  </si>
  <si>
    <t>Lin, Amy Hsu</t>
  </si>
  <si>
    <t>Rob Scotton, Robert Eberz</t>
  </si>
  <si>
    <t>leveled-readers_1 (#27), leveled-readers_1_sets (#52)</t>
  </si>
  <si>
    <t>Buenas noches, Planeta</t>
  </si>
  <si>
    <t>Liniers</t>
  </si>
  <si>
    <t>Liniers, Liniers</t>
  </si>
  <si>
    <t>La Editorial Común</t>
  </si>
  <si>
    <t>1-x-4_spanish-picture-books_a (#20)</t>
  </si>
  <si>
    <t>Una piedra extraordinaria (Spanish Edition)</t>
  </si>
  <si>
    <t>Verónica Uribe</t>
  </si>
  <si>
    <t>to-read, 1-x-4_spanish-picture-books_a, 5x5-picture-books_m</t>
  </si>
  <si>
    <t>to-read (#198), 1-x-4_spanish-picture-books_a (#50), 5x5-picture-books_m (#7)</t>
  </si>
  <si>
    <t>Alexander and the Wind-Up Mouse</t>
  </si>
  <si>
    <t>picture-books, 5x5-picture-books_h</t>
  </si>
  <si>
    <t>picture-books (#7), 5x5-picture-books_h (#53)</t>
  </si>
  <si>
    <t>Six Crows</t>
  </si>
  <si>
    <t>Amer School Pub</t>
  </si>
  <si>
    <t>white-bookshelf-n (#5), 5x5-picture-books_h (#33)</t>
  </si>
  <si>
    <t>This Land is My Land</t>
  </si>
  <si>
    <t>George Littlechild</t>
  </si>
  <si>
    <t>Littlechild, George</t>
  </si>
  <si>
    <t>4x4-picture-books-k (#40)</t>
  </si>
  <si>
    <t>Spiders Spin Webs</t>
  </si>
  <si>
    <t>Karen Lloyd-Jones</t>
  </si>
  <si>
    <t>Lloyd-Jones, Karen</t>
  </si>
  <si>
    <t>Yvonne Winer</t>
  </si>
  <si>
    <t>Charlesbridge Pub Inc</t>
  </si>
  <si>
    <t>backpacks_insects (#1)</t>
  </si>
  <si>
    <t>Astronaut: Living in Space</t>
  </si>
  <si>
    <t>Deborah Lock</t>
  </si>
  <si>
    <t>Lock, Deborah</t>
  </si>
  <si>
    <t>backpacks_space (#1)</t>
  </si>
  <si>
    <t>Sailing with the Wind</t>
  </si>
  <si>
    <t>5x5-picture-books-d (#78)</t>
  </si>
  <si>
    <t>Froggy Gets a Doggy</t>
  </si>
  <si>
    <t>Jonathan London</t>
  </si>
  <si>
    <t>London, Jonathan</t>
  </si>
  <si>
    <t>Frank Remkiewicz</t>
  </si>
  <si>
    <t>picture-books-about-animals (#8)</t>
  </si>
  <si>
    <t>Fright Club</t>
  </si>
  <si>
    <t>Bloomsbury</t>
  </si>
  <si>
    <t>closet-black-bin-holiday (#36)</t>
  </si>
  <si>
    <t>Otis's Busy Day</t>
  </si>
  <si>
    <t>Long, Loren</t>
  </si>
  <si>
    <t>leveled-readers_1 (#43)</t>
  </si>
  <si>
    <t>We've Got the Whole World in Our Hands</t>
  </si>
  <si>
    <t>Rafael López</t>
  </si>
  <si>
    <t>López, Rafael</t>
  </si>
  <si>
    <t>4-x-4-early-elem-chapter-books_d (#32)</t>
  </si>
  <si>
    <t>You Are My Miracle</t>
  </si>
  <si>
    <t>Maryann Cusimano Love</t>
  </si>
  <si>
    <t>Love, Maryann Cusimano</t>
  </si>
  <si>
    <t>Satomi Ichikawa</t>
  </si>
  <si>
    <t>5x5-picture-books-a (#43), to-read (#54)</t>
  </si>
  <si>
    <t>Once Around the Block / Una Vuelta a la Manzana</t>
  </si>
  <si>
    <t>Jos Lozano</t>
  </si>
  <si>
    <t>Lozano, Jos</t>
  </si>
  <si>
    <t>Cinco Puntos Press</t>
  </si>
  <si>
    <t>1-x-4-spanish-picture-books_b (#13)</t>
  </si>
  <si>
    <t>Little First Stickers Sloths (Little First Stickers)</t>
  </si>
  <si>
    <t>Gareth Lucas</t>
  </si>
  <si>
    <t>Lucas, Gareth</t>
  </si>
  <si>
    <t>4x4-picture-books-a (#17)</t>
  </si>
  <si>
    <t>Dancing Dinos Go to School (Step into Reading, Step 1)</t>
  </si>
  <si>
    <t>Sally Lucas</t>
  </si>
  <si>
    <t>Lucas, Sally</t>
  </si>
  <si>
    <t>Margeaux Lucas</t>
  </si>
  <si>
    <t>leveled-readers_1 (#46)</t>
  </si>
  <si>
    <t>The Invisible Boy</t>
  </si>
  <si>
    <t>Trudy Ludwig</t>
  </si>
  <si>
    <t>Ludwig, Trudy</t>
  </si>
  <si>
    <t>Patrice Barton</t>
  </si>
  <si>
    <t>4x4-picture-books-j (#20)</t>
  </si>
  <si>
    <t>Con el sol en los ojos / With the Sun in My Eyes</t>
  </si>
  <si>
    <t>Jorge Luján</t>
  </si>
  <si>
    <t>Luján, Jorge</t>
  </si>
  <si>
    <t>Morteza Zahedi</t>
  </si>
  <si>
    <t>4x4-picture-books-e (#44)</t>
  </si>
  <si>
    <t>Jet Plane: How It Works (My Readers)</t>
  </si>
  <si>
    <t>David Macaulay</t>
  </si>
  <si>
    <t>Macaulay, David</t>
  </si>
  <si>
    <t>Sheila Keenan</t>
  </si>
  <si>
    <t>David Macaulay Studio</t>
  </si>
  <si>
    <t>travel (#6)</t>
  </si>
  <si>
    <t>Spork</t>
  </si>
  <si>
    <t>Kyo Maclear</t>
  </si>
  <si>
    <t>Maclear, Kyo</t>
  </si>
  <si>
    <t>Isabelle Arsenault</t>
  </si>
  <si>
    <t>4x4-picture-books-i (#22)</t>
  </si>
  <si>
    <t>Why Do Leaves Change Color? (Let's-Read-and-Find-Out Science, Stage 2)</t>
  </si>
  <si>
    <t>Betsy Maestro</t>
  </si>
  <si>
    <t>Maestro, Betsy</t>
  </si>
  <si>
    <t>Loretta Krupinski</t>
  </si>
  <si>
    <t>National Geographic School Pub</t>
  </si>
  <si>
    <t>4x4-picture-books-c (#33)</t>
  </si>
  <si>
    <t>Happy in Our Skin</t>
  </si>
  <si>
    <t>Fran Manushkin</t>
  </si>
  <si>
    <t>Manushkin, Fran</t>
  </si>
  <si>
    <t>Lauren Tobia</t>
  </si>
  <si>
    <t>4x4-picture-books-n (#4)</t>
  </si>
  <si>
    <t>El Cuento de Pedrito Conejo (Mariposa Scholastic en Espanol)</t>
  </si>
  <si>
    <t>Aída E. Marcuse</t>
  </si>
  <si>
    <t>Marcuse, Aída E.</t>
  </si>
  <si>
    <t>David McPhail</t>
  </si>
  <si>
    <t>to-read (#190), 1-x-4_spanish-picture-books_a (#41)</t>
  </si>
  <si>
    <t>Sea Turtles</t>
  </si>
  <si>
    <t>Laura Marsh</t>
  </si>
  <si>
    <t>Marsh, Laura</t>
  </si>
  <si>
    <t>leveled-readers-2 (#79)</t>
  </si>
  <si>
    <t>Koalas (National Geographic Readers)</t>
  </si>
  <si>
    <t>teacher-grants (#16)</t>
  </si>
  <si>
    <t>The Three Little Pigs</t>
  </si>
  <si>
    <t>James  Marshall</t>
  </si>
  <si>
    <t>Marshall, James</t>
  </si>
  <si>
    <t>4x4-picture-books-f (#39)</t>
  </si>
  <si>
    <t>Goldilocks and the Three Bears</t>
  </si>
  <si>
    <t>Ian Thomson</t>
  </si>
  <si>
    <t>4x4-picture-books-f (#38)</t>
  </si>
  <si>
    <t>Driven to Win! (Disney/Pixar Cars 3) (Step into Reading, Step 3)</t>
  </si>
  <si>
    <t>Liz Marsham</t>
  </si>
  <si>
    <t>Marsham, Liz</t>
  </si>
  <si>
    <t>leveled-readers-3 (#8)</t>
  </si>
  <si>
    <t>Wonder Woman: Maze of Magic (I Can Read, Level 2: Wonder Woman)</t>
  </si>
  <si>
    <t>Lee Ferguson</t>
  </si>
  <si>
    <t>leveled-readers-2 (#36)</t>
  </si>
  <si>
    <t>Old Mother Hubbard and Her Wonderful Dog</t>
  </si>
  <si>
    <t>Sarah Catherine Martin</t>
  </si>
  <si>
    <t>Martin, Sarah Catherine</t>
  </si>
  <si>
    <t>white-bookshelf-m (#31), to-read (#110), 5x5-picture-books-d (#31)</t>
  </si>
  <si>
    <t>I Spy Letters (I Spy 8x8)</t>
  </si>
  <si>
    <t>Marzollo, Jean</t>
  </si>
  <si>
    <t>4x4-picture-books-a (#15)</t>
  </si>
  <si>
    <t>I Spy Animals (I Spy 8x8)</t>
  </si>
  <si>
    <t>teacher-grants (#15)</t>
  </si>
  <si>
    <t>I Spy a Dinosaur's Eye (I Spy Readers)</t>
  </si>
  <si>
    <t>teacher-grants (#14)</t>
  </si>
  <si>
    <t>Move It!: Motion, Forces and You (Primary Physical Science)</t>
  </si>
  <si>
    <t>Adrienne Mason</t>
  </si>
  <si>
    <t>Mason, Adrienne</t>
  </si>
  <si>
    <t>backpacks_my-body (#1)</t>
  </si>
  <si>
    <t>Nandi's Magic Garden</t>
  </si>
  <si>
    <t>Ron  Matthews</t>
  </si>
  <si>
    <t>Matthews, Ron</t>
  </si>
  <si>
    <t>A &amp; B Book Dist Inc</t>
  </si>
  <si>
    <t>4x4-picture-books-k (#13)</t>
  </si>
  <si>
    <t>Rudolph the Red-Nosed Reindeer</t>
  </si>
  <si>
    <t>Robert L. May</t>
  </si>
  <si>
    <t>May, Robert L.</t>
  </si>
  <si>
    <t>Denver Gillen</t>
  </si>
  <si>
    <t>Applewood Books</t>
  </si>
  <si>
    <t>closet-black-bin-holiday (#55)</t>
  </si>
  <si>
    <t>Little Critter: Just Helping My Dad (My First I Can Read)</t>
  </si>
  <si>
    <t>leveled-readers_my-first-reading (#37)</t>
  </si>
  <si>
    <t>Little Critter: Just My Best Friend: A Classic Shared Reading Picture Book About Sleepovers and Fun for Kids (Ages 4-8) (My First I Can Read)</t>
  </si>
  <si>
    <t>leveled-readers_my-first-reading (#31)</t>
  </si>
  <si>
    <t>Little Critter: Exploring the Great Outdoors (My First I Can Read)</t>
  </si>
  <si>
    <t>leveled-readers_my-first-reading (#30)</t>
  </si>
  <si>
    <t>Going to the Sea Park</t>
  </si>
  <si>
    <t>HarperColl</t>
  </si>
  <si>
    <t>leveled-readers_my-first-reading (#5)</t>
  </si>
  <si>
    <t>Little Critter: Just a Teacher's Pet: A School Story About Friendship and Teamwork for Kids (Ages 4-8) (My First I Can Read)</t>
  </si>
  <si>
    <t>leveled-readers_my-first-reading (#29)</t>
  </si>
  <si>
    <t>Little Critter: Just a Baby Bird: A Classic Springtime Picture Book About Love and Patience for Kids (Ages 4-8) (My First I Can Read)</t>
  </si>
  <si>
    <t>leveled-readers_my-first-reading (#28)</t>
  </si>
  <si>
    <t>Just Critters Who Care (Little Critter)</t>
  </si>
  <si>
    <t>leveled-readers_my-first-reading (#27)</t>
  </si>
  <si>
    <t>This Is My Town</t>
  </si>
  <si>
    <t>leveled-readers-2 (#12)</t>
  </si>
  <si>
    <t>Going to the Firehouse</t>
  </si>
  <si>
    <t>leveled-readers-2 (#11)</t>
  </si>
  <si>
    <t>Mommy's Little Sunflowers</t>
  </si>
  <si>
    <t>Angela McAllister</t>
  </si>
  <si>
    <t>McAllister, Angela</t>
  </si>
  <si>
    <t>Alison Edgson</t>
  </si>
  <si>
    <t>backpacks_family (#1)</t>
  </si>
  <si>
    <t>Excellent Ed</t>
  </si>
  <si>
    <t>Stacy McAnulty</t>
  </si>
  <si>
    <t>McAnulty, Stacy</t>
  </si>
  <si>
    <t>Julia Sarcone-Roach</t>
  </si>
  <si>
    <t>5x5-picture-books-b (#40)</t>
  </si>
  <si>
    <t>Marveltown</t>
  </si>
  <si>
    <t>Bruce McCall</t>
  </si>
  <si>
    <t>McCall, Bruce</t>
  </si>
  <si>
    <t>5x5-picture-books-a (#34), to-read (#22)</t>
  </si>
  <si>
    <t>Jack B. Ninja</t>
  </si>
  <si>
    <t>Tim McCanna</t>
  </si>
  <si>
    <t>McCanna, Tim</t>
  </si>
  <si>
    <t>Stephen A. Savage</t>
  </si>
  <si>
    <t>4x4-picture-books-f (#10)</t>
  </si>
  <si>
    <t>Countdown to Kindergarden</t>
  </si>
  <si>
    <t>closet-sel-mix (#3)</t>
  </si>
  <si>
    <t>Dandelions</t>
  </si>
  <si>
    <t>Katrina McKelvey</t>
  </si>
  <si>
    <t>McKelvey, Katrina</t>
  </si>
  <si>
    <t>Kirrili Lonergan</t>
  </si>
  <si>
    <t>EK Books</t>
  </si>
  <si>
    <t>white-bookshelf-l (#2), 5x5-picture-books-c (#66)</t>
  </si>
  <si>
    <t>Mirandy and Brother Wind (Dragonfly Books)</t>
  </si>
  <si>
    <t>Patricia C. McKissack</t>
  </si>
  <si>
    <t>McKissack, Patricia C.</t>
  </si>
  <si>
    <t>4x4-picture-books-k (#2)</t>
  </si>
  <si>
    <t>Too Many Valentines</t>
  </si>
  <si>
    <t>Margaret McNamara</t>
  </si>
  <si>
    <t>McNamara, Margaret</t>
  </si>
  <si>
    <t>Mike Gordon</t>
  </si>
  <si>
    <t>picture-books (#5)</t>
  </si>
  <si>
    <t>Pigs Aplenty, Pigs Galore!</t>
  </si>
  <si>
    <t>McPhail, David</t>
  </si>
  <si>
    <t>white-bookshelf-m (#33), to-read (#105), 5x5-picture-books-d (#25)</t>
  </si>
  <si>
    <t>Piggies in the Kitchen</t>
  </si>
  <si>
    <t>Michelle Meadows</t>
  </si>
  <si>
    <t>Meadows, Michelle</t>
  </si>
  <si>
    <t>Ard Hoyt</t>
  </si>
  <si>
    <t>4x4-picture-books-e (#39)</t>
  </si>
  <si>
    <t>Martha Blah Blah (Martha Speaks, 7)</t>
  </si>
  <si>
    <t>Susan Meddaugh</t>
  </si>
  <si>
    <t>Meddaugh, Susan</t>
  </si>
  <si>
    <t>5x5-picture-books-a</t>
  </si>
  <si>
    <t>5x5-picture-books-a (#25)</t>
  </si>
  <si>
    <t>Here Comes the Snow</t>
  </si>
  <si>
    <t>Angela Shelf Medearis</t>
  </si>
  <si>
    <t>Medearis, Angela Shelf</t>
  </si>
  <si>
    <t>Maxie Chambliss</t>
  </si>
  <si>
    <t>montclair-high-school-sets (#9)</t>
  </si>
  <si>
    <t>Tia Isa Wants a Car</t>
  </si>
  <si>
    <t>Meg Medina</t>
  </si>
  <si>
    <t>Medina, Meg</t>
  </si>
  <si>
    <t>Claudio Muñoz</t>
  </si>
  <si>
    <t>4x4-picture-books-l (#32)</t>
  </si>
  <si>
    <t>Tiny Goes Camping (Tiny)</t>
  </si>
  <si>
    <t>Cari Meister</t>
  </si>
  <si>
    <t>Meister, Cari</t>
  </si>
  <si>
    <t>Rich Davis</t>
  </si>
  <si>
    <t>leveled-readers_1 (#4)</t>
  </si>
  <si>
    <t>Good Knight Sleep Tight</t>
  </si>
  <si>
    <t>David Melling</t>
  </si>
  <si>
    <t>Melling, David</t>
  </si>
  <si>
    <t>5x5-picture-books-b (#58), to-read (#93)</t>
  </si>
  <si>
    <t>I am Jane Goodall (Ordinary People Change the World)</t>
  </si>
  <si>
    <t>Brad Meltzer</t>
  </si>
  <si>
    <t>Meltzer, Brad</t>
  </si>
  <si>
    <t>Christopher Eliopoulos</t>
  </si>
  <si>
    <t>4x4-picture-books-p (#36)</t>
  </si>
  <si>
    <t>Big Shark, Little Shark, and the Missing Teeth (Step into Reading)</t>
  </si>
  <si>
    <t>Anna Membrino</t>
  </si>
  <si>
    <t>Membrino, Anna</t>
  </si>
  <si>
    <t>Tim Budgen</t>
  </si>
  <si>
    <t>leveled-readers_1 (#56)</t>
  </si>
  <si>
    <t>Big Shark, Little Shark (Step into Reading, Step 1)</t>
  </si>
  <si>
    <t>backpacks-sea-animals (#2)</t>
  </si>
  <si>
    <t>This Is the House That Monsters Built</t>
  </si>
  <si>
    <t>closet-black-bin-holiday (#7)</t>
  </si>
  <si>
    <t>When the Leaf Blew In</t>
  </si>
  <si>
    <t>Kellie Lewis</t>
  </si>
  <si>
    <t>4x4-picture-books-f (#14)</t>
  </si>
  <si>
    <t>Santa Duck</t>
  </si>
  <si>
    <t>David Milgrim</t>
  </si>
  <si>
    <t>Milgrim, David</t>
  </si>
  <si>
    <t>closet-black-bin-holiday (#28)</t>
  </si>
  <si>
    <t>Go, Otto, Go!: Ready-to-Read Pre-Level 1 (The Adventures of Otto)</t>
  </si>
  <si>
    <t>leveled-readers_my-first-reading (#35)</t>
  </si>
  <si>
    <t>Miss Sally Ann and the Panther</t>
  </si>
  <si>
    <t>Bobbi Miller</t>
  </si>
  <si>
    <t>Miller, Bobbi</t>
  </si>
  <si>
    <t>Megan Lloyd</t>
  </si>
  <si>
    <t>5x5-picture-books-b (#65), to-read (#87)</t>
  </si>
  <si>
    <t>Subway Ride</t>
  </si>
  <si>
    <t>Heather L. Miller</t>
  </si>
  <si>
    <t>Miller, Heather L.</t>
  </si>
  <si>
    <t>Sue Rama</t>
  </si>
  <si>
    <t>4x4-picture-books-e (#11)</t>
  </si>
  <si>
    <t>Emmett's Snowball</t>
  </si>
  <si>
    <t>Ned Miller</t>
  </si>
  <si>
    <t>Miller, Ned</t>
  </si>
  <si>
    <t>backpacks_snow (#4)</t>
  </si>
  <si>
    <t>Shapesville</t>
  </si>
  <si>
    <t>Andy Mills</t>
  </si>
  <si>
    <t>Mills, Andy</t>
  </si>
  <si>
    <t>Becky Osborn, Erica Neitz</t>
  </si>
  <si>
    <t>Gurze Books</t>
  </si>
  <si>
    <t>4x4-picture-books-i (#29)</t>
  </si>
  <si>
    <t>My Very Favorite Book in the Whole Wide World</t>
  </si>
  <si>
    <t>Malcolm  Mitchell</t>
  </si>
  <si>
    <t>Mitchell, Malcolm</t>
  </si>
  <si>
    <t>teacher-grants (#67)</t>
  </si>
  <si>
    <t>Mi libro favorito en el mundo entero (My Very Favorite Book in the Whole Wide World) (Spanish Edition)</t>
  </si>
  <si>
    <t>Malcolm Mitchell</t>
  </si>
  <si>
    <t>4x4-picture-books-g (#36)</t>
  </si>
  <si>
    <t>Khalida and the Most Beautiful Song</t>
  </si>
  <si>
    <t>Amanda Moeckel</t>
  </si>
  <si>
    <t>Moeckel, Amanda</t>
  </si>
  <si>
    <t>Page Street Kids</t>
  </si>
  <si>
    <t>4x4-picture-books-p (#28)</t>
  </si>
  <si>
    <t>Butterfly Express (Magic Castle Readers)</t>
  </si>
  <si>
    <t>Jane Belk Moncure</t>
  </si>
  <si>
    <t>Moncure, Jane Belk</t>
  </si>
  <si>
    <t>The Childs World Inc</t>
  </si>
  <si>
    <t>4x4-picture-books-c (#1)</t>
  </si>
  <si>
    <t>Los Gatos Black on Halloween</t>
  </si>
  <si>
    <t>Marisa Montes</t>
  </si>
  <si>
    <t>Montes, Marisa</t>
  </si>
  <si>
    <t>Yuyi Morales</t>
  </si>
  <si>
    <t>Henry Holt and Company</t>
  </si>
  <si>
    <t>closet-black-bin-holiday (#27)</t>
  </si>
  <si>
    <t>A Birthday Basket For Tía</t>
  </si>
  <si>
    <t>Pat Mora</t>
  </si>
  <si>
    <t>Mora, Pat</t>
  </si>
  <si>
    <t>Cecily Lang</t>
  </si>
  <si>
    <t>Simon &amp; Schuster Children's Publishing</t>
  </si>
  <si>
    <t>4x4-picture-books-l (#17)</t>
  </si>
  <si>
    <t>Listen to the Desert/Oye Al Desierto</t>
  </si>
  <si>
    <t>Francisco Mora</t>
  </si>
  <si>
    <t>1-x-4-spanish-picture-books_b (#14)</t>
  </si>
  <si>
    <t>Viva Frida</t>
  </si>
  <si>
    <t>Morales, Yuyi</t>
  </si>
  <si>
    <t>4x4-picture-books-g (#65)</t>
  </si>
  <si>
    <t>El Movimiento Por Los Derechos Humanos de la Comunidad LGBT (LGBTQ Human Rights Movement) (Participación Cívica: Luchar Por Los Derechos ... Civil Rights) (English and Spanish Edition)</t>
  </si>
  <si>
    <t>Theresa Morlock</t>
  </si>
  <si>
    <t>Morlock, Theresa</t>
  </si>
  <si>
    <t>1-x-4-spanish-picture-books_b, to-read</t>
  </si>
  <si>
    <t>1-x-4-spanish-picture-books_b (#30), to-read (#16)</t>
  </si>
  <si>
    <t>I Feel Angry (Your Emotions)</t>
  </si>
  <si>
    <t>Brian Moses</t>
  </si>
  <si>
    <t>Moses, Brian</t>
  </si>
  <si>
    <t>Wayland</t>
  </si>
  <si>
    <t>backpacks_emotions (#6)</t>
  </si>
  <si>
    <t>Acorn's DEAFinitely Awesome Dictionary of Signs: Easy-to-Learn and Easy-to-Teach Sign Language for Training Deaf Dogs in the Basics of Good Behavior</t>
  </si>
  <si>
    <t>Mary L. Motley</t>
  </si>
  <si>
    <t>Motley, Mary L.</t>
  </si>
  <si>
    <t>Carol Peter, Jenny Campbell, Timy Sullivan</t>
  </si>
  <si>
    <t>DEAFinitely Awesome</t>
  </si>
  <si>
    <t>teacher-grants (#41)</t>
  </si>
  <si>
    <t>Larry Gets Lost in San Francisco: San Francisco Books for Kids</t>
  </si>
  <si>
    <t>Michael Mullin</t>
  </si>
  <si>
    <t>Mullin, Michael</t>
  </si>
  <si>
    <t>Little Bigfoot</t>
  </si>
  <si>
    <t>white-bookshelf-j, 5x5-picture-books_m</t>
  </si>
  <si>
    <t>white-bookshelf-j (#4), 5x5-picture-books_m (#4)</t>
  </si>
  <si>
    <t>Andrew's Loose Tooth</t>
  </si>
  <si>
    <t>5x5-picture-books_h (#9)</t>
  </si>
  <si>
    <t>Love You Forever</t>
  </si>
  <si>
    <t>Sheila McGraw</t>
  </si>
  <si>
    <t>4x4-picture-books-o (#12)</t>
  </si>
  <si>
    <t>The Sandcastle Contest</t>
  </si>
  <si>
    <t>Scholastic Canada</t>
  </si>
  <si>
    <t>white-bookshelf-l, 5x5-picture-books_h</t>
  </si>
  <si>
    <t>white-bookshelf-l (#16), 5x5-picture-books_h (#8)</t>
  </si>
  <si>
    <t>The Gingerbread Man Loose on the Fire Truck</t>
  </si>
  <si>
    <t>Laura Murray</t>
  </si>
  <si>
    <t>Murray, Laura</t>
  </si>
  <si>
    <t>Mike Lowery</t>
  </si>
  <si>
    <t>4x4-picture-books-f (#22)</t>
  </si>
  <si>
    <t>Stone Soup</t>
  </si>
  <si>
    <t>Jon J. Muth</t>
  </si>
  <si>
    <t>Muth, Jon J.</t>
  </si>
  <si>
    <t>4x4-picture-books-k (#25)</t>
  </si>
  <si>
    <t>The Eight Nights of Hanukkah</t>
  </si>
  <si>
    <t>Judy Nayer</t>
  </si>
  <si>
    <t>Nayer, Judy</t>
  </si>
  <si>
    <t>Yuri Salzman</t>
  </si>
  <si>
    <t>Troll Communications Llc</t>
  </si>
  <si>
    <t>closet-black-bin-holiday (#22)</t>
  </si>
  <si>
    <t>The Jacket I Wear in the Snow</t>
  </si>
  <si>
    <t>Shirley Neitzel</t>
  </si>
  <si>
    <t>Neitzel, Shirley</t>
  </si>
  <si>
    <t>Nancy Winslow Parker</t>
  </si>
  <si>
    <t>5x5-picture-books-b (#12), to-read (#64)</t>
  </si>
  <si>
    <t>I'm Not Feeling Well Today</t>
  </si>
  <si>
    <t>5x5-picture-books-b (#30), to-read (#78)</t>
  </si>
  <si>
    <t>Sir Cumference and the Off-the-Charts Dessert</t>
  </si>
  <si>
    <t>Cindy Neuschwander</t>
  </si>
  <si>
    <t>Neuschwander, Cindy</t>
  </si>
  <si>
    <t>Wayne Geehan</t>
  </si>
  <si>
    <t>4x4-picture-books-c (#7)</t>
  </si>
  <si>
    <t>Maple</t>
  </si>
  <si>
    <t>Lori Nichols</t>
  </si>
  <si>
    <t>Nichols, Lori</t>
  </si>
  <si>
    <t>5x5-picture-books-c (#71)</t>
  </si>
  <si>
    <t>The Potato King</t>
  </si>
  <si>
    <t>Christoph Niemann</t>
  </si>
  <si>
    <t>Niemann, Christoph</t>
  </si>
  <si>
    <t>Owlkids</t>
  </si>
  <si>
    <t>5x5-picture-books-a (#28), to-read (#27)</t>
  </si>
  <si>
    <t>Go Away, Dog (My First I Can Read)</t>
  </si>
  <si>
    <t>Joan L. Nodset</t>
  </si>
  <si>
    <t>Nodset, Joan L.</t>
  </si>
  <si>
    <t>Paul Meisel</t>
  </si>
  <si>
    <t>leveled-readers_my-first-reading (#4)</t>
  </si>
  <si>
    <t>I Need My Monster</t>
  </si>
  <si>
    <t>Amanda Noll</t>
  </si>
  <si>
    <t>Noll, Amanda</t>
  </si>
  <si>
    <t>Howard McWilliam</t>
  </si>
  <si>
    <t>Flashlight Press</t>
  </si>
  <si>
    <t>white-bookshelf-m (#27), to-read (#107), 5x5-picture-books-d (#27)</t>
  </si>
  <si>
    <t>Mister and Lady Day: Billie Holiday and the Dog Who Loved Her</t>
  </si>
  <si>
    <t>Amy Novesky</t>
  </si>
  <si>
    <t>Novesky, Amy</t>
  </si>
  <si>
    <t>Vanessa Brantley Newton</t>
  </si>
  <si>
    <t>4x4-picture-books-k (#8)</t>
  </si>
  <si>
    <t>If You Give a Moose a Muffin</t>
  </si>
  <si>
    <t>Laura Numeroff</t>
  </si>
  <si>
    <t>Numeroff, Laura</t>
  </si>
  <si>
    <t>5x5-picture-books_h (#49)</t>
  </si>
  <si>
    <t>If You Take a Mouse to School: A Silly Circular Story About a Mouse’s First Day of School and New Classroom Adventures</t>
  </si>
  <si>
    <t>5x5-picture-books_h (#48)</t>
  </si>
  <si>
    <t>If You Give a Dog a Donut</t>
  </si>
  <si>
    <t>5x5-picture-books_h (#51)</t>
  </si>
  <si>
    <t>Si le das un panqueque a una cerdita</t>
  </si>
  <si>
    <t>5x5-picture-books_h (#50)</t>
  </si>
  <si>
    <t>Fancy Nancy and the Wedding of the Century: A Funny Picture Book About Weddings and Creativity for Kids (Ages 4-8)</t>
  </si>
  <si>
    <t>5x5-picture-books_k (#30)</t>
  </si>
  <si>
    <t>Fancy Nancy: Bonjour, Butterfly</t>
  </si>
  <si>
    <t>5x5-picture-books_k (#29)</t>
  </si>
  <si>
    <t>Fancy Nancy</t>
  </si>
  <si>
    <t>5x5-picture-books_k (#28)</t>
  </si>
  <si>
    <t>Fancy Nancy and the Posh Puppy</t>
  </si>
  <si>
    <t>5x5-picture-books_k (#15)</t>
  </si>
  <si>
    <t>Every Day Is Earth Day (Fancy Nancy I Can Read Level 1)</t>
  </si>
  <si>
    <t>leveled-readers_my-first-reading (#50)</t>
  </si>
  <si>
    <t>Fancy Nancy: My Family History (I Can Read Level 1)</t>
  </si>
  <si>
    <t>leveled-readers_1_sets (#26)</t>
  </si>
  <si>
    <t>Fancy Day in Room 1-A (Fancy Nancy I Can Read Level 1)</t>
  </si>
  <si>
    <t>Robin Preiss Glasser, Ted Enik</t>
  </si>
  <si>
    <t>leveled-readers_1 (#22), leveled-readers_1_sets (#25)</t>
  </si>
  <si>
    <t>Fancy Nancy: It's Backward Day! (I Can Read Level 1)</t>
  </si>
  <si>
    <t>leveled-readers_1 (#20), leveled-readers_1_sets (#66)</t>
  </si>
  <si>
    <t>Fancy Nancy: Best Reading Buddies (I Can Read Level 1)</t>
  </si>
  <si>
    <t>leveled-readers_1 (#48), leveled-readers_1_sets (#34)</t>
  </si>
  <si>
    <t>Fancy Nancy: Apples Galore!: A Festive Fall Apple Orchard Adventure for Kids (Ages 4-8) (I Can Read Level 1)</t>
  </si>
  <si>
    <t>leveled-readers_1 (#23), leveled-readers_1_sets (#24)</t>
  </si>
  <si>
    <t>Fancy Nancy and the Too-Loose Tooth (I Can Read Level 1)</t>
  </si>
  <si>
    <t>leveled-readers_1 (#35), leveled-readers_1_sets (#67)</t>
  </si>
  <si>
    <t>Fancy Nancy: Hair Dos and Hair Don'ts (I Can Read Level 1)</t>
  </si>
  <si>
    <t>leveled-readers_1 (#49), leveled-readers_1_sets (#33)</t>
  </si>
  <si>
    <t>Fancy Nancy and the Mermaid Ballet: A Sparkling Ballet Adventure About Friendship, Spotlight Dreams, and Fancy Flair</t>
  </si>
  <si>
    <t>white-bookshelf-o (#4), 5x5-picture-books_k (#24)</t>
  </si>
  <si>
    <t>Fancy Nancy: Splendiferous Christmas</t>
  </si>
  <si>
    <t>closet-black-bin-holiday, 5x5-picture-books_k</t>
  </si>
  <si>
    <t>closet-black-bin-holiday (#40), 5x5-picture-books_k (#31)</t>
  </si>
  <si>
    <t>Fancy Nancy: Too Many Tutus (I Can Read Book 1)</t>
  </si>
  <si>
    <t>leveled-readers_1_sets (#31)</t>
  </si>
  <si>
    <t>Henri Matisse: Drawing with Scissors</t>
  </si>
  <si>
    <t>Jessie Hartland</t>
  </si>
  <si>
    <t>4x4-picture-books-b (#17)</t>
  </si>
  <si>
    <t>Fancy Nancy and the Boy from Paris: A Fun Picture Book for Kids (Ages 4-8) About a New Boy, School, and Fancy Expectations (I Can Read Level 1)</t>
  </si>
  <si>
    <t>leveled-readers_1_sets (#32)</t>
  </si>
  <si>
    <t>Fancy Nancy: Poison Ivy Expert: A Hilarious I Can Read Story About Learning from Surprises for Kids (Ages 4-8) (I Can Read Level 1)</t>
  </si>
  <si>
    <t>leveled-readers_1_sets (#30)</t>
  </si>
  <si>
    <t>Fancy Nancy at the Museum (I Can Read Level 1)</t>
  </si>
  <si>
    <t>leveled-readers_1 (#24), leveled-readers_1_sets (#27)</t>
  </si>
  <si>
    <t>Fancy Nancy and the Delectable Cupcakes (I Can Read Level 1)</t>
  </si>
  <si>
    <t>leveled-readers_1 (#50), leveled-readers_1_sets (#65)</t>
  </si>
  <si>
    <t>Fancy Nancy: The 100th Day of School (I Can Read Level 1)</t>
  </si>
  <si>
    <t>leveled-readers_1 (#9), leveled-readers_1_sets (#28)</t>
  </si>
  <si>
    <t>Fancy Nancy: Sees Stars</t>
  </si>
  <si>
    <t>leveled-readers_1 (#8), leveled-readers_1_sets (#29)</t>
  </si>
  <si>
    <t>I Wonder Why Spiders Spin Webs and Other Questions About Creepy Crawlies</t>
  </si>
  <si>
    <t>Amanda O'Neill</t>
  </si>
  <si>
    <t>O'Neill, Amanda</t>
  </si>
  <si>
    <t>backpacks_insects (#3)</t>
  </si>
  <si>
    <t>The Penguin Who Wanted To Be Different: A Christmas Wish</t>
  </si>
  <si>
    <t>Maria O'Neill</t>
  </si>
  <si>
    <t>O'Neill, Maria</t>
  </si>
  <si>
    <t>Jill Newton</t>
  </si>
  <si>
    <t>4x4-picture-books-i (#34)</t>
  </si>
  <si>
    <t>Goodnight Unicorn: A Magical Parody</t>
  </si>
  <si>
    <t>Karla Oceanak</t>
  </si>
  <si>
    <t>Oceanak, Karla</t>
  </si>
  <si>
    <t>Kendra Spanjer</t>
  </si>
  <si>
    <t>Bailiwick Press</t>
  </si>
  <si>
    <t>5x5-picture-books_i (#2)</t>
  </si>
  <si>
    <t>Esther Didn't Dream of Being Queen</t>
  </si>
  <si>
    <t>Allison Ofanansky</t>
  </si>
  <si>
    <t>Ofanansky, Allison</t>
  </si>
  <si>
    <t>Valentina Belloni</t>
  </si>
  <si>
    <t>Apples &amp; Honey Press</t>
  </si>
  <si>
    <t>4x4-picture-books-p (#29)</t>
  </si>
  <si>
    <t>The Daylight Limited (Lionel Great Railway Adventures)</t>
  </si>
  <si>
    <t>Lin Oliver</t>
  </si>
  <si>
    <t>Oliver, Lin</t>
  </si>
  <si>
    <t>Friedman/Fairfax Pub</t>
  </si>
  <si>
    <t>white-bookshelf-n (#29), to-read (#140), 5x5-picture-books-d (#64)</t>
  </si>
  <si>
    <t>En el desván</t>
  </si>
  <si>
    <t>Hiawyn Oram</t>
  </si>
  <si>
    <t>Oram, Hiawyn</t>
  </si>
  <si>
    <t>Fondo de Cultura Económica</t>
  </si>
  <si>
    <t>4x4-picture-books-g (#34)</t>
  </si>
  <si>
    <t>Rin, Rin, Rin, Do, Re, Mi</t>
  </si>
  <si>
    <t>José-Luis Orozco</t>
  </si>
  <si>
    <t>Orozco, José-Luis</t>
  </si>
  <si>
    <t>David Díaz</t>
  </si>
  <si>
    <t>4x4-picture-books-h (#11)</t>
  </si>
  <si>
    <t>One</t>
  </si>
  <si>
    <t>Kathryn Otoshi</t>
  </si>
  <si>
    <t>Otoshi, Kathryn</t>
  </si>
  <si>
    <t>KO Kids Books</t>
  </si>
  <si>
    <t>4x4-picture-books-j (#29)</t>
  </si>
  <si>
    <t>What Color Is Camouflage? (Let's-Read-and-Find-Out Science, Stage 2)</t>
  </si>
  <si>
    <t>Carolyn B. Otto</t>
  </si>
  <si>
    <t>Otto, Carolyn B.</t>
  </si>
  <si>
    <t>4x4-picture-books-c (#30)</t>
  </si>
  <si>
    <t>¿Quién ganará? León vs. Tigre (Who Would Win?: Lion vs. Tiger) (Spanish Edition)</t>
  </si>
  <si>
    <t>4-x-4-early-elem-chapter-books_a (#4)</t>
  </si>
  <si>
    <t>The Yucky Reptile Alphabet Book (Jerry Pallotta's Alphabet Books)</t>
  </si>
  <si>
    <t>Ralph Masiello</t>
  </si>
  <si>
    <t>white-bookshelf-k, to-read, 5x5-picture-books-e</t>
  </si>
  <si>
    <t>white-bookshelf-k (#7), to-read (#145), 5x5-picture-books-e (#18)</t>
  </si>
  <si>
    <t>Count By Fives</t>
  </si>
  <si>
    <t>4x4-picture-books-c (#8)</t>
  </si>
  <si>
    <t>Hornet vs. Wasp (Who Would Win?)</t>
  </si>
  <si>
    <t>white-bookshelf-o (#21)</t>
  </si>
  <si>
    <t>Ultimate Ocean Rumble (Who Would Win?)</t>
  </si>
  <si>
    <t>white-bookshelf-o (#17)</t>
  </si>
  <si>
    <t>Killer Whale Vs. Great White Shark</t>
  </si>
  <si>
    <t>teacher-grants (#1)</t>
  </si>
  <si>
    <t>Count By Tens</t>
  </si>
  <si>
    <t>4x4-picture-books-c (#52)</t>
  </si>
  <si>
    <t>¿Quién ganará? Tyrannosaurus rex vs. Velociraptor (Who Would Win?: Tyrannosaurus Rex vs. Velociraptor) (Spanish Edition)</t>
  </si>
  <si>
    <t>Jerry Pallotta.</t>
  </si>
  <si>
    <t>Pallotta., Jerry</t>
  </si>
  <si>
    <t>white-bookshelf-o, 4-x-4-early-elem-chapter-books_a</t>
  </si>
  <si>
    <t>white-bookshelf-o (#8), 4-x-4-early-elem-chapter-books_a (#5)</t>
  </si>
  <si>
    <t>Fancy Nancy: Mademoiselle Mom</t>
  </si>
  <si>
    <t>Nancy Parent</t>
  </si>
  <si>
    <t>Parent, Nancy</t>
  </si>
  <si>
    <t>leveled-readers_1 (#26), leveled-readers_1_sets (#23)</t>
  </si>
  <si>
    <t>Disney Junior Fancy Nancy: Chez Nancy (I Can Read Level 1)</t>
  </si>
  <si>
    <t>leveled-readers_1 (#25), leveled-readers_1_sets (#20)</t>
  </si>
  <si>
    <t>Disney Junior Fancy Nancy: Operation Fix Marabelle</t>
  </si>
  <si>
    <t>leveled-readers_1 (#7), leveled-readers_1_sets (#22)</t>
  </si>
  <si>
    <t>Bears at the Beach</t>
  </si>
  <si>
    <t>Shirley Parenteau</t>
  </si>
  <si>
    <t>Parenteau, Shirley</t>
  </si>
  <si>
    <t>David   Walker</t>
  </si>
  <si>
    <t>4x4-picture-books-e (#13)</t>
  </si>
  <si>
    <t>Amelia Bedelia: By the Yard</t>
  </si>
  <si>
    <t>Lynne Avril</t>
  </si>
  <si>
    <t>leveled-readers_1_sets (#18)</t>
  </si>
  <si>
    <t>Amelia Bedelia on the Move (I Can Read Level 1)</t>
  </si>
  <si>
    <t>to-read, leveled-readers_1, leveled-readers_1_sets</t>
  </si>
  <si>
    <t>to-read (#4), leveled-readers_1 (#51), leveled-readers_1_sets (#17)</t>
  </si>
  <si>
    <t>Amelia Bedelia Sleeps Over (I Can Read Level 1)</t>
  </si>
  <si>
    <t>leveled-readers_1_sets (#13), leveled-readers_1 (#62)</t>
  </si>
  <si>
    <t>Amelia Bedelia Is for the Birds (I Can Read Level 1)</t>
  </si>
  <si>
    <t>leveled-readers_1 (#15), leveled-readers_1_sets (#11)</t>
  </si>
  <si>
    <t>Amelia Bedelia Tries Her Luck (I Can Read Level 1)</t>
  </si>
  <si>
    <t>leveled-readers_1 (#16), leveled-readers_1_sets (#12)</t>
  </si>
  <si>
    <t>Amelia Bedelia Hits the Trail (I Can Read Level 1)</t>
  </si>
  <si>
    <t>leveled-readers_1 (#17), leveled-readers_1_sets (#15)</t>
  </si>
  <si>
    <t>Amelia Bedelia Gets a Break (I Can Read Level 1)</t>
  </si>
  <si>
    <t>leveled-readers_1 (#18), leveled-readers_1_sets (#16)</t>
  </si>
  <si>
    <t>Amelia Bedelia Makes a Friend (I Can Read Level 1)</t>
  </si>
  <si>
    <t>leveled-readers_1 (#19), leveled-readers_1_sets (#19)</t>
  </si>
  <si>
    <t>Amelia Bedelia's First Valentine</t>
  </si>
  <si>
    <t>closet-black-bin-holiday (#10)</t>
  </si>
  <si>
    <t>Amelia Bedelia Takes the Cake (I Can Read Level 1)</t>
  </si>
  <si>
    <t>leveled-readers_1_sets (#14), leveled-readers_1 (#63)</t>
  </si>
  <si>
    <t>The Family Book</t>
  </si>
  <si>
    <t>Todd Parr</t>
  </si>
  <si>
    <t>Parr, Todd</t>
  </si>
  <si>
    <t>4x4-picture-books-j (#54)</t>
  </si>
  <si>
    <t>The Peace Book</t>
  </si>
  <si>
    <t>4x4-picture-books-o (#25)</t>
  </si>
  <si>
    <t>The I'M NOT SCARED Book</t>
  </si>
  <si>
    <t>4x4-picture-books-j (#31)</t>
  </si>
  <si>
    <t>It's Okay to Be Different</t>
  </si>
  <si>
    <t>4x4-picture-books-i (#10)</t>
  </si>
  <si>
    <t>I Am a Rainbow</t>
  </si>
  <si>
    <t>Heather Sheffield</t>
  </si>
  <si>
    <t>4x4-picture-books-j (#38)</t>
  </si>
  <si>
    <t>Flutter &amp; Hum / Aleteo y Zumbido: Animal Poems / Poemas de Animales (Bilingual)</t>
  </si>
  <si>
    <t>Julie Paschkis</t>
  </si>
  <si>
    <t>Paschkis, Julie</t>
  </si>
  <si>
    <t>4x4-picture-books-e (#50)</t>
  </si>
  <si>
    <t>Fiesta Fiasco</t>
  </si>
  <si>
    <t>Ann Whitford Paul</t>
  </si>
  <si>
    <t>Paul, Ann Whitford</t>
  </si>
  <si>
    <t>4x4-picture-books-g (#67)</t>
  </si>
  <si>
    <t>Mañana, Iguana</t>
  </si>
  <si>
    <t>4x4-picture-books-g (#68)</t>
  </si>
  <si>
    <t>Sabores de América</t>
  </si>
  <si>
    <t>Ana María Pavez</t>
  </si>
  <si>
    <t>Pavez, Ana María</t>
  </si>
  <si>
    <t>Constanza Recart, Isabel Hojas</t>
  </si>
  <si>
    <t>4x4-picture-books-g (#71)</t>
  </si>
  <si>
    <t>Katy no tiene bolsa (Spanish Edition)</t>
  </si>
  <si>
    <t>Emmy Payne</t>
  </si>
  <si>
    <t>Payne, Emmy</t>
  </si>
  <si>
    <t>H.A. Rey, Yanitzia Canetti</t>
  </si>
  <si>
    <t>4x4-picture-books-g (#35)</t>
  </si>
  <si>
    <t>Alphabeep!</t>
  </si>
  <si>
    <t>Debora Pearson</t>
  </si>
  <si>
    <t>Pearson, Debora</t>
  </si>
  <si>
    <t>backpacks_abc-books</t>
  </si>
  <si>
    <t>backpacks_abc-books (#1)</t>
  </si>
  <si>
    <t>The Amazing Adventures of Bathman!</t>
  </si>
  <si>
    <t>Andrew T. Pelletier</t>
  </si>
  <si>
    <t>Pelletier, Andrew T.</t>
  </si>
  <si>
    <t>5x5-picture-books-b (#8), to-read (#62)</t>
  </si>
  <si>
    <t>No Dragons for Tea: Fire Safety for Kids {and Dragons}</t>
  </si>
  <si>
    <t>Jean E. Pendziwol</t>
  </si>
  <si>
    <t>Pendziwol, Jean E.</t>
  </si>
  <si>
    <t>Martine Gourbault</t>
  </si>
  <si>
    <t>5x5-picture-books_n (#4)</t>
  </si>
  <si>
    <t>The Statue of Liberty</t>
  </si>
  <si>
    <t>Lucille Recht Penner</t>
  </si>
  <si>
    <t>Penner, Lucille Recht</t>
  </si>
  <si>
    <t>travel (#2)</t>
  </si>
  <si>
    <t>Ruby Finds a Worry (Big Bright Feelings)</t>
  </si>
  <si>
    <t>Tom Percival</t>
  </si>
  <si>
    <t>Percival, Tom</t>
  </si>
  <si>
    <t>4x4-picture-books-j (#43)</t>
  </si>
  <si>
    <t>Meesha Makes Friends (Big Bright Feelings)</t>
  </si>
  <si>
    <t>4x4-picture-books-j (#19)</t>
  </si>
  <si>
    <t>My Very Own Room</t>
  </si>
  <si>
    <t>Amada Irma Pérez</t>
  </si>
  <si>
    <t>Pérez, Amada Irma</t>
  </si>
  <si>
    <t>Maya Christina González, Maya Gonzalez</t>
  </si>
  <si>
    <t>1-x-4_spanish-picture-books_a (#14)</t>
  </si>
  <si>
    <t>Tracy's Mess</t>
  </si>
  <si>
    <t>Elise Peterson</t>
  </si>
  <si>
    <t>Peterson, Elise</t>
  </si>
  <si>
    <t>Iza Trapani</t>
  </si>
  <si>
    <t>5x5-picture-books-a (#41), to-read (#56)</t>
  </si>
  <si>
    <t>The Girl Who Never Made Mistakes</t>
  </si>
  <si>
    <t>Mark Pett</t>
  </si>
  <si>
    <t>Pett, Mark</t>
  </si>
  <si>
    <t>Gary Rubinstein</t>
  </si>
  <si>
    <t>4x4-picture-books-p (#39)</t>
  </si>
  <si>
    <t>I Don't Want to Be Big (I Don't Want To Be A Frog)</t>
  </si>
  <si>
    <t>Dev Petty</t>
  </si>
  <si>
    <t>Petty, Dev</t>
  </si>
  <si>
    <t>Mike Boldt</t>
  </si>
  <si>
    <t>4x4-picture-books-j (#55)</t>
  </si>
  <si>
    <t>Baby Monster</t>
  </si>
  <si>
    <t>Andrea Pfeiffer</t>
  </si>
  <si>
    <t>Pfeiffer, Andrea</t>
  </si>
  <si>
    <t>Erin Barker</t>
  </si>
  <si>
    <t>blue manatee press</t>
  </si>
  <si>
    <t>white-bookshelf-n (#31), to-read (#137), 5x5-picture-books-d (#61)</t>
  </si>
  <si>
    <t>Aliento Perruno: El horrible problema de Hali Tosis</t>
  </si>
  <si>
    <t>5x5-picture-books_h (#7)</t>
  </si>
  <si>
    <t>The Hallo-Wiener</t>
  </si>
  <si>
    <t>white-bookshelf-o (#22)</t>
  </si>
  <si>
    <t>A Remainder of One</t>
  </si>
  <si>
    <t>Elinor J. Pinczes</t>
  </si>
  <si>
    <t>Pinczes, Elinor J.</t>
  </si>
  <si>
    <t>4x4-picture-books-c (#58)</t>
  </si>
  <si>
    <t>Pretend</t>
  </si>
  <si>
    <t>Jennifer Plecas</t>
  </si>
  <si>
    <t>Plecas, Jennifer</t>
  </si>
  <si>
    <t>4x4-picture-books-j (#15)</t>
  </si>
  <si>
    <t>Wild Child</t>
  </si>
  <si>
    <t>Lynn Plourde</t>
  </si>
  <si>
    <t>Plourde, Lynn</t>
  </si>
  <si>
    <t>5x5-picture-books-a (#39), to-read (#58)</t>
  </si>
  <si>
    <t>You Make Me Happy</t>
  </si>
  <si>
    <t>Smriti Prasadam-Halls</t>
  </si>
  <si>
    <t>Prasadam-Halls, Smriti</t>
  </si>
  <si>
    <t>4x4-picture-books-e (#28)</t>
  </si>
  <si>
    <t>Peppa Pig and the Family Reunion</t>
  </si>
  <si>
    <t>Press, Candlewick</t>
  </si>
  <si>
    <t>4x4-picture-books-l (#14)</t>
  </si>
  <si>
    <t>Peppa Pig and the Day of Giving Thanks</t>
  </si>
  <si>
    <t>4x4-picture-books-l (#8)</t>
  </si>
  <si>
    <t>Grandma's Chocolate/El Chocolate de Abuelita (English and Spanish Edition)</t>
  </si>
  <si>
    <t>Mara Price</t>
  </si>
  <si>
    <t>Price, Mara</t>
  </si>
  <si>
    <t>Lisa Fields, Gabriela Baeza Ventura</t>
  </si>
  <si>
    <t>1-x-4-spanish-picture-books_b (#6)</t>
  </si>
  <si>
    <t>Wow! Surprising Facts About Animals</t>
  </si>
  <si>
    <t>Kingfisher Publications</t>
  </si>
  <si>
    <t>Publications, Kingfisher</t>
  </si>
  <si>
    <t>John Woodward, Marc Aspinall</t>
  </si>
  <si>
    <t>to-read (#161), 5x5-picture-books-e (#51)</t>
  </si>
  <si>
    <t>Ponies and Horses (DK Readers Pre-Level 1)</t>
  </si>
  <si>
    <t>Dorling Kindersley</t>
  </si>
  <si>
    <t>leveled-beginning-1-to-read</t>
  </si>
  <si>
    <t>leveled-beginning-1-to-read (#1)</t>
  </si>
  <si>
    <t>On the First Day of Summer Vacation: Celebrate the Joy of Summer with Engaging Stories and Bright Illustrations for Young Readers―An Exciting Summer Reading Book for Children</t>
  </si>
  <si>
    <t>HarperPop</t>
  </si>
  <si>
    <t>closet-black-bin-holiday (#4)</t>
  </si>
  <si>
    <t>Little Red Riding Hood (Keepsake Stories)</t>
  </si>
  <si>
    <t>Candice Ransom</t>
  </si>
  <si>
    <t>Ransom, Candice</t>
  </si>
  <si>
    <t>Tammie Speer Lyon, Charles Perrault</t>
  </si>
  <si>
    <t>Brighter Child</t>
  </si>
  <si>
    <t>4x4-picture-books-f (#20)</t>
  </si>
  <si>
    <t>Are You A Horse?</t>
  </si>
  <si>
    <t>Andy Rash</t>
  </si>
  <si>
    <t>Rash, Andy</t>
  </si>
  <si>
    <t>Arthur A. Levine Books</t>
  </si>
  <si>
    <t>backpacks_animals (#12)</t>
  </si>
  <si>
    <t>Ruby the Copycat</t>
  </si>
  <si>
    <t>Peggy Rathmann</t>
  </si>
  <si>
    <t>Rathmann, Peggy</t>
  </si>
  <si>
    <t>4x4-picture-books-j (#8)</t>
  </si>
  <si>
    <t>You Wouldn't Want to Work on the Brooklyn Bridge!: An Enormous Project That Seemed Impossible</t>
  </si>
  <si>
    <t>Tom Ratliff</t>
  </si>
  <si>
    <t>Ratliff, Tom</t>
  </si>
  <si>
    <t>David Salariya, Mark Bergin</t>
  </si>
  <si>
    <t>Franklin Watts</t>
  </si>
  <si>
    <t>backpacks_new-york (#3)</t>
  </si>
  <si>
    <t>Let's Go to Sleep: A Story with Five Steps to Help Ease Your Child to Sleep (Read Me to Sleep)</t>
  </si>
  <si>
    <t>Maisie Reade</t>
  </si>
  <si>
    <t>Reade, Maisie</t>
  </si>
  <si>
    <t>Laura Huliska-Beith, James B. Maas</t>
  </si>
  <si>
    <t>white-bookshelf-l (#11), 5x5-picture-books-c (#52)</t>
  </si>
  <si>
    <t>How to Babysit a Grandma (How To Series)</t>
  </si>
  <si>
    <t>Jean Reagan</t>
  </si>
  <si>
    <t>Reagan, Jean</t>
  </si>
  <si>
    <t>Lee Wildish</t>
  </si>
  <si>
    <t>5x5-picture-books-b (#64), to-read (#88)</t>
  </si>
  <si>
    <t>How to Babysit a Grandpa</t>
  </si>
  <si>
    <t>5x5-picture-books-a (#32), to-read (#24)</t>
  </si>
  <si>
    <t>How to Surprise a Dad</t>
  </si>
  <si>
    <t>white-bookshelf-l (#31), 5x5-picture-books-c (#35)</t>
  </si>
  <si>
    <t>Night Owl and The Rooster (Legends Of The World)</t>
  </si>
  <si>
    <t>Charles Reasoner</t>
  </si>
  <si>
    <t>Reasoner, Charles</t>
  </si>
  <si>
    <t>5x5-picture-books-b (#48), to-read (#100)</t>
  </si>
  <si>
    <t>Fox Walked Alone</t>
  </si>
  <si>
    <t>North Winds Press</t>
  </si>
  <si>
    <t>5x5-picture-books-c (#45)</t>
  </si>
  <si>
    <t>Perfect Snow</t>
  </si>
  <si>
    <t>white-bookshelf-k (#19), 5x5-picture-books-c (#74)</t>
  </si>
  <si>
    <t>The Night Before Christmas</t>
  </si>
  <si>
    <t>Scholastic Canada Ltd</t>
  </si>
  <si>
    <t>closet-black-bin-holiday (#39)</t>
  </si>
  <si>
    <t>Going on a Field Trip (Emma Every Day)</t>
  </si>
  <si>
    <t>C.L. Reid</t>
  </si>
  <si>
    <t>Reid, C.L.</t>
  </si>
  <si>
    <t>teacher-grants (#40)</t>
  </si>
  <si>
    <t>Goodnight Goon: a Petrifying Parody</t>
  </si>
  <si>
    <t>Michael Rex</t>
  </si>
  <si>
    <t>Rex, Michael</t>
  </si>
  <si>
    <t>4x4-picture-books-f (#35)</t>
  </si>
  <si>
    <t>Eat Pete!</t>
  </si>
  <si>
    <t>5x5-picture-books-a (#23), to-read (#31)</t>
  </si>
  <si>
    <t>Curious George Saves His Pennies</t>
  </si>
  <si>
    <t>5x5-picture-books_l (#8)</t>
  </si>
  <si>
    <t>Curious George and the Dinosaur</t>
  </si>
  <si>
    <t>H.A. Rey, Alan J. Shalleck</t>
  </si>
  <si>
    <t>Curious George Visits the Zoo</t>
  </si>
  <si>
    <t>5x5-picture-books_l (#10)</t>
  </si>
  <si>
    <t>Creepy Carrots! (Jasper Rabbit's Creepy Tales!)</t>
  </si>
  <si>
    <t>Aaron Reynolds</t>
  </si>
  <si>
    <t>Reynolds, Aaron</t>
  </si>
  <si>
    <t>Peter  Brown</t>
  </si>
  <si>
    <t>Simon Schuster Books for Young Readers</t>
  </si>
  <si>
    <t>4x4-picture-books-d (#14)</t>
  </si>
  <si>
    <t>If My Love Were a Fire Truck</t>
  </si>
  <si>
    <t>Luke Reynolds</t>
  </si>
  <si>
    <t>Reynolds, Luke</t>
  </si>
  <si>
    <t>white-bookshelf-k, 5x5-picture-books_i</t>
  </si>
  <si>
    <t>white-bookshelf-k (#24), 5x5-picture-books_i (#10)</t>
  </si>
  <si>
    <t>The Dot</t>
  </si>
  <si>
    <t>Reynolds, Peter H.</t>
  </si>
  <si>
    <t>4x4-picture-books-j (#63)</t>
  </si>
  <si>
    <t>Happy Dreamer</t>
  </si>
  <si>
    <t>4x4-picture-books-m (#11)</t>
  </si>
  <si>
    <t>Ish (Creatrilogy)</t>
  </si>
  <si>
    <t>4x4-picture-books-i (#32)</t>
  </si>
  <si>
    <t>Axel la camioneta: Un camino rocoso: Axel the Truck: Rocky Road (Spanish edition) (My First I Can Read)</t>
  </si>
  <si>
    <t>Brandon Dorman, Andrea Montejo</t>
  </si>
  <si>
    <t>white-bookshelf-o (#5)</t>
  </si>
  <si>
    <t>Jag's New Friend</t>
  </si>
  <si>
    <t>LeAnn Rimes</t>
  </si>
  <si>
    <t>Rimes, LeAnn</t>
  </si>
  <si>
    <t>5x5-picture-books-a (#12)</t>
  </si>
  <si>
    <t>Tar Beach</t>
  </si>
  <si>
    <t>Faith Ringgold</t>
  </si>
  <si>
    <t>Ringgold, Faith</t>
  </si>
  <si>
    <t>4x4-picture-books-k (#39)</t>
  </si>
  <si>
    <t>Goodnight, Goodnight, Construction Site</t>
  </si>
  <si>
    <t>Sherri Duskey Rinker</t>
  </si>
  <si>
    <t>Rinker, Sherri Duskey</t>
  </si>
  <si>
    <t>Tom Lichtenheld</t>
  </si>
  <si>
    <t>white-bookshelf-k, white-bookshelf-l, 5x5-picture-books_i</t>
  </si>
  <si>
    <t>white-bookshelf-k (#22), white-bookshelf-l (#30), 5x5-picture-books_i (#9)</t>
  </si>
  <si>
    <t>When We Were Alone</t>
  </si>
  <si>
    <t>David Alexander Robertson</t>
  </si>
  <si>
    <t>Robertson, David Alexander</t>
  </si>
  <si>
    <t>HighWater Press</t>
  </si>
  <si>
    <t>white-bookshelf-m (#22), to-read (#119), 5x5-picture-books-d (#41)</t>
  </si>
  <si>
    <t>A Beginner's Guide to Bear Spotting</t>
  </si>
  <si>
    <t>Michelle Robinson</t>
  </si>
  <si>
    <t>Robinson, Michelle</t>
  </si>
  <si>
    <t>David   Roberts</t>
  </si>
  <si>
    <t>to-read (#166), 5x5-picture-books-e (#38)</t>
  </si>
  <si>
    <t>There's a Lion in My Cornflakes</t>
  </si>
  <si>
    <t>Bloomsbury Childrens</t>
  </si>
  <si>
    <t>5x5-picture-books-a (#2), to-read (#51)</t>
  </si>
  <si>
    <t>1, 2, 3, Do the Dinosaur</t>
  </si>
  <si>
    <t>Rosalind Beardshaw</t>
  </si>
  <si>
    <t>Egmont</t>
  </si>
  <si>
    <t>backpacks_dinosaurs-dragons, 5x5-picture-books_n</t>
  </si>
  <si>
    <t>backpacks_dinosaurs-dragons (#1), 5x5-picture-books_n (#9)</t>
  </si>
  <si>
    <t>Look and Find Puzzles In the Jungle</t>
  </si>
  <si>
    <t>USBORNE</t>
  </si>
  <si>
    <t>4x4-picture-books-a (#27)</t>
  </si>
  <si>
    <t>Good Morning, Digger</t>
  </si>
  <si>
    <t>Anne Rockwell</t>
  </si>
  <si>
    <t>Rockwell, Anne</t>
  </si>
  <si>
    <t>Melanie Hope Greenberg</t>
  </si>
  <si>
    <t>backpacks_construction-vehicles (#3)</t>
  </si>
  <si>
    <t>Dragonfly's Tale</t>
  </si>
  <si>
    <t>Kristina Rodanas</t>
  </si>
  <si>
    <t>Rodanas, Kristina</t>
  </si>
  <si>
    <t>4x4-picture-books-k (#5)</t>
  </si>
  <si>
    <t>The Biggest Snowball Ever!</t>
  </si>
  <si>
    <t>John Rogan</t>
  </si>
  <si>
    <t>Rogan, John</t>
  </si>
  <si>
    <t>Candlewick Pr</t>
  </si>
  <si>
    <t>backpacks_snow (#5)</t>
  </si>
  <si>
    <t>Creak! Said the Bed</t>
  </si>
  <si>
    <t>Phyllis Root</t>
  </si>
  <si>
    <t>Root, Phyllis</t>
  </si>
  <si>
    <t>Regan Dunnick</t>
  </si>
  <si>
    <t>picture-books (#14)</t>
  </si>
  <si>
    <t>All Eyes on the Pond</t>
  </si>
  <si>
    <t>Michael J. Rosen</t>
  </si>
  <si>
    <t>Rosen, Michael J.</t>
  </si>
  <si>
    <t>Tom Leonard</t>
  </si>
  <si>
    <t>5x5-picture-books-e (#67)</t>
  </si>
  <si>
    <t>Elijah's Angel: A Story for Chanukah and Christmas</t>
  </si>
  <si>
    <t>Aminah Brenda Lynn Robinson</t>
  </si>
  <si>
    <t>Harcourt Childrens Books</t>
  </si>
  <si>
    <t>closet-black-bin-holiday (#23)</t>
  </si>
  <si>
    <t>The Schmutzy Family</t>
  </si>
  <si>
    <t>Madelyn Rosenberg</t>
  </si>
  <si>
    <t>Rosenberg, Madelyn</t>
  </si>
  <si>
    <t>white-bookshelf-m (#18), to-read (#117), 5x5-picture-books-d (#38)</t>
  </si>
  <si>
    <t>Rosie's Family: An Adoption Story</t>
  </si>
  <si>
    <t>Lori Rosove</t>
  </si>
  <si>
    <t>Rosove, Lori</t>
  </si>
  <si>
    <t>Asia Pr</t>
  </si>
  <si>
    <t>4x4-picture-books-o (#13)</t>
  </si>
  <si>
    <t>My Daddy Snores</t>
  </si>
  <si>
    <t>Nancy H.  Rothstein</t>
  </si>
  <si>
    <t>Rothstein, Nancy H.</t>
  </si>
  <si>
    <t>white-bookshelf-m (#10), 5x5-picture-books-c (#22)</t>
  </si>
  <si>
    <t>Those Darn Squirrels!: A Hilarious Picture Book About a Grumpy Man and Mischievous Squirrels Next Door</t>
  </si>
  <si>
    <t>Adam Rubin</t>
  </si>
  <si>
    <t>Rubin, Adam</t>
  </si>
  <si>
    <t>Daniel Salmieri</t>
  </si>
  <si>
    <t>white-bookshelf-m (#11), 5x5-picture-books-c (#61)</t>
  </si>
  <si>
    <t>Dragones y tacos (Spanish Edition)</t>
  </si>
  <si>
    <t>4x4-picture-books-g (#57)</t>
  </si>
  <si>
    <t>Birthday Presents</t>
  </si>
  <si>
    <t>Cynthia Rylant</t>
  </si>
  <si>
    <t>Rylant, Cynthia</t>
  </si>
  <si>
    <t>white-bookshelf-n (#32), to-read (#142), 5x5-picture-books-d (#66)</t>
  </si>
  <si>
    <t>The Relatives Came</t>
  </si>
  <si>
    <t>Stephen Gammell</t>
  </si>
  <si>
    <t>white-bookshelf-n (#30), to-read (#134), 5x5-picture-books-d (#57)</t>
  </si>
  <si>
    <t>Grandma Fina and Her Wonderful Umbrellas: LA Abuelita Fina Y Sus Sombrillas Maravillosas</t>
  </si>
  <si>
    <t>Benjamin Alire Sáenz</t>
  </si>
  <si>
    <t>Sáenz, Benjamin Alire</t>
  </si>
  <si>
    <t>Geronimo Garcia</t>
  </si>
  <si>
    <t>Cinco Puntos Pr</t>
  </si>
  <si>
    <t>1-x-4-spanish-picture-books_b (#7)</t>
  </si>
  <si>
    <t>Play Ball, Pikachu! (Pokémon: Scholastic Reader, Level 2)</t>
  </si>
  <si>
    <t>Sonia Sander</t>
  </si>
  <si>
    <t>Sander, Sonia</t>
  </si>
  <si>
    <t>leveled-readers-2 (#61)</t>
  </si>
  <si>
    <t>Love Is Kind</t>
  </si>
  <si>
    <t>Laura Sassi</t>
  </si>
  <si>
    <t>Sassi, Laura</t>
  </si>
  <si>
    <t>Lison Chaperon</t>
  </si>
  <si>
    <t>white-bookshelf-n (#21), to-read (#143), 5x5-picture-books-d (#67)</t>
  </si>
  <si>
    <t>Chick 'n' Pug: The Love Pug</t>
  </si>
  <si>
    <t>Jennifer Sattler</t>
  </si>
  <si>
    <t>Sattler, Jennifer</t>
  </si>
  <si>
    <t>white-bookshelf-n (#46), to-read (#156), 5x5-picture-books-e (#29)</t>
  </si>
  <si>
    <t>Mary Had a Little Glam</t>
  </si>
  <si>
    <t>Tammi Sauer</t>
  </si>
  <si>
    <t>Sauer, Tammi</t>
  </si>
  <si>
    <t>Vanessa Brantley-Newton</t>
  </si>
  <si>
    <t>picture-books (#6)</t>
  </si>
  <si>
    <t>Spiderman: Worst Enemies</t>
  </si>
  <si>
    <t>Catherine Saunders</t>
  </si>
  <si>
    <t>Saunders, Catherine</t>
  </si>
  <si>
    <t>Dk Pub</t>
  </si>
  <si>
    <t>leveled-readers-2 (#26)</t>
  </si>
  <si>
    <t>Tree of Cranes</t>
  </si>
  <si>
    <t>Allen Say</t>
  </si>
  <si>
    <t>Say, Allen</t>
  </si>
  <si>
    <t>white-bookshelf-m (#35), to-read (#113), 5x5-picture-books-d (#34)</t>
  </si>
  <si>
    <t>Emma's Rug</t>
  </si>
  <si>
    <t>white-bookshelf-m (#24), to-read (#112), 5x5-picture-books-d (#33)</t>
  </si>
  <si>
    <t>Superman (I Can Read): Escape from the Phantom Zone</t>
  </si>
  <si>
    <t>John Sazaklis</t>
  </si>
  <si>
    <t>Sazaklis, John</t>
  </si>
  <si>
    <t>Steven E. Gordon</t>
  </si>
  <si>
    <t>leveled-readers-2 (#41)</t>
  </si>
  <si>
    <t>Batman Classic: Dawn of the Dynamic Duo (I Can Read Level 2)</t>
  </si>
  <si>
    <t>Eric A. Gordon, Steven E. Gordon</t>
  </si>
  <si>
    <t>leveled-readers-2 (#17)</t>
  </si>
  <si>
    <t>Skippyjon Jones</t>
  </si>
  <si>
    <t>Judy Schachner</t>
  </si>
  <si>
    <t>Schachner, Judy</t>
  </si>
  <si>
    <t>Dutton Books for Young Readers</t>
  </si>
  <si>
    <t>picture-books-about-animals, white-bookshelf-j, 5x5-picture-books_h</t>
  </si>
  <si>
    <t>picture-books-about-animals (#12), white-bookshelf-j (#12), 5x5-picture-books_h (#34)</t>
  </si>
  <si>
    <t>Skippyjon Jones Snow What (Skippyjon Jones, #8)</t>
  </si>
  <si>
    <t>white-bookshelf-j (#10), 5x5-picture-books_h (#35)</t>
  </si>
  <si>
    <t>The Grannyman</t>
  </si>
  <si>
    <t>5x5-picture-books-c (#73)</t>
  </si>
  <si>
    <t>Mitzvah Pizza</t>
  </si>
  <si>
    <t>Sarah Lynn Scheerger</t>
  </si>
  <si>
    <t>Scheerger, Sarah Lynn</t>
  </si>
  <si>
    <t>white-bookshelf-l (#27), 5x5-picture-books-c (#32)</t>
  </si>
  <si>
    <t>All You Need for a Snowman</t>
  </si>
  <si>
    <t>Alice Schertle</t>
  </si>
  <si>
    <t>Schertle, Alice</t>
  </si>
  <si>
    <t>backpacks_snow (#3)</t>
  </si>
  <si>
    <t>The Gingerbread Man</t>
  </si>
  <si>
    <t>Karen Lee Schmidt</t>
  </si>
  <si>
    <t>Schmidt, Karen Lee</t>
  </si>
  <si>
    <t>Bruce Bailey Johnson, Scholastic Inc.</t>
  </si>
  <si>
    <t>4x4-picture-books-f (#2)</t>
  </si>
  <si>
    <t>White Tails and Other White Tales</t>
  </si>
  <si>
    <t>Second Grade Students of Longfellow Elementary School</t>
  </si>
  <si>
    <t>School, Second Grade Students of Longfellow Elementary</t>
  </si>
  <si>
    <t>picture-books-about-animals (#11)</t>
  </si>
  <si>
    <t>Penguins!</t>
  </si>
  <si>
    <t>Anne Schreiber</t>
  </si>
  <si>
    <t>Schreiber, Anne</t>
  </si>
  <si>
    <t>backpacks-sea-animals, 5x5-picture-books_n, 5x5-picture-books-e</t>
  </si>
  <si>
    <t>backpacks-sea-animals (#4), 5x5-picture-books_n (#20), 5x5-picture-books-e (#85)</t>
  </si>
  <si>
    <t>Necesito una Ayudita / I Need a Little Help (Rookie Español)</t>
  </si>
  <si>
    <t>Kathy Schulz</t>
  </si>
  <si>
    <t>Schulz, Kathy</t>
  </si>
  <si>
    <t>Ann Iosa</t>
  </si>
  <si>
    <t>1-x-4-spanish-picture-books_b (#43)</t>
  </si>
  <si>
    <t>The Magic School Bus Flies With The Dinosaurs</t>
  </si>
  <si>
    <t>Martin Schwabacher</t>
  </si>
  <si>
    <t>Schwabacher, Martin</t>
  </si>
  <si>
    <t>Carolyn Bracken, Joanna Cole, Bruce Degen</t>
  </si>
  <si>
    <t>leveled-readers-2 (#81)</t>
  </si>
  <si>
    <t>Battle Bunny</t>
  </si>
  <si>
    <t>Jon Scieszka</t>
  </si>
  <si>
    <t>Scieszka, Jon</t>
  </si>
  <si>
    <t>Mac Barnett, Matthew  Myers, Matt Myers</t>
  </si>
  <si>
    <t>white-bookshelf-m (#36)</t>
  </si>
  <si>
    <t>The True Story of the 3 Little Pigs</t>
  </si>
  <si>
    <t>4x4-picture-books-f (#37)</t>
  </si>
  <si>
    <t>Memoirs of a Goldfish</t>
  </si>
  <si>
    <t>Devin Scillian</t>
  </si>
  <si>
    <t>Scillian, Devin</t>
  </si>
  <si>
    <t>Tim Bowers</t>
  </si>
  <si>
    <t>Sleeping Bear Press</t>
  </si>
  <si>
    <t>teacher-grants (#18)</t>
  </si>
  <si>
    <t>Splat the Cat: Twice the Mice</t>
  </si>
  <si>
    <t>Rob Scotton</t>
  </si>
  <si>
    <t>Scotton, Rob</t>
  </si>
  <si>
    <t>leveled-readers_1 (#30), leveled-readers_1_sets (#45)</t>
  </si>
  <si>
    <t>Splat the Cat with a Bang and a Clang (I Can Read Level 1)</t>
  </si>
  <si>
    <t>leveled-readers_1 (#38), leveled-readers_1_sets (#47)</t>
  </si>
  <si>
    <t>Splat the Cat: The Rain Is a Pain (I Can Read Level 1)</t>
  </si>
  <si>
    <t>leveled-readers_1 (#28), leveled-readers_1_sets (#51)</t>
  </si>
  <si>
    <t>Splat the Cat: Splat the Cat Sings Flat (I Can Read Level 1)</t>
  </si>
  <si>
    <t>leveled-readers_1 (#29), leveled-readers_1_sets (#53)</t>
  </si>
  <si>
    <t>Splat the Cat: Splat and Seymour, Best Friends Forevermore (I Can Read Level 1)</t>
  </si>
  <si>
    <t>leveled-readers_1 (#41), leveled-readers_1_sets (#48)</t>
  </si>
  <si>
    <t>Splat the Cat and the Duck with No Quack (I Can Read Level 1)</t>
  </si>
  <si>
    <t>leveled-readers_1 (#42), leveled-readers_1_sets (#54)</t>
  </si>
  <si>
    <t>Splat the Cat and the Cat in the Moon</t>
  </si>
  <si>
    <t>leveled-readers-2 (#76)</t>
  </si>
  <si>
    <t>Splat the Cat: I Scream for Ice Cream: A Sweet Field Trip Story for Children (Ages 4-8) (I Can Read Level 1)</t>
  </si>
  <si>
    <t>leveled-readers_1 (#39), leveled-readers_1_sets (#49)</t>
  </si>
  <si>
    <t>Splat the Cat: Up in the Air at the Fair (I Can Read Level 1)</t>
  </si>
  <si>
    <t>to-read (#5), leveled-readers_1 (#52), leveled-readers_1_sets (#50)</t>
  </si>
  <si>
    <t>Splat the Cat: Good Night, Sleep Tight (I Can Read Level 1)</t>
  </si>
  <si>
    <t>leveled-readers_1 (#40), leveled-readers_1_sets (#46)</t>
  </si>
  <si>
    <t>Big Tracks, Little Tracks: Following Animal Prints (Let's-Read-and-Find-Out Science, Stage 1)</t>
  </si>
  <si>
    <t>Millicent E. Selsam</t>
  </si>
  <si>
    <t>Selsam, Millicent E.</t>
  </si>
  <si>
    <t>Marlene Hill Donnelly</t>
  </si>
  <si>
    <t>5x5-picture-books-e (#56)</t>
  </si>
  <si>
    <t>Australia (Blastoff! Readers: Exploring Countries)</t>
  </si>
  <si>
    <t>Colleen Sexton</t>
  </si>
  <si>
    <t>Sexton, Colleen</t>
  </si>
  <si>
    <t>Bellwether Media</t>
  </si>
  <si>
    <t>teacher-grants (#3)</t>
  </si>
  <si>
    <t>Too Many Toys</t>
  </si>
  <si>
    <t>David Shannon</t>
  </si>
  <si>
    <t>Shannon, David</t>
  </si>
  <si>
    <t>white-bookshelf-n (#13), to-read (#128), 5x5-picture-books-d (#50)</t>
  </si>
  <si>
    <t>David Goes to School</t>
  </si>
  <si>
    <t>5x5-picture-books-a (#35), to-read (#21)</t>
  </si>
  <si>
    <t>No, David!</t>
  </si>
  <si>
    <t>1-x-4_spanish-picture-books_a (#4)</t>
  </si>
  <si>
    <t>A Bad Case of Stripes</t>
  </si>
  <si>
    <t>4x4-picture-books-d (#16)</t>
  </si>
  <si>
    <t>closet_special-pictures, white-bookshelf-n</t>
  </si>
  <si>
    <t>closet_special-pictures (#1), white-bookshelf-n (#18)</t>
  </si>
  <si>
    <t>Turkey Tot</t>
  </si>
  <si>
    <t>George Shannon</t>
  </si>
  <si>
    <t>Shannon, George</t>
  </si>
  <si>
    <t>Jennifer K. Mann</t>
  </si>
  <si>
    <t>white-bookshelf-n (#37), to-read (#133), 5x5-picture-books-d (#56)</t>
  </si>
  <si>
    <t>La Cancion del Lagarto</t>
  </si>
  <si>
    <t>José Aruego, Ariane Dewey</t>
  </si>
  <si>
    <t>4x4-picture-books-g (#40)</t>
  </si>
  <si>
    <t>Brick by Brick</t>
  </si>
  <si>
    <t>Heidi Woodward Sheffield</t>
  </si>
  <si>
    <t>Sheffield, Heidi Woodward</t>
  </si>
  <si>
    <t>4x4-picture-books-d (#26)</t>
  </si>
  <si>
    <t>The Return of the First Avenger (The Avengers: World of Reading, Level 2)</t>
  </si>
  <si>
    <t>Michael Siglain</t>
  </si>
  <si>
    <t>Siglain, Michael</t>
  </si>
  <si>
    <t>leveled-readers-2 (#67)</t>
  </si>
  <si>
    <t>Love Is All Around Tennessee</t>
  </si>
  <si>
    <t>Wendi Silvano</t>
  </si>
  <si>
    <t>Silvano, Wendi</t>
  </si>
  <si>
    <t>Joanna Czernichowska</t>
  </si>
  <si>
    <t>Sourcebooks Wonderland</t>
  </si>
  <si>
    <t>4x4-picture-books-p (#30)</t>
  </si>
  <si>
    <t>Bunny's Book Club</t>
  </si>
  <si>
    <t>Annie Silvestro</t>
  </si>
  <si>
    <t>Silvestro, Annie</t>
  </si>
  <si>
    <t>Tatjana Mai-Wyss</t>
  </si>
  <si>
    <t>5x5-picture-books-a (#44)</t>
  </si>
  <si>
    <t>El perro vagabundo: The Stray Dog (Spanish edition), A Caldecott Honor Award Winner</t>
  </si>
  <si>
    <t>Marc Simont</t>
  </si>
  <si>
    <t>Simont, Marc</t>
  </si>
  <si>
    <t>4x4-picture-books-g (#18)</t>
  </si>
  <si>
    <t>The Shabbat Box</t>
  </si>
  <si>
    <t>Lesley Simpson</t>
  </si>
  <si>
    <t>Simpson, Lesley</t>
  </si>
  <si>
    <t>Nicole in Den Bosch</t>
  </si>
  <si>
    <t>closet-black-bin-holiday (#2)</t>
  </si>
  <si>
    <t>Larry Gets Lost in Seattle</t>
  </si>
  <si>
    <t>John Skewes</t>
  </si>
  <si>
    <t>Skewes, John</t>
  </si>
  <si>
    <t>white-bookshelf-k, 5x5-picture-books_m</t>
  </si>
  <si>
    <t>white-bookshelf-k (#17), 5x5-picture-books_m (#3)</t>
  </si>
  <si>
    <t>Larry Gets Lost in Washington, DC</t>
  </si>
  <si>
    <t>Andrew   Fox</t>
  </si>
  <si>
    <t>white-bookshelf-k (#16), 5x5-picture-books_m (#5)</t>
  </si>
  <si>
    <t>There Was an Old Lady Who Swallowed a Trout</t>
  </si>
  <si>
    <t>Teri Sloat</t>
  </si>
  <si>
    <t>Sloat, Teri</t>
  </si>
  <si>
    <t>Reynold Ruffins</t>
  </si>
  <si>
    <t>4x4-picture-books-f (#15)</t>
  </si>
  <si>
    <t>Santa Is Coming to Miami</t>
  </si>
  <si>
    <t>Steve Smallman</t>
  </si>
  <si>
    <t>Smallman, Steve</t>
  </si>
  <si>
    <t>Robert  Dunn</t>
  </si>
  <si>
    <t>closet-black-bin-holiday (#62)</t>
  </si>
  <si>
    <t>A Perfect Day</t>
  </si>
  <si>
    <t>Smith, Lane</t>
  </si>
  <si>
    <t>4x4-picture-books-d (#8)</t>
  </si>
  <si>
    <t>DK Readers L0: Meet the Dinosaurs</t>
  </si>
  <si>
    <t>Penny Smith</t>
  </si>
  <si>
    <t>Smith, Penny</t>
  </si>
  <si>
    <t>to-read (#8), leveled-readers_my-first-reading (#20)</t>
  </si>
  <si>
    <t>The Dark</t>
  </si>
  <si>
    <t>Lemony Snicket</t>
  </si>
  <si>
    <t>Snicket, Lemony</t>
  </si>
  <si>
    <t>Jon Klassen</t>
  </si>
  <si>
    <t>4x4-picture-books-j (#45)</t>
  </si>
  <si>
    <t>The Really Rotten Princess and the Awful, Icky Election: Ready-to-Read Level 2</t>
  </si>
  <si>
    <t>Lady Cecily Snodgrass</t>
  </si>
  <si>
    <t>Snodgrass, Lady Cecily</t>
  </si>
  <si>
    <t>leveled-readers-2 (#93)</t>
  </si>
  <si>
    <t>Too Many Tamales</t>
  </si>
  <si>
    <t>Gary Soto</t>
  </si>
  <si>
    <t>Soto, Gary</t>
  </si>
  <si>
    <t>Ed Martinez</t>
  </si>
  <si>
    <t>4x4-picture-books-l (#33)</t>
  </si>
  <si>
    <t>Just Ask!: Be Different, Be Brave, Be You</t>
  </si>
  <si>
    <t>Sonia Sotomayor</t>
  </si>
  <si>
    <t>Sotomayor, Sonia</t>
  </si>
  <si>
    <t>teacher-grants (#97)</t>
  </si>
  <si>
    <t>The Talking Eggs: A Folktale from the American South</t>
  </si>
  <si>
    <t>Robert D. San Souci</t>
  </si>
  <si>
    <t>Souci, Robert D. San</t>
  </si>
  <si>
    <t>Dial Books for Young Readers</t>
  </si>
  <si>
    <t>5x5-picture-books-b (#42), to-read (#71)</t>
  </si>
  <si>
    <t>Callie Cat, Ice Skater</t>
  </si>
  <si>
    <t>Eileen Spinelli</t>
  </si>
  <si>
    <t>Spinelli, Eileen</t>
  </si>
  <si>
    <t>Anne Kennedy</t>
  </si>
  <si>
    <t>5x5-picture-books-b (#14), to-read (#66)</t>
  </si>
  <si>
    <t>Silly Tilly</t>
  </si>
  <si>
    <t>David Slonim</t>
  </si>
  <si>
    <t>4x4-picture-books-e (#3)</t>
  </si>
  <si>
    <t>The Most Magnificent Thing (Most Magnificent, 1)</t>
  </si>
  <si>
    <t>Ashley Spires</t>
  </si>
  <si>
    <t>Spires, Ashley</t>
  </si>
  <si>
    <t>4x4-picture-books-p (#15)</t>
  </si>
  <si>
    <t>A Sick Day for Amos McGee (Caldecott Medal Winner)</t>
  </si>
  <si>
    <t>Philip C. Stead</t>
  </si>
  <si>
    <t>Stead, Philip C.</t>
  </si>
  <si>
    <t>5x5-picture-books-b (#13), to-read (#65)</t>
  </si>
  <si>
    <t>Pete's a Pizza</t>
  </si>
  <si>
    <t>William Steig</t>
  </si>
  <si>
    <t>Steig, William</t>
  </si>
  <si>
    <t>white-bookshelf-n (#20), to-read (#135), 5x5-picture-books-d (#58)</t>
  </si>
  <si>
    <t>Sylvester and the Magic Pebble</t>
  </si>
  <si>
    <t>white-bookshelf-n (#16), to-read (#126), 5x5-picture-books-d (#48)</t>
  </si>
  <si>
    <t>The Toy Brother</t>
  </si>
  <si>
    <t>white-bookshelf-m (#17), 5x5-picture-books-c (#33)</t>
  </si>
  <si>
    <t>Kindergarten, Here I Come!</t>
  </si>
  <si>
    <t>David Steinberg</t>
  </si>
  <si>
    <t>Steinberg, David</t>
  </si>
  <si>
    <t>Mark  Chambers</t>
  </si>
  <si>
    <t>white-bookshelf-k (#6)</t>
  </si>
  <si>
    <t>Look-Alikes: The More You Look, the More You See!</t>
  </si>
  <si>
    <t>Joan Steiner</t>
  </si>
  <si>
    <t>Steiner, Joan</t>
  </si>
  <si>
    <t>4x4-picture-books-a (#8), currently-reading (#4)</t>
  </si>
  <si>
    <t>Welcome to Pawston! (Netflix: Go, Dog. Go!) (Step into Reading, Step 2)</t>
  </si>
  <si>
    <t>Elle Stephens</t>
  </si>
  <si>
    <t>Stephens, Elle</t>
  </si>
  <si>
    <t>leveled-readers-2 (#8)</t>
  </si>
  <si>
    <t>Mufaro's Beautiful Daughters: An African Tale</t>
  </si>
  <si>
    <t>John Steptoe</t>
  </si>
  <si>
    <t>Steptoe, John</t>
  </si>
  <si>
    <t>4x4-picture-books-k (#23)</t>
  </si>
  <si>
    <t>Stevie</t>
  </si>
  <si>
    <t>Teresa Mlawer</t>
  </si>
  <si>
    <t>4x4-picture-books-g (#12)</t>
  </si>
  <si>
    <t>Ants (National Geographic Readers, Level 1)</t>
  </si>
  <si>
    <t>Melissa Stewart</t>
  </si>
  <si>
    <t>Stewart, Melissa</t>
  </si>
  <si>
    <t>leveled-readers_1 (#60)</t>
  </si>
  <si>
    <t>Clever Gretchen</t>
  </si>
  <si>
    <t>John Warren Stewig</t>
  </si>
  <si>
    <t>Stewig, John Warren</t>
  </si>
  <si>
    <t>Patricia Wittmann</t>
  </si>
  <si>
    <t>Marshall Cavendish Corp/Ccb</t>
  </si>
  <si>
    <t>white-bookshelf-n (#6), to-read (#130), 5x5-picture-books-d (#52)</t>
  </si>
  <si>
    <t>Tyrannosaurus Rex (StoryBots) (Step into Reading)</t>
  </si>
  <si>
    <t>Jibjab Bros Studios</t>
  </si>
  <si>
    <t>Studios, Jibjab Bros</t>
  </si>
  <si>
    <t>leveled-readers_1 (#57)</t>
  </si>
  <si>
    <t>Search &amp; Find Picture Puzzle Book - Sports</t>
  </si>
  <si>
    <t>Tony Tallarico</t>
  </si>
  <si>
    <t>Tallarico, Tony</t>
  </si>
  <si>
    <t>Kidsbooks, Inc.</t>
  </si>
  <si>
    <t>4x4-picture-books-a (#21)</t>
  </si>
  <si>
    <t>Bippity Bop Barbershop</t>
  </si>
  <si>
    <t>Natasha Anastasia Tarpley</t>
  </si>
  <si>
    <t>Tarpley, Natasha Anastasia</t>
  </si>
  <si>
    <t>4x4-picture-books-k (#12)</t>
  </si>
  <si>
    <t>Firehouse!</t>
  </si>
  <si>
    <t>5x5-picture-books_h (#3)</t>
  </si>
  <si>
    <t>Snowman Magic: Great for Holiday and Christmas Reading or Gifting</t>
  </si>
  <si>
    <t>Katherine Tegen</t>
  </si>
  <si>
    <t>Tegen, Katherine</t>
  </si>
  <si>
    <t>Brandon Dorman</t>
  </si>
  <si>
    <t>closet-black-bin-holiday (#29)</t>
  </si>
  <si>
    <t>What's That Awful Smell?</t>
  </si>
  <si>
    <t>Heather Tekavec</t>
  </si>
  <si>
    <t>Tekavec, Heather</t>
  </si>
  <si>
    <t>Margaret Spengler</t>
  </si>
  <si>
    <t>picture-books-about-animals (#17)</t>
  </si>
  <si>
    <t>The Class Pet from the Black Lagoon (Black Lagoon, #11)</t>
  </si>
  <si>
    <t>Jared D. Lee</t>
  </si>
  <si>
    <t>5x5-picture-books_h (#6)</t>
  </si>
  <si>
    <t>The Librarian from the Black Lagoon (Black Lagoon, #5)</t>
  </si>
  <si>
    <t>5x5-picture-books_h (#5)</t>
  </si>
  <si>
    <t>The Cafeteria Lady from the Black Lagoon (Black Lagoon, #6)</t>
  </si>
  <si>
    <t>closet-black-bin-holiday (#50)</t>
  </si>
  <si>
    <t>Brown Honey in Broomwheat Tea: A Beautiful Poetry Picture Book About African American Heritage for Kids (Ages 4-8)</t>
  </si>
  <si>
    <t>Joyce Carol Thomas</t>
  </si>
  <si>
    <t>Thomas, Joyce Carol</t>
  </si>
  <si>
    <t>4x4-picture-books-e (#20)</t>
  </si>
  <si>
    <t>Stop Picking On Me (A First Look At Bullying)</t>
  </si>
  <si>
    <t>Pat Thomas</t>
  </si>
  <si>
    <t>Thomas, Pat</t>
  </si>
  <si>
    <t>Lesley Harker</t>
  </si>
  <si>
    <t>Sourcebooks Explore</t>
  </si>
  <si>
    <t>4x4-picture-books-j (#11)</t>
  </si>
  <si>
    <t>Let's Call it America!</t>
  </si>
  <si>
    <t>Gare Thompson</t>
  </si>
  <si>
    <t>Thompson, Gare</t>
  </si>
  <si>
    <t>white-bookshelf-l (#1)</t>
  </si>
  <si>
    <t>Mouse Loves Fall: Ready-to-Read Pre-Level 1</t>
  </si>
  <si>
    <t>Lauren Thompson</t>
  </si>
  <si>
    <t>Thompson, Lauren</t>
  </si>
  <si>
    <t>Buket Erdogan</t>
  </si>
  <si>
    <t>leveled-readers_my-first-reading (#41)</t>
  </si>
  <si>
    <t>Amazing Tigers!: A Wildlife Conservation Society Book About Endangered Animals for Kids (Ages 4-8) (I Can Read Level 2)</t>
  </si>
  <si>
    <t>leveled-readers-2 (#94)</t>
  </si>
  <si>
    <t>Wherever You Are My Love Will Find You</t>
  </si>
  <si>
    <t>Nancy Tillman</t>
  </si>
  <si>
    <t>Tillman, Nancy</t>
  </si>
  <si>
    <t>4x4-picture-books-j (#49)</t>
  </si>
  <si>
    <t>On the Night You Were Born</t>
  </si>
  <si>
    <t>backpacks_bedtime-stories (#5)</t>
  </si>
  <si>
    <t>Rocks and Minerals (Jump Into Science)</t>
  </si>
  <si>
    <t>Steve Tomecek</t>
  </si>
  <si>
    <t>Tomecek, Steve</t>
  </si>
  <si>
    <t>Kyle Poling</t>
  </si>
  <si>
    <t>4x4-picture-books-c (#38)</t>
  </si>
  <si>
    <t>Querido primo: Una carta a mi primo</t>
  </si>
  <si>
    <t>Dumcan Tonatiuh</t>
  </si>
  <si>
    <t>Tonatiuh, Dumcan</t>
  </si>
  <si>
    <t>4x4-picture-books-g (#28)</t>
  </si>
  <si>
    <t>The Lost Kitten</t>
  </si>
  <si>
    <t>Angeles Ruiz</t>
  </si>
  <si>
    <t>Reycraft Books</t>
  </si>
  <si>
    <t>4x4-picture-books-d (#27)</t>
  </si>
  <si>
    <t>Saturday Sancocho</t>
  </si>
  <si>
    <t>4x4-picture-books-l (#35)</t>
  </si>
  <si>
    <t>Shoo Fly! (Iza Trapani's Extended Nursery Rhymes)</t>
  </si>
  <si>
    <t>Trapani, Iza</t>
  </si>
  <si>
    <t>white-bookshelf-l (#8), 5x5-picture-books-c (#58)</t>
  </si>
  <si>
    <t>White Snow, Bright Snow</t>
  </si>
  <si>
    <t>Alvin Tresselt</t>
  </si>
  <si>
    <t>Tresselt, Alvin</t>
  </si>
  <si>
    <t>Roger Duvoisin</t>
  </si>
  <si>
    <t>4x4-picture-books-l (#27)</t>
  </si>
  <si>
    <t>Do Pirates Take Baths?</t>
  </si>
  <si>
    <t>Kathy Tucker</t>
  </si>
  <si>
    <t>Tucker, Kathy</t>
  </si>
  <si>
    <t>Nadine Bernard Westcott</t>
  </si>
  <si>
    <t>white-bookshelf-m, 5x5-picture-books_n</t>
  </si>
  <si>
    <t>white-bookshelf-m (#12), 5x5-picture-books_n (#14)</t>
  </si>
  <si>
    <t>Mix It Up!</t>
  </si>
  <si>
    <t>Hervé Tullet</t>
  </si>
  <si>
    <t>Tullet, Hervé</t>
  </si>
  <si>
    <t>4x4-picture-books-b (#18)</t>
  </si>
  <si>
    <t>The Animal in Me: Is Very Plain to See</t>
  </si>
  <si>
    <t>Laurie Tye</t>
  </si>
  <si>
    <t>Tye, Laurie</t>
  </si>
  <si>
    <t>Thomas D. Mangelsen</t>
  </si>
  <si>
    <t>WestWinds Press</t>
  </si>
  <si>
    <t>4x4-picture-books-j (#62)</t>
  </si>
  <si>
    <t>Un arbol es hermoso</t>
  </si>
  <si>
    <t>Janice May Udry</t>
  </si>
  <si>
    <t>Udry, Janice May</t>
  </si>
  <si>
    <t>1-x-4_spanish-picture-books_a (#2)</t>
  </si>
  <si>
    <t>Happy Go Ducky (I Can Read Level 1)</t>
  </si>
  <si>
    <t>Urbanovic, Jackie</t>
  </si>
  <si>
    <t>Joe Mathieu</t>
  </si>
  <si>
    <t>leveled-readers_1 (#31)</t>
  </si>
  <si>
    <t>The Hare and the Tortoise / La Liebrey y La tortuga</t>
  </si>
  <si>
    <t>Maria Eulàlia Valeri</t>
  </si>
  <si>
    <t>Valeri, Maria Eulàlia</t>
  </si>
  <si>
    <t>Max</t>
  </si>
  <si>
    <t>1-x-4_spanish-picture-books_a (#22)</t>
  </si>
  <si>
    <t>Wombat Stew</t>
  </si>
  <si>
    <t>Marcia K. Vaughan</t>
  </si>
  <si>
    <t>Vaughan, Marcia K.</t>
  </si>
  <si>
    <t>CYOIDAI</t>
  </si>
  <si>
    <t>teacher-grants (#12)</t>
  </si>
  <si>
    <t>I Am Human: A Book of Empathy (I Am Books)</t>
  </si>
  <si>
    <t>Susan Verde</t>
  </si>
  <si>
    <t>Verde, Susan</t>
  </si>
  <si>
    <t>4x4-picture-books-m (#8)</t>
  </si>
  <si>
    <t>I Am Love: A Book of Compassion (I Am Books)</t>
  </si>
  <si>
    <t>4x4-picture-books-m (#7)</t>
  </si>
  <si>
    <t>Max the Brave</t>
  </si>
  <si>
    <t>Ed Vere</t>
  </si>
  <si>
    <t>Vere, Ed</t>
  </si>
  <si>
    <t>4x4-picture-books-o (#23)</t>
  </si>
  <si>
    <t>Bedtime for Monsters</t>
  </si>
  <si>
    <t>closet-black-bin-holiday (#38)</t>
  </si>
  <si>
    <t>Quincy, The Cat of La Mancha: Don Quixote for Kids (Literary Animals)</t>
  </si>
  <si>
    <t>Dominic Robert Villari</t>
  </si>
  <si>
    <t>Villari, Dominic Robert</t>
  </si>
  <si>
    <t>Figment Press</t>
  </si>
  <si>
    <t>4x4-picture-books-f (#8)</t>
  </si>
  <si>
    <t>Peters Railway a Dark and Stormy Night</t>
  </si>
  <si>
    <t>Christopher Vine</t>
  </si>
  <si>
    <t>Vine, Christopher</t>
  </si>
  <si>
    <t>white-bookshelf-l (#15), 5x5-picture-books-c (#70)</t>
  </si>
  <si>
    <t>Alexander y el día terrible, horrible, espantoso, horroroso</t>
  </si>
  <si>
    <t>Judith Viorst</t>
  </si>
  <si>
    <t>Viorst, Judith</t>
  </si>
  <si>
    <t>Ray Cruz</t>
  </si>
  <si>
    <t>4x4-picture-books-g (#41)</t>
  </si>
  <si>
    <t>Alexander, Que Era Rico El Domingo Pasado</t>
  </si>
  <si>
    <t>white-bookshelf-o (#20), 1-x-4_spanish-picture-books_a (#16)</t>
  </si>
  <si>
    <t>Bunnies: Thumper and the egg</t>
  </si>
  <si>
    <t>Brooke Vitale</t>
  </si>
  <si>
    <t>Vitale, Brooke</t>
  </si>
  <si>
    <t>Lori Tyminski, Valeria Turati</t>
  </si>
  <si>
    <t>leveled-readers_1 (#53)</t>
  </si>
  <si>
    <t>Mimi's Christmas</t>
  </si>
  <si>
    <t>Martin Waddell</t>
  </si>
  <si>
    <t>Waddell, Martin</t>
  </si>
  <si>
    <t>Leo Hartas</t>
  </si>
  <si>
    <t>closet-black-bin-holiday (#61)</t>
  </si>
  <si>
    <t>How to Catch a Unicorn</t>
  </si>
  <si>
    <t>Adam Wallace</t>
  </si>
  <si>
    <t>Wallace, Adam</t>
  </si>
  <si>
    <t>Andy Elkerton</t>
  </si>
  <si>
    <t>5x5-picture-books_i (#3)</t>
  </si>
  <si>
    <t>How to Catch an Elf</t>
  </si>
  <si>
    <t>closet-black-bin-holiday (#25)</t>
  </si>
  <si>
    <t>The Slightly Annoying Elephant</t>
  </si>
  <si>
    <t>David Walliams</t>
  </si>
  <si>
    <t>Walliams, David</t>
  </si>
  <si>
    <t>Tony Ross</t>
  </si>
  <si>
    <t>Harper Collins</t>
  </si>
  <si>
    <t>5x5-picture-books-a (#3), to-read (#50)</t>
  </si>
  <si>
    <t>Uncle Andy's Cats</t>
  </si>
  <si>
    <t>James Warhola</t>
  </si>
  <si>
    <t>Warhola, James</t>
  </si>
  <si>
    <t>5x5-picture-books-c (#36)</t>
  </si>
  <si>
    <t>Scaredy Squirrel at Night</t>
  </si>
  <si>
    <t>Mélanie Watt</t>
  </si>
  <si>
    <t>Watt, Mélanie</t>
  </si>
  <si>
    <t>4x4-picture-books-j (#33)</t>
  </si>
  <si>
    <t>Rumpelstiltskin: The Brothers Grimm</t>
  </si>
  <si>
    <t>Bernadette Watts</t>
  </si>
  <si>
    <t>Watts, Bernadette</t>
  </si>
  <si>
    <t>Anthea Bell, Jacob Grimm, Wilhelm Grimm</t>
  </si>
  <si>
    <t>NorthSouth Books</t>
  </si>
  <si>
    <t>white-bookshelf-j</t>
  </si>
  <si>
    <t>white-bookshelf-j (#1)</t>
  </si>
  <si>
    <t>Freedom on the Menu: The Greensboro Sit-Ins</t>
  </si>
  <si>
    <t>Carole Boston Weatherford</t>
  </si>
  <si>
    <t>Weatherford, Carole Boston</t>
  </si>
  <si>
    <t>Jerome Lagarrigue</t>
  </si>
  <si>
    <t>4x4-picture-books-k (#19)</t>
  </si>
  <si>
    <t>When Charley Met Emma (Charley and Emma Stories, #1)</t>
  </si>
  <si>
    <t>Amy  Webb</t>
  </si>
  <si>
    <t>Webb, Amy</t>
  </si>
  <si>
    <t>Merrilee Liddiard</t>
  </si>
  <si>
    <t>4x4-picture-books-i (#7)</t>
  </si>
  <si>
    <t>La Princesa Dragon</t>
  </si>
  <si>
    <t>David Weisner</t>
  </si>
  <si>
    <t>Weisner, David</t>
  </si>
  <si>
    <t>Editorial Juventud, S.A.</t>
  </si>
  <si>
    <t>to-read (#202), 1-x-4_spanish-picture-books_a (#54)</t>
  </si>
  <si>
    <t>Just As I Am!: The Story of Rusty Roy</t>
  </si>
  <si>
    <t>Cheryl Welch</t>
  </si>
  <si>
    <t>Welch, Cheryl</t>
  </si>
  <si>
    <t>CreateSpace Independent Publishing Platform</t>
  </si>
  <si>
    <t>4x4-picture-books-i (#11)</t>
  </si>
  <si>
    <t>Oso polar, ¿sabes por qué se deshiela tu mundo? (Spanish Edition)</t>
  </si>
  <si>
    <t>Robert E. Wells</t>
  </si>
  <si>
    <t>Wells, Robert E.</t>
  </si>
  <si>
    <t>to-read (#211), 1-x-4_spanish-picture-books_a (#64)</t>
  </si>
  <si>
    <t>The New Bear at School</t>
  </si>
  <si>
    <t>Carrie Weston</t>
  </si>
  <si>
    <t>Weston, Carrie</t>
  </si>
  <si>
    <t>Tim Warnes</t>
  </si>
  <si>
    <t>backpacks-bears (#2)</t>
  </si>
  <si>
    <t>Miss Maple's Seeds</t>
  </si>
  <si>
    <t>Eliza Wheeler</t>
  </si>
  <si>
    <t>Wheeler, Eliza</t>
  </si>
  <si>
    <t>5x5-picture-books-b (#39), to-read (#73)</t>
  </si>
  <si>
    <t>Tuesday</t>
  </si>
  <si>
    <t>David Wiesner</t>
  </si>
  <si>
    <t>Wiesner, David</t>
  </si>
  <si>
    <t>Trumpet Club</t>
  </si>
  <si>
    <t>4x4-picture-books-d (#5)</t>
  </si>
  <si>
    <t>The Little Old Lady Who Was Not Afraid of Anything</t>
  </si>
  <si>
    <t>Linda    Williams</t>
  </si>
  <si>
    <t>Williams, Linda</t>
  </si>
  <si>
    <t>4x4-picture-books-f (#13)</t>
  </si>
  <si>
    <t>A Chair for My Mother</t>
  </si>
  <si>
    <t>Vera B. Williams</t>
  </si>
  <si>
    <t>Williams, Vera B.</t>
  </si>
  <si>
    <t>4x4-picture-books-h, 4x4-picture-books-l</t>
  </si>
  <si>
    <t>4x4-picture-books-h (#1), 4x4-picture-books-l (#21)</t>
  </si>
  <si>
    <t>Algo especial para mi</t>
  </si>
  <si>
    <t>4x4-picture-books-g (#49)</t>
  </si>
  <si>
    <t>The Night Before the Snow Day</t>
  </si>
  <si>
    <t>Natasha Wing</t>
  </si>
  <si>
    <t>Wing, Natasha</t>
  </si>
  <si>
    <t>Amy Wummer</t>
  </si>
  <si>
    <t>white-bookshelf-m (#21), 5x5-picture-books-c (#21)</t>
  </si>
  <si>
    <t>The Night Before Halloween</t>
  </si>
  <si>
    <t>Cynthia Fisher</t>
  </si>
  <si>
    <t>closet-black-bin-holiday (#34)</t>
  </si>
  <si>
    <t>The Night Before Groundhog Day</t>
  </si>
  <si>
    <t>closet-black-bin-holiday (#12)</t>
  </si>
  <si>
    <t>The Night Before Kindergarten</t>
  </si>
  <si>
    <t>Julie Durrell</t>
  </si>
  <si>
    <t>closet-sel-mix (#2)</t>
  </si>
  <si>
    <t>How Do I Say That?/ Como Se Dice? (English and Spanish Edition)</t>
  </si>
  <si>
    <t>Sue Wise</t>
  </si>
  <si>
    <t>Wise, Sue</t>
  </si>
  <si>
    <t>4x4-picture-books-g (#59)</t>
  </si>
  <si>
    <t>Lola's Fandango</t>
  </si>
  <si>
    <t>Anna Witte</t>
  </si>
  <si>
    <t>Witte, Anna</t>
  </si>
  <si>
    <t>Barefoot Books</t>
  </si>
  <si>
    <t>4x4-picture-books-g (#3)</t>
  </si>
  <si>
    <t>The Christmas Hat</t>
  </si>
  <si>
    <t>A.J. Wood</t>
  </si>
  <si>
    <t>Wood, A.J.</t>
  </si>
  <si>
    <t>Maggie Kneen</t>
  </si>
  <si>
    <t>closet-black-bin-holiday (#58)</t>
  </si>
  <si>
    <t>The Princess and the Dragon (Child's Play Library)</t>
  </si>
  <si>
    <t>Child's Play International</t>
  </si>
  <si>
    <t>white-bookshelf-l (#26), 5x5-picture-books_n (#1)</t>
  </si>
  <si>
    <t>Northwoods Cradle Song: From a Menominee Lullaby</t>
  </si>
  <si>
    <t>Douglas Wood</t>
  </si>
  <si>
    <t>Wood, Douglas</t>
  </si>
  <si>
    <t>Lisa Desimini</t>
  </si>
  <si>
    <t>4x4-picture-books-k (#7)</t>
  </si>
  <si>
    <t>The Day You Begin</t>
  </si>
  <si>
    <t>Jacqueline Woodson</t>
  </si>
  <si>
    <t>Woodson, Jacqueline</t>
  </si>
  <si>
    <t>teacher-grants (#64)</t>
  </si>
  <si>
    <t>Bizarro Day! (DC Super Friends Step into Reading)</t>
  </si>
  <si>
    <t>Billy Wrecks</t>
  </si>
  <si>
    <t>Wrecks, Billy</t>
  </si>
  <si>
    <t>Francesco Legramandi</t>
  </si>
  <si>
    <t>leveled-readers-2 (#20)</t>
  </si>
  <si>
    <t>The Fabulous Foskett Family Circus</t>
  </si>
  <si>
    <t>John Yeoman</t>
  </si>
  <si>
    <t>Yeoman, John</t>
  </si>
  <si>
    <t>Quentin Blake</t>
  </si>
  <si>
    <t>Andersen Press</t>
  </si>
  <si>
    <t>white-bookshelf-n (#24), 5x5-picture-books-d (#60)</t>
  </si>
  <si>
    <t>Doug the Pug and the Kindness Crew (Doug the Pug Picture Book)</t>
  </si>
  <si>
    <t>Karen Yin</t>
  </si>
  <si>
    <t>Yin, Karen</t>
  </si>
  <si>
    <t>Lavanya Naidu, Leslie Mosier, Rob Chianelli</t>
  </si>
  <si>
    <t>picture-books-about-animals, 5x5-picture-books-e</t>
  </si>
  <si>
    <t>picture-books-about-animals (#3), 5x5-picture-books-e (#84)</t>
  </si>
  <si>
    <t>Owl Moon</t>
  </si>
  <si>
    <t>John Schoenherr</t>
  </si>
  <si>
    <t>5x5-picture-books-b (#59), to-read (#92)</t>
  </si>
  <si>
    <t>The Firebird</t>
  </si>
  <si>
    <t>Vladimir Vasilevich Vagin</t>
  </si>
  <si>
    <t>5x5-picture-books-a (#15), to-read (#39)</t>
  </si>
  <si>
    <t>Sleep, Black Bear, Sleep</t>
  </si>
  <si>
    <t>Heidi E.Y. Stemple, Brooke Dyer</t>
  </si>
  <si>
    <t>4x4-picture-books-e (#25)</t>
  </si>
  <si>
    <t>Lali's Feather</t>
  </si>
  <si>
    <t>Farhana Zia</t>
  </si>
  <si>
    <t>Zia, Farhana</t>
  </si>
  <si>
    <t>Stephanie Fizer Coleman</t>
  </si>
  <si>
    <t>Peachtree Publishing Company</t>
  </si>
  <si>
    <t>4x4-picture-books-k (#6)</t>
  </si>
  <si>
    <t>The Cool Bean (The Food Group #3)</t>
  </si>
  <si>
    <t>4x4-picture-books-o (#15)</t>
  </si>
  <si>
    <t>Braids</t>
  </si>
  <si>
    <t>Taya Kendall</t>
  </si>
  <si>
    <t>4x4-picture-books-i (#9)</t>
  </si>
  <si>
    <t>Minions: Who's the Boss?</t>
  </si>
  <si>
    <t>LB Kids</t>
  </si>
  <si>
    <t>leveled-readers-2 (#65)</t>
  </si>
  <si>
    <t>Saving Salila's Turtle: An Environmental Engineering Story (Museum of Science)</t>
  </si>
  <si>
    <t>Jeannette Martin</t>
  </si>
  <si>
    <t>closet_math-and-science (#13)</t>
  </si>
  <si>
    <t>Each Peach Pear Plum</t>
  </si>
  <si>
    <t>5x5-picture-books-b (#43), to-read (#70)</t>
  </si>
  <si>
    <t>I Have A Balloon</t>
  </si>
  <si>
    <t>Ariel Bernstein</t>
  </si>
  <si>
    <t>Bernstein, Ariel</t>
  </si>
  <si>
    <t>Scott Magoon</t>
  </si>
  <si>
    <t>Simon &amp; Schuster/Paula Wiseman</t>
  </si>
  <si>
    <t>white-bookshelf-m (#13), 5x5-picture-books-c (#67)</t>
  </si>
  <si>
    <t>10 Little Rubber Ducks</t>
  </si>
  <si>
    <t>white-bookshelf-n, 5x5-picture-books_l</t>
  </si>
  <si>
    <t>white-bookshelf-n (#2), 5x5-picture-books_l (#37)</t>
  </si>
  <si>
    <t>It's Not What You've Got: Lessons for Kids on Money and Abundance</t>
  </si>
  <si>
    <t>Wayne W. Dyer</t>
  </si>
  <si>
    <t>Dyer, Wayne W.</t>
  </si>
  <si>
    <t>Kristina Tracy, Stacy Heller Budnick</t>
  </si>
  <si>
    <t>Hay House LLC</t>
  </si>
  <si>
    <t>4x4-picture-books-o (#26)</t>
  </si>
  <si>
    <t>The Man Who Walked Between the Towers</t>
  </si>
  <si>
    <t>Mordicai Gerstein</t>
  </si>
  <si>
    <t>Gerstein, Mordicai</t>
  </si>
  <si>
    <t>5x5-picture-books-b (#66)</t>
  </si>
  <si>
    <t>One Rainy Day / Um Dia Chuvoso</t>
  </si>
  <si>
    <t>Valeri Gorbachev</t>
  </si>
  <si>
    <t>Gorbachev, Valeri</t>
  </si>
  <si>
    <t>Babl Books, Incorporated</t>
  </si>
  <si>
    <t>4x4-picture-books-g (#62)</t>
  </si>
  <si>
    <t>Eyes that Kiss in the Corners</t>
  </si>
  <si>
    <t>Joanna Ho</t>
  </si>
  <si>
    <t>Ho, Joanna</t>
  </si>
  <si>
    <t>Dung Ho</t>
  </si>
  <si>
    <t>teacher-grants (#85)</t>
  </si>
  <si>
    <t>When Pigasso Met Mootisse</t>
  </si>
  <si>
    <t>Nina Laden</t>
  </si>
  <si>
    <t>Laden, Nina</t>
  </si>
  <si>
    <t>5x5-picture-books-b (#1)</t>
  </si>
  <si>
    <t>Pete the Cat Saves Christmas</t>
  </si>
  <si>
    <t>Eric Litwin</t>
  </si>
  <si>
    <t>Litwin, Eric</t>
  </si>
  <si>
    <t>HARPER TORCH</t>
  </si>
  <si>
    <t>closet-black-bin-holiday (#19)</t>
  </si>
  <si>
    <t>Where Are You From?: A Story About Identity, Belonging, and Cultural Heritage</t>
  </si>
  <si>
    <t>Yamile Saied Méndez</t>
  </si>
  <si>
    <t>Méndez, Yamile Saied</t>
  </si>
  <si>
    <t>Jaime Kim</t>
  </si>
  <si>
    <t>4x4-picture-books-l (#23)</t>
  </si>
  <si>
    <t>Un Beso Para Osito</t>
  </si>
  <si>
    <t>Else Holmelund Minarik</t>
  </si>
  <si>
    <t>Minarik, Else Holmelund</t>
  </si>
  <si>
    <t>Rosa Benavides</t>
  </si>
  <si>
    <t>Santillana USA Pub Co Inc</t>
  </si>
  <si>
    <t>white-bookshelf-g (#11), 4-x-4-early-elem-chapter-books_a (#24)</t>
  </si>
  <si>
    <t>Clement Clarke Moore</t>
  </si>
  <si>
    <t>Moore, Clement Clarke</t>
  </si>
  <si>
    <t>Mary Engelbreit</t>
  </si>
  <si>
    <t>closet-black-bin-holiday, 1-x-4_spanish-picture-books_a</t>
  </si>
  <si>
    <t>closet-black-bin-holiday (#43), 1-x-4_spanish-picture-books_a (#19)</t>
  </si>
  <si>
    <t>Enemy Pie</t>
  </si>
  <si>
    <t>Derek Munson</t>
  </si>
  <si>
    <t>Munson, Derek</t>
  </si>
  <si>
    <t>to-read, 4x4-picture-books-j, white-bookshelf-n</t>
  </si>
  <si>
    <t>to-read (#12), 4x4-picture-books-j (#18), white-bookshelf-n (#53)</t>
  </si>
  <si>
    <t>Eeency Weency Spider: Level 1 (Bank Street Ready-To-Read)</t>
  </si>
  <si>
    <t>Joanne Oppenheim</t>
  </si>
  <si>
    <t>Oppenheim, Joanne</t>
  </si>
  <si>
    <t>S D Schindler</t>
  </si>
  <si>
    <t>Ibooks for Young Readers</t>
  </si>
  <si>
    <t>4x4-picture-books-e (#12)</t>
  </si>
  <si>
    <t>All are Welcome</t>
  </si>
  <si>
    <t>Alexandra Penfold</t>
  </si>
  <si>
    <t>Penfold, Alexandra</t>
  </si>
  <si>
    <t>Suzanne Kaufman</t>
  </si>
  <si>
    <t>teacher-grants (#66)</t>
  </si>
  <si>
    <t>Coral Reefs (Little Scientist)</t>
  </si>
  <si>
    <t>Megan Cooley Peterson</t>
  </si>
  <si>
    <t>Peterson, Megan Cooley</t>
  </si>
  <si>
    <t>Smithsonian Institution</t>
  </si>
  <si>
    <t>ocean (#5)</t>
  </si>
  <si>
    <t>The Cows Go Moo!</t>
  </si>
  <si>
    <t>Jim Petipas</t>
  </si>
  <si>
    <t>Petipas, Jim</t>
  </si>
  <si>
    <t>Boardwalk Books</t>
  </si>
  <si>
    <t>white-bookshelf-k (#21), 5x5-picture-books-c (#77)</t>
  </si>
  <si>
    <t>The Gardener</t>
  </si>
  <si>
    <t>Sarah Stewart</t>
  </si>
  <si>
    <t>Stewart, Sarah</t>
  </si>
  <si>
    <t>David Small</t>
  </si>
  <si>
    <t>Farrar, Straus and Giroux</t>
  </si>
  <si>
    <t>5x5-picture-books-a (#40), to-read (#57)</t>
  </si>
  <si>
    <t>A Friend for Henry</t>
  </si>
  <si>
    <t>Jenn Bailey</t>
  </si>
  <si>
    <t>Bailey, Jenn</t>
  </si>
  <si>
    <t>Mika Song</t>
  </si>
  <si>
    <t>teacher-grants (#83)</t>
  </si>
  <si>
    <t>Ernest's Special Christmas</t>
  </si>
  <si>
    <t>Laura T. Barnes</t>
  </si>
  <si>
    <t>Barnes, Laura T.</t>
  </si>
  <si>
    <t>Carol A. Camburn</t>
  </si>
  <si>
    <t>Barnesyard Books Inc</t>
  </si>
  <si>
    <t>closet-black-bin-holiday (#30)</t>
  </si>
  <si>
    <t>Bears in the Night</t>
  </si>
  <si>
    <t>white-bookshelf-n, 5x5-picture-books_g</t>
  </si>
  <si>
    <t>white-bookshelf-n (#43), 5x5-picture-books_g (#6)</t>
  </si>
  <si>
    <t>Violet Comes to Stay (Cynthia Coppersmith's Violet, #1)</t>
  </si>
  <si>
    <t>Melanie Cecka</t>
  </si>
  <si>
    <t>Cecka, Melanie</t>
  </si>
  <si>
    <t>Jan Karon, Emily Arnold McCully</t>
  </si>
  <si>
    <t>5x5-picture-books-b (#56), to-read (#95)</t>
  </si>
  <si>
    <t>Hippopposites: A Board Book (A Grammar Zoo Book)</t>
  </si>
  <si>
    <t>Janik Coat</t>
  </si>
  <si>
    <t>Coat, Janik</t>
  </si>
  <si>
    <t>4x4-picture-books-b (#12)</t>
  </si>
  <si>
    <t>5-Minute Fairy Tales Starring Mickey &amp; Minnie: 4 Stories in 1 (5-Minute Stories)</t>
  </si>
  <si>
    <t>Random House/Disney</t>
  </si>
  <si>
    <t>4x4-picture-books-l (#6)</t>
  </si>
  <si>
    <t>These are The Avengers (The Mighty Avengers)</t>
  </si>
  <si>
    <t>DBG</t>
  </si>
  <si>
    <t>DBG, DBG</t>
  </si>
  <si>
    <t>Random House/Marvel</t>
  </si>
  <si>
    <t>leveled-readers_1_sets, 1-x-4-spanish-picture-books_b</t>
  </si>
  <si>
    <t>leveled-readers_1_sets (#42), 1-x-4-spanish-picture-books_b (#3)</t>
  </si>
  <si>
    <t>Good Rosie</t>
  </si>
  <si>
    <t>Harry Bliss</t>
  </si>
  <si>
    <t>picture-books-about-animals (#14)</t>
  </si>
  <si>
    <t>What Does It Mean to Be an Entrepreneur?</t>
  </si>
  <si>
    <t>Rana DiOrio</t>
  </si>
  <si>
    <t>DiOrio, Rana</t>
  </si>
  <si>
    <t>Emma D. Dryden, Ken Min</t>
  </si>
  <si>
    <t>Little Pickle Press</t>
  </si>
  <si>
    <t>4x4-picture-books-p (#17)</t>
  </si>
  <si>
    <t>Hairy Maclary from Donaldson's Dairy</t>
  </si>
  <si>
    <t>picture-books-about-animals (#6)</t>
  </si>
  <si>
    <t>I Love You More</t>
  </si>
  <si>
    <t>I Shine Inc</t>
  </si>
  <si>
    <t>4x4-picture-books-n (#1)</t>
  </si>
  <si>
    <t>I'll Teach My Dog 100 Words</t>
  </si>
  <si>
    <t>Michael Frith</t>
  </si>
  <si>
    <t>Frith, Michael</t>
  </si>
  <si>
    <t>closet_black-bin-dr-seuss (#24)</t>
  </si>
  <si>
    <t>Good Night Yoga: A Pose-by-Pose Bedtime Story</t>
  </si>
  <si>
    <t>Mariam Gates</t>
  </si>
  <si>
    <t>Gates, Mariam</t>
  </si>
  <si>
    <t>Sara Jane Hinder</t>
  </si>
  <si>
    <t>St. Martin's Essentials / Sounds True</t>
  </si>
  <si>
    <t>4x4-picture-books-m (#12)</t>
  </si>
  <si>
    <t>My Body Belongs to Me from My Head to My Toes (The Safe Child, Happy Parent Series)</t>
  </si>
  <si>
    <t>Dagmar Geisler</t>
  </si>
  <si>
    <t>Geisler, Dagmar</t>
  </si>
  <si>
    <t>International Center for Assault Prevention, Pro Familia</t>
  </si>
  <si>
    <t>Sky Pony</t>
  </si>
  <si>
    <t>4x4-picture-books-m (#3)</t>
  </si>
  <si>
    <t>The Snowbelly Family of Chillyville Inn (A Story from the Hallmark Holiday Series)</t>
  </si>
  <si>
    <t>Cheryl Hawkinson</t>
  </si>
  <si>
    <t>Hawkinson, Cheryl</t>
  </si>
  <si>
    <t>Mike Esberg</t>
  </si>
  <si>
    <t>Hallmark Cards, Inc.</t>
  </si>
  <si>
    <t>closet-black-bin-holiday (#53)</t>
  </si>
  <si>
    <t>Suzy the Scene</t>
  </si>
  <si>
    <t>Siobhan Fallon Hogan</t>
  </si>
  <si>
    <t>Hogan, Siobhan Fallon</t>
  </si>
  <si>
    <t>4x4-picture-books-j (#10)</t>
  </si>
  <si>
    <t>The Good Egg (The Food Group #2)</t>
  </si>
  <si>
    <t>4x4-picture-books-o (#11)</t>
  </si>
  <si>
    <t>Colors! ¡Colores!</t>
  </si>
  <si>
    <t>Piet Grobler</t>
  </si>
  <si>
    <t>4x4-picture-books-g (#73)</t>
  </si>
  <si>
    <t>Balderdash!: John Newbery and the Boisterous Birth of Children's Books</t>
  </si>
  <si>
    <t>Michelle Markel</t>
  </si>
  <si>
    <t>Markel, Michelle</t>
  </si>
  <si>
    <t>Nancy Carpenter</t>
  </si>
  <si>
    <t>white-bookshelf-l (#13), 5x5-picture-books-c (#51)</t>
  </si>
  <si>
    <t>The Wonderful Things You Will Be</t>
  </si>
  <si>
    <t>Emily Winfield Martin</t>
  </si>
  <si>
    <t>Martin, Emily Winfield</t>
  </si>
  <si>
    <t>4x4-picture-books-i (#8)</t>
  </si>
  <si>
    <t>Flecha al Sol (Spanish) (Spanish Edition)</t>
  </si>
  <si>
    <t>Gerald McDermott</t>
  </si>
  <si>
    <t>McDermott, Gerald</t>
  </si>
  <si>
    <t>to-read (#177), 1-x-4_spanish-picture-books_a (#29)</t>
  </si>
  <si>
    <t>Thank You, Omu! (Caldecott Honor Award Winner)</t>
  </si>
  <si>
    <t>Oge Mora</t>
  </si>
  <si>
    <t>Mora, Oge</t>
  </si>
  <si>
    <t>Little, Brown and Company</t>
  </si>
  <si>
    <t>teacher-grants (#92)</t>
  </si>
  <si>
    <t>Just a Minute!: A Trickster Tale and Counting Book</t>
  </si>
  <si>
    <t>4x4-picture-books-c (#57)</t>
  </si>
  <si>
    <t>The Proudest Blue</t>
  </si>
  <si>
    <t>Ibtihaj Muhammad</t>
  </si>
  <si>
    <t>Muhammad, Ibtihaj</t>
  </si>
  <si>
    <t>S.K. Ali, Hatem Aly</t>
  </si>
  <si>
    <t>teacher-grants (#86)</t>
  </si>
  <si>
    <t>Carmela Full of Wishes</t>
  </si>
  <si>
    <t>Matt de la Peña</t>
  </si>
  <si>
    <t>Peña, Matt de la</t>
  </si>
  <si>
    <t>Christian Robinson</t>
  </si>
  <si>
    <t>4x4-picture-books-l (#31)</t>
  </si>
  <si>
    <t>Peppa Pig: La jornada escolar de Peppa / Peppa's School Day (Scholastic Bilingual) (Scholastic Reader, Level 1) (Spanish Edition)</t>
  </si>
  <si>
    <t>Meredith Rusu</t>
  </si>
  <si>
    <t>Rusu, Meredith</t>
  </si>
  <si>
    <t>Eone</t>
  </si>
  <si>
    <t>4x4-picture-books-g (#20)</t>
  </si>
  <si>
    <t>Marvin K. Mooney Will You Please Go Now!</t>
  </si>
  <si>
    <t>closet_black-bin-dr-seuss (#23)</t>
  </si>
  <si>
    <t>Alphabet Island</t>
  </si>
  <si>
    <t>Kate Ure</t>
  </si>
  <si>
    <t>Ure, Kate</t>
  </si>
  <si>
    <t>Deborah Kern</t>
  </si>
  <si>
    <t>CLM Publishing</t>
  </si>
  <si>
    <t>4x4-picture-books-e (#35)</t>
  </si>
  <si>
    <t>poetry (#4)</t>
  </si>
  <si>
    <t>Breathing Makes It Better: A Book for Sad Days, Mad Days, Glad Days, and All the Feelings In-Between</t>
  </si>
  <si>
    <t>Christopher   Willard</t>
  </si>
  <si>
    <t>Willard, Christopher</t>
  </si>
  <si>
    <t>Wendy O'Leary</t>
  </si>
  <si>
    <t>Bala Kids</t>
  </si>
  <si>
    <t>4x4-picture-books-m (#9)</t>
  </si>
  <si>
    <t>Sneezy the Snowman</t>
  </si>
  <si>
    <t>Maureen Wright</t>
  </si>
  <si>
    <t>Wright, Maureen</t>
  </si>
  <si>
    <t>Stephen Gilpin</t>
  </si>
  <si>
    <t>white-bookshelf-k (#15)</t>
  </si>
  <si>
    <t>What Do You Do With a Problem?</t>
  </si>
  <si>
    <t>Kobi Yamada</t>
  </si>
  <si>
    <t>Yamada, Kobi</t>
  </si>
  <si>
    <t>Mae Besom</t>
  </si>
  <si>
    <t>Compendium</t>
  </si>
  <si>
    <t>4x4-picture-books-j (#40)</t>
  </si>
  <si>
    <t>Where Could the Animals Be?</t>
  </si>
  <si>
    <t>Children's Books</t>
  </si>
  <si>
    <t>Books, Children's</t>
  </si>
  <si>
    <t>Independently published</t>
  </si>
  <si>
    <t>5x5-picture-books-e (#60)</t>
  </si>
  <si>
    <t>Clifford y su cumpleaños (Clifford's Birthay Party) (Spanish Edition)</t>
  </si>
  <si>
    <t>5x5-picture-books_l (#34)</t>
  </si>
  <si>
    <t>Bitsy: A Spider's Tale</t>
  </si>
  <si>
    <t>Janice  Simpson</t>
  </si>
  <si>
    <t>Simpson, Janice</t>
  </si>
  <si>
    <t>Sandra Rodriguez</t>
  </si>
  <si>
    <t>Institute of Reading Development</t>
  </si>
  <si>
    <t>5x5-picture-books-c (#60)</t>
  </si>
  <si>
    <t>I Spy Christmas: A Book of Picture Riddles</t>
  </si>
  <si>
    <t>Jean Marzollo, Carol D. Carson</t>
  </si>
  <si>
    <t>4x4-picture-books-a (#9)</t>
  </si>
  <si>
    <t>I Spy Mystery: A Book of Picture Riddles</t>
  </si>
  <si>
    <t>4x4-picture-books-a (#3)</t>
  </si>
  <si>
    <t>I Spy School Days: A Book of Picture Riddles</t>
  </si>
  <si>
    <t>4x4-picture-books-a (#25)</t>
  </si>
  <si>
    <t>The Nonsense Show</t>
  </si>
  <si>
    <t>teacher-grants (#107)</t>
  </si>
  <si>
    <t>La Mariposa</t>
  </si>
  <si>
    <t>Francisco Jiménez</t>
  </si>
  <si>
    <t>Jiménez, Francisco</t>
  </si>
  <si>
    <t>Diane Pub Co</t>
  </si>
  <si>
    <t>4x4-picture-books-h (#5)</t>
  </si>
  <si>
    <t>Little Tree</t>
  </si>
  <si>
    <t>4x4-picture-books-d (#22)</t>
  </si>
  <si>
    <t>Where the Wild Things Are</t>
  </si>
  <si>
    <t>Sendak, Maurice</t>
  </si>
  <si>
    <t>Red Fox</t>
  </si>
  <si>
    <t>4x4-picture-books-l (#29)</t>
  </si>
  <si>
    <t>What Do You Do With a Chance?</t>
  </si>
  <si>
    <t>4x4-picture-books-j (#42)</t>
  </si>
  <si>
    <t>Kwame's Sound</t>
  </si>
  <si>
    <t>Jeanette Martin</t>
  </si>
  <si>
    <t>closet_math-and-science (#4)</t>
  </si>
  <si>
    <t>A Reminder for Emily - An Electrical Engineering Story</t>
  </si>
  <si>
    <t>Museum of Science Engineering is Elementary Team</t>
  </si>
  <si>
    <t>Team, Museum of Science Engineering is Elementary</t>
  </si>
  <si>
    <t>Museum Of Science</t>
  </si>
  <si>
    <t>closet_math-and-science (#14)</t>
  </si>
  <si>
    <t>Isabel and her Colores Go to School (English and Spanish Edition)</t>
  </si>
  <si>
    <t>Alexandra Alessandri</t>
  </si>
  <si>
    <t>Alessandri, Alexandra</t>
  </si>
  <si>
    <t>Courtney Dawson</t>
  </si>
  <si>
    <t>teacher-grants (#87)</t>
  </si>
  <si>
    <t>Thunder Boy Jr.</t>
  </si>
  <si>
    <t>Sherman Alexie</t>
  </si>
  <si>
    <t>Alexie, Sherman</t>
  </si>
  <si>
    <t>teacher-grants (#81)</t>
  </si>
  <si>
    <t>McToad Mows Tiny Island</t>
  </si>
  <si>
    <t>Tom Angleberger</t>
  </si>
  <si>
    <t>Angleberger, Tom</t>
  </si>
  <si>
    <t>John  Hendrix</t>
  </si>
  <si>
    <t>5x5-picture-books-a (#45), to-read (#53)</t>
  </si>
  <si>
    <t>Dumpling Day</t>
  </si>
  <si>
    <t>Inés de Antuñano</t>
  </si>
  <si>
    <t>Antuñano, Inés de</t>
  </si>
  <si>
    <t>Meera Sriram</t>
  </si>
  <si>
    <t>teacher-grants (#95)</t>
  </si>
  <si>
    <t>Ice Cream Man: How Augustus Jackson Made a Sweet Treat Better</t>
  </si>
  <si>
    <t>Glenda Armand</t>
  </si>
  <si>
    <t>Armand, Glenda</t>
  </si>
  <si>
    <t>Kim Freeman, Keith Mallett</t>
  </si>
  <si>
    <t>Crown Books for Young Readers</t>
  </si>
  <si>
    <t>teacher-grants (#44)</t>
  </si>
  <si>
    <t>A JUGAR CON PEPPA: LIBRO ACTIVIDADES 2 A</t>
  </si>
  <si>
    <t>white-bookshelf-o (#16)</t>
  </si>
  <si>
    <t>A Butterfly Is Patient (Sylvia Long)</t>
  </si>
  <si>
    <t>Dianna Hutts Aston</t>
  </si>
  <si>
    <t>Aston, Dianna Hutts</t>
  </si>
  <si>
    <t>backpacks_insects (#2)</t>
  </si>
  <si>
    <t>Pigs on a Blanket (Pigs Will Be Pigs)</t>
  </si>
  <si>
    <t>Amy Axelrod</t>
  </si>
  <si>
    <t>Axelrod, Amy</t>
  </si>
  <si>
    <t>Sharon McGinley-Nally</t>
  </si>
  <si>
    <t>4x4-picture-books-c (#55)</t>
  </si>
  <si>
    <t>Pigs Will Be Pigs: Fun with Math and Money</t>
  </si>
  <si>
    <t>4x4-picture-books-c (#54)</t>
  </si>
  <si>
    <t>Sam and Dave Dig a Hole: (A Children's Picture Book About Curiosity, Friendship, Perseverance, and Unexpected Discoveries for Kids Ages 4-8)</t>
  </si>
  <si>
    <t>Mac Barnett</t>
  </si>
  <si>
    <t>Barnett, Mac</t>
  </si>
  <si>
    <t>white-bookshelf-n (#8), to-read (#127), 5x5-picture-books-d (#49)</t>
  </si>
  <si>
    <t>What Miss Mitchell Saw</t>
  </si>
  <si>
    <t>Hayley  Barrett</t>
  </si>
  <si>
    <t>Barrett, Hayley</t>
  </si>
  <si>
    <t>Diana Sudyka</t>
  </si>
  <si>
    <t>4x4-picture-books-p (#21)</t>
  </si>
  <si>
    <t>Now &amp; Ben: The Modern Inventions of Benjamin Franklin</t>
  </si>
  <si>
    <t>Barretta, Gene</t>
  </si>
  <si>
    <t>white-bookshelf-j (#8)</t>
  </si>
  <si>
    <t>A Crankenstein Valentine</t>
  </si>
  <si>
    <t>Samantha Berger</t>
  </si>
  <si>
    <t>Berger, Samantha</t>
  </si>
  <si>
    <t>Dan Santat</t>
  </si>
  <si>
    <t>closet-black-bin-holiday (#8)</t>
  </si>
  <si>
    <t>What Floats in a Moat?</t>
  </si>
  <si>
    <t>Lynne Berry</t>
  </si>
  <si>
    <t>Berry, Lynne</t>
  </si>
  <si>
    <t>Matthew Cordell</t>
  </si>
  <si>
    <t>5x5-picture-books-b (#62), to-read (#90)</t>
  </si>
  <si>
    <t>Shrinking Violet</t>
  </si>
  <si>
    <t>Cari Best</t>
  </si>
  <si>
    <t>Best, Cari</t>
  </si>
  <si>
    <t>Giselle Potter</t>
  </si>
  <si>
    <t>4x4-picture-books-j (#21)</t>
  </si>
  <si>
    <t>La Liebre Y La Tortuga (Spanish Edition)</t>
  </si>
  <si>
    <t>Becky Bloom</t>
  </si>
  <si>
    <t>Bloom, Becky</t>
  </si>
  <si>
    <t>Paweł Pawlak</t>
  </si>
  <si>
    <t>Norma S A Editorial</t>
  </si>
  <si>
    <t>1-x-4_spanish-picture-books_a (#28)</t>
  </si>
  <si>
    <t>Summary &amp; Study Guide The Pilgrimage by Paulo Coelho</t>
  </si>
  <si>
    <t>BookRags</t>
  </si>
  <si>
    <t>BookRags, BookRags</t>
  </si>
  <si>
    <t>5x5-picture-books-d (#8)</t>
  </si>
  <si>
    <t>Violet the Pilot</t>
  </si>
  <si>
    <t>Steve Breen</t>
  </si>
  <si>
    <t>Breen, Steve</t>
  </si>
  <si>
    <t>4x4-picture-books-p (#37)</t>
  </si>
  <si>
    <t>Jim and the Beanstalk</t>
  </si>
  <si>
    <t>4x4-picture-books-c (#59)</t>
  </si>
  <si>
    <t>Why Am I Me?</t>
  </si>
  <si>
    <t>Paige Britt</t>
  </si>
  <si>
    <t>Britt, Paige</t>
  </si>
  <si>
    <t>Selina Alko, Sean Qualls</t>
  </si>
  <si>
    <t>teacher-grants (#93)</t>
  </si>
  <si>
    <t>Hangry</t>
  </si>
  <si>
    <t>Drew Brockington</t>
  </si>
  <si>
    <t>Brockington, Drew</t>
  </si>
  <si>
    <t>4x4-picture-books-j (#61)</t>
  </si>
  <si>
    <t>Mr. Tiger Goes Wild</t>
  </si>
  <si>
    <t>Brown, Peter</t>
  </si>
  <si>
    <t>Little, Brown &amp; Company</t>
  </si>
  <si>
    <t>4x4-picture-book-d (#5)</t>
  </si>
  <si>
    <t>Babar Visits Another Planet</t>
  </si>
  <si>
    <t>Laurent de Brunhoff</t>
  </si>
  <si>
    <t>Brunhoff, Laurent de</t>
  </si>
  <si>
    <t>5x5-picture-books-a (#31), to-read (#25)</t>
  </si>
  <si>
    <t>Smoky Night</t>
  </si>
  <si>
    <t>Eve Bunting</t>
  </si>
  <si>
    <t>Bunting, Eve</t>
  </si>
  <si>
    <t>4x4-picture-books-k (#34)</t>
  </si>
  <si>
    <t>Mister Fairy</t>
  </si>
  <si>
    <t>Morgane de Cadier</t>
  </si>
  <si>
    <t>Cadier, Morgane de</t>
  </si>
  <si>
    <t>Florian Pigé</t>
  </si>
  <si>
    <t>Red Comet Press</t>
  </si>
  <si>
    <t>4x4-picture-books-i (#13)</t>
  </si>
  <si>
    <t>G is for Garden State: A New Jersey Alphabet (Discover America State by State)</t>
  </si>
  <si>
    <t>Eileen Cameron</t>
  </si>
  <si>
    <t>Cameron, Eileen</t>
  </si>
  <si>
    <t>Doris Ettlinger</t>
  </si>
  <si>
    <t>5x5-picture-books-b (#52), to-read (#97)</t>
  </si>
  <si>
    <t>The Day I Became a Bird</t>
  </si>
  <si>
    <t>Ingrid Chabbert</t>
  </si>
  <si>
    <t>Chabbert, Ingrid</t>
  </si>
  <si>
    <t>Raúl Nieto Guridi</t>
  </si>
  <si>
    <t>4x4-picture-books-i (#3)</t>
  </si>
  <si>
    <t>All Because You Matter (An All Because You Matter Book)</t>
  </si>
  <si>
    <t>Tami Charles</t>
  </si>
  <si>
    <t>Charles, Tami</t>
  </si>
  <si>
    <t>Bryan Collier</t>
  </si>
  <si>
    <t>4x4-picture-books-i (#12)</t>
  </si>
  <si>
    <t>The Great Kapok Tree</t>
  </si>
  <si>
    <t>Lynne Cherry</t>
  </si>
  <si>
    <t>Cherry, Lynne</t>
  </si>
  <si>
    <t>to-read (#203), 1-x-4_spanish-picture-books_a (#56)</t>
  </si>
  <si>
    <t>Tale of Rabbit Island</t>
  </si>
  <si>
    <t>Patrick Ching</t>
  </si>
  <si>
    <t>Ching, Patrick</t>
  </si>
  <si>
    <t>Island Heritage</t>
  </si>
  <si>
    <t>5x5-picture-books-a (#4)</t>
  </si>
  <si>
    <t>The Name Jar</t>
  </si>
  <si>
    <t>Yangsook Choi</t>
  </si>
  <si>
    <t>Choi, Yangsook</t>
  </si>
  <si>
    <t>teacher-grants (#65)</t>
  </si>
  <si>
    <t>El Autobus Magico en el Interior de la Tierra</t>
  </si>
  <si>
    <t>Bruce Degen</t>
  </si>
  <si>
    <t>4x4-picture-books-l (#39)</t>
  </si>
  <si>
    <t>Diary of a Spider</t>
  </si>
  <si>
    <t>backpacks_animals (#6)</t>
  </si>
  <si>
    <t>Diary of a Worm</t>
  </si>
  <si>
    <t>backpacks_animals (#5)</t>
  </si>
  <si>
    <t>Click, Clack, Boo!: A Tricky Treat</t>
  </si>
  <si>
    <t>closet-black-bin-holiday (#16)</t>
  </si>
  <si>
    <t>Is There Really a Human Race?: A Heartfelt Illustrated Book About Life's Journey and Good Choices for Kids (Ages 4-8)</t>
  </si>
  <si>
    <t>4x4-picture-books-j (#56)</t>
  </si>
  <si>
    <t>Today I Feel Silly &amp; and Other Moods That Make My Day</t>
  </si>
  <si>
    <t>4x4-picture-books-j (#47)</t>
  </si>
  <si>
    <t>I'm Gonna Like Me: Letting Off a Little Self-Esteem</t>
  </si>
  <si>
    <t>4x4-picture-books-i (#26)</t>
  </si>
  <si>
    <t>Tell Me Again About the Night I Was Born</t>
  </si>
  <si>
    <t>4x4-picture-books-i (#27)</t>
  </si>
  <si>
    <t>Your Body is Awesome: Body Respect for Children</t>
  </si>
  <si>
    <t>Sigrun Danielsdottir</t>
  </si>
  <si>
    <t>Danielsdottir, Sigrun</t>
  </si>
  <si>
    <t>Bjork Bjarkadottir</t>
  </si>
  <si>
    <t>Singing Dragon</t>
  </si>
  <si>
    <t>4x4-picture-books-m (#2)</t>
  </si>
  <si>
    <t>Sharice's Big Voice: A Native Kid Becomes a Congresswoman</t>
  </si>
  <si>
    <t>Sharice Davids</t>
  </si>
  <si>
    <t>Davids, Sharice</t>
  </si>
  <si>
    <t>Nancy K. Mays, Joshua Mangeshig Pawis-Steckley</t>
  </si>
  <si>
    <t>teacher-grants (#63)</t>
  </si>
  <si>
    <t>The Legend of the Indian Paintbrush</t>
  </si>
  <si>
    <t>4x4-picture-books-k (#37)</t>
  </si>
  <si>
    <t>Tomie dePaola's Mother Goose</t>
  </si>
  <si>
    <t>Putnam</t>
  </si>
  <si>
    <t>4x4-picture-books-e (#29)</t>
  </si>
  <si>
    <t>Llama Llama and the Bully Goat</t>
  </si>
  <si>
    <t>Anna Dewdney</t>
  </si>
  <si>
    <t>Dewdney, Anna</t>
  </si>
  <si>
    <t>4x4-picture-books-j (#7)</t>
  </si>
  <si>
    <t>Llama Llama Misses Mama</t>
  </si>
  <si>
    <t>4x4-picture-books-e (#16)</t>
  </si>
  <si>
    <t>Llama Llama Gram and Grandpa</t>
  </si>
  <si>
    <t>4x4-picture-books-e (#15)</t>
  </si>
  <si>
    <t>The Unstoppable Garrett Morgan: Inventor, Entrepreneur, Hero</t>
  </si>
  <si>
    <t>Joan DiCicco</t>
  </si>
  <si>
    <t>DiCicco, Joan</t>
  </si>
  <si>
    <t>Ebony Glenn</t>
  </si>
  <si>
    <t>teacher-grants (#51)</t>
  </si>
  <si>
    <t>Gustavo, el fantasmita tímido</t>
  </si>
  <si>
    <t>Flavia Z. Drago</t>
  </si>
  <si>
    <t>Drago, Flavia Z.</t>
  </si>
  <si>
    <t>4x4-picture-books-g (#50)</t>
  </si>
  <si>
    <t>Hattie &amp; Hudson</t>
  </si>
  <si>
    <t>white-bookshelf-i (#1), 5x5-picture-books_n (#8)</t>
  </si>
  <si>
    <t>Wolfie the Bunny</t>
  </si>
  <si>
    <t>Ame Dyckman</t>
  </si>
  <si>
    <t>Dyckman, Ame</t>
  </si>
  <si>
    <t>Zachariah OHora</t>
  </si>
  <si>
    <t>4x4-picture-book-d (#6)</t>
  </si>
  <si>
    <t>Indian Boyhood: The True Story of a Sioux Upbringing</t>
  </si>
  <si>
    <t>Charles Alexander Eastman</t>
  </si>
  <si>
    <t>Eastman, Charles Alexander</t>
  </si>
  <si>
    <t>Michael Oren Fitzgerald, Heidi M Rasch</t>
  </si>
  <si>
    <t>Wisdom Tales</t>
  </si>
  <si>
    <t>4x4-picture-books-k (#9)</t>
  </si>
  <si>
    <t>All the Way to Havana</t>
  </si>
  <si>
    <t>Mike Curato</t>
  </si>
  <si>
    <t>4x4-picture-books-l (#24)</t>
  </si>
  <si>
    <t>Remember to Dream, Ebere</t>
  </si>
  <si>
    <t>Cynthia Erivo</t>
  </si>
  <si>
    <t>Erivo, Cynthia</t>
  </si>
  <si>
    <t>Charnelle Pinkney Barlow</t>
  </si>
  <si>
    <t>backpacks_bedtime-stories (#4)</t>
  </si>
  <si>
    <t>Duke the Dairy Delight Dog</t>
  </si>
  <si>
    <t>Lisa Campbell Ernst</t>
  </si>
  <si>
    <t>Ernst, Lisa Campbell</t>
  </si>
  <si>
    <t>5x5-picture-books-a (#17), to-read (#37)</t>
  </si>
  <si>
    <t>Evelyn the Adventurous Entomologist: The True Story of a World-Traveling Bug Hunter</t>
  </si>
  <si>
    <t>Christine      Evans</t>
  </si>
  <si>
    <t>Evans, Christine</t>
  </si>
  <si>
    <t>Yasmin Imamura</t>
  </si>
  <si>
    <t>The Innovation Press</t>
  </si>
  <si>
    <t>4x4-picture-books-p (#9)</t>
  </si>
  <si>
    <t>The Three Little Superpigs: Once Upon a Time (2)</t>
  </si>
  <si>
    <t>Claire   Evans</t>
  </si>
  <si>
    <t>Evans, Claire</t>
  </si>
  <si>
    <t>4x4-picture-books-f (#7)</t>
  </si>
  <si>
    <t>The Three Little Superpigs: Trick or Treat?</t>
  </si>
  <si>
    <t>4x4-picture-books-l (#36)</t>
  </si>
  <si>
    <t>Wonder Woman: I Am an Amazon Warrior</t>
  </si>
  <si>
    <t>Ferguson, Lee</t>
  </si>
  <si>
    <t>leveled-readers-2 (#39)</t>
  </si>
  <si>
    <t>Now You Know How It Works</t>
  </si>
  <si>
    <t>Valorie Fisher</t>
  </si>
  <si>
    <t>Fisher, Valorie</t>
  </si>
  <si>
    <t>closet_math-and-science (#31)</t>
  </si>
  <si>
    <t>Now You Know: How It Works: Pictures and Answers for the Curious Mind</t>
  </si>
  <si>
    <t>4x4-picture-books-c (#48)</t>
  </si>
  <si>
    <t>Papa's Mechanical Fish</t>
  </si>
  <si>
    <t>Candace Fleming</t>
  </si>
  <si>
    <t>Fleming, Candace</t>
  </si>
  <si>
    <t>Boris Kulikov</t>
  </si>
  <si>
    <t>5x5-picture-books-d (#76)</t>
  </si>
  <si>
    <t>The Racecar Alphabet</t>
  </si>
  <si>
    <t>Brian Floca</t>
  </si>
  <si>
    <t>Floca, Brian</t>
  </si>
  <si>
    <t>Atheneum/Richard Jackson Books</t>
  </si>
  <si>
    <t>5x5-picture-books-a (#14), to-read (#41)</t>
  </si>
  <si>
    <t>Planet Kindergarten</t>
  </si>
  <si>
    <t>Sue Ganz-Schmitt</t>
  </si>
  <si>
    <t>Ganz-Schmitt, Sue</t>
  </si>
  <si>
    <t>to-read (#108), 5x5-picture-books-d (#28)</t>
  </si>
  <si>
    <t>One Big Pair of Underwear</t>
  </si>
  <si>
    <t>white-bookshelf-l (#20), 5x5-picture-books-c (#75)</t>
  </si>
  <si>
    <t>Algo De Nada / Something from Nothing (Universal Folktales) (Spanish Edition)</t>
  </si>
  <si>
    <t>Phoebe Gilman</t>
  </si>
  <si>
    <t>Gilman, Phoebe</t>
  </si>
  <si>
    <t>1-x-4-spanish-picture-books_b (#44)</t>
  </si>
  <si>
    <t>The Hula Hoopin' Queen</t>
  </si>
  <si>
    <t>Thelma Lynne Godin</t>
  </si>
  <si>
    <t>Godin, Thelma Lynne</t>
  </si>
  <si>
    <t>4x4-picture-books-p (#16)</t>
  </si>
  <si>
    <t>Whoopi's Big Book of Manners</t>
  </si>
  <si>
    <t>Whoopi Goldberg</t>
  </si>
  <si>
    <t>Goldberg, Whoopi</t>
  </si>
  <si>
    <t>Olo</t>
  </si>
  <si>
    <t>4x4-picture-books-j (#1)</t>
  </si>
  <si>
    <t>I Don't Want to Read This Book</t>
  </si>
  <si>
    <t>Max Greenfield</t>
  </si>
  <si>
    <t>Greenfield, Max</t>
  </si>
  <si>
    <t>joke-books, 4x4-picture-books-o</t>
  </si>
  <si>
    <t>joke-books (#2), 4x4-picture-books-o (#22)</t>
  </si>
  <si>
    <t>The Truth About Mrs. Claus</t>
  </si>
  <si>
    <t>Meena Harris</t>
  </si>
  <si>
    <t>Harris, Meena</t>
  </si>
  <si>
    <t>Keisha Morris</t>
  </si>
  <si>
    <t>4x4-picture-books-p (#4)</t>
  </si>
  <si>
    <t>Owen and Mzee: The True Story of a Remarkable Friendship</t>
  </si>
  <si>
    <t>Isabella Hatkoff</t>
  </si>
  <si>
    <t>Hatkoff, Isabella</t>
  </si>
  <si>
    <t>Craig Hatkoff, Paula Kahumbu, Peter Greste</t>
  </si>
  <si>
    <t>white-bookshelf-l (#32), 5x5-picture-books-c (#30)</t>
  </si>
  <si>
    <t>George and the Dinosaur</t>
  </si>
  <si>
    <t>Felix Hayes</t>
  </si>
  <si>
    <t>Hayes, Felix</t>
  </si>
  <si>
    <t>Sue Heap</t>
  </si>
  <si>
    <t>white-bookshelf-i (#10), 5x5-picture-books_n (#6)</t>
  </si>
  <si>
    <t>Kitten's First Full Moon</t>
  </si>
  <si>
    <t>white-bookshelf-m (#29), 5x5-picture-books-d (#29)</t>
  </si>
  <si>
    <t>Lilly's Big Day</t>
  </si>
  <si>
    <t>5x5-picture-books_l (#25)</t>
  </si>
  <si>
    <t>We Don't Eat Our Classmates (Penelope Rex, #1)</t>
  </si>
  <si>
    <t>Ryan T.  Higgins</t>
  </si>
  <si>
    <t>Higgins, Ryan T.</t>
  </si>
  <si>
    <t>Disney Hyperion</t>
  </si>
  <si>
    <t>4x4-picture-book-d (#4)</t>
  </si>
  <si>
    <t>How People Learned to Fly: A STEM Picture Book About Flight Experiments and Inventors for Kids (Ages 4-8) (Let's-Read-and-Find-Out Science 2)</t>
  </si>
  <si>
    <t>Fran Hodgkins</t>
  </si>
  <si>
    <t>Hodgkins, Fran</t>
  </si>
  <si>
    <t>True Kelley</t>
  </si>
  <si>
    <t>4x4-picture-books-l (#16)</t>
  </si>
  <si>
    <t>Ada's Violin: The Story of the Recycled Orchestra of Paraguay</t>
  </si>
  <si>
    <t>Susan Hood</t>
  </si>
  <si>
    <t>Hood, Susan</t>
  </si>
  <si>
    <t>Sally Wern Comport</t>
  </si>
  <si>
    <t>4x4-picture-books-l (#30)</t>
  </si>
  <si>
    <t>Stagecoach Sal</t>
  </si>
  <si>
    <t>Deborah Hopkinson</t>
  </si>
  <si>
    <t>Hopkinson, Deborah</t>
  </si>
  <si>
    <t>Carson Ellis</t>
  </si>
  <si>
    <t>Hyperion Book CH</t>
  </si>
  <si>
    <t>4x4-picture-books-p (#31)</t>
  </si>
  <si>
    <t>Abe Lincoln Crosses a Creek: A Tall, Thin Tale (Introducing His Forgotten Frontier Friend)</t>
  </si>
  <si>
    <t>5x5-picture-books_n, 5x5-picture-books_j</t>
  </si>
  <si>
    <t>5x5-picture-books_n (#19), 5x5-picture-books_j (#6)</t>
  </si>
  <si>
    <t>Puffin Peter</t>
  </si>
  <si>
    <t>Petr Horáček</t>
  </si>
  <si>
    <t>Horáček, Petr</t>
  </si>
  <si>
    <t>Walker</t>
  </si>
  <si>
    <t>5x5-picture-books-a (#24), to-read (#30)</t>
  </si>
  <si>
    <t>Are We Still Friends?</t>
  </si>
  <si>
    <t>Ruth  Horowitz</t>
  </si>
  <si>
    <t>Horowitz, Ruth</t>
  </si>
  <si>
    <t>4x4-picture-books-j (#28)</t>
  </si>
  <si>
    <t>When I Was Five</t>
  </si>
  <si>
    <t>Howard, Arthur</t>
  </si>
  <si>
    <t>white-bookshelf-n (#35), to-read (#139), 5x5-picture-books-d (#63)</t>
  </si>
  <si>
    <t>Soccer Star</t>
  </si>
  <si>
    <t>Mina Javaherbin</t>
  </si>
  <si>
    <t>Javaherbin, Mina</t>
  </si>
  <si>
    <t>Renato Alarcao</t>
  </si>
  <si>
    <t>5x5-picture-books-b (#33)</t>
  </si>
  <si>
    <t>Just a Second</t>
  </si>
  <si>
    <t>4x4-picture-books-d (#7)</t>
  </si>
  <si>
    <t>The Smart Cookie (The Food Group #5)</t>
  </si>
  <si>
    <t>4x4-picture-books-o (#21)</t>
  </si>
  <si>
    <t>The Bad Seed (The Food Group #1)</t>
  </si>
  <si>
    <t>4x4-picture-books-n (#3)</t>
  </si>
  <si>
    <t>The Invisible String</t>
  </si>
  <si>
    <t>Patrice Karst</t>
  </si>
  <si>
    <t>Karst, Patrice</t>
  </si>
  <si>
    <t>Geoff Stevenson</t>
  </si>
  <si>
    <t>DeVorss Publications</t>
  </si>
  <si>
    <t>4x4-picture-books-j (#46)</t>
  </si>
  <si>
    <t>Fungus is Among Us!</t>
  </si>
  <si>
    <t>Joy Keller</t>
  </si>
  <si>
    <t>Keller, Joy</t>
  </si>
  <si>
    <t>Erica Salcedo</t>
  </si>
  <si>
    <t>5x5-picture-books_n (#27)</t>
  </si>
  <si>
    <t>Arnie the Doughnut</t>
  </si>
  <si>
    <t>Laurie Keller</t>
  </si>
  <si>
    <t>Keller, Laurie</t>
  </si>
  <si>
    <t>5x5-picture-books-d (#74)</t>
  </si>
  <si>
    <t>A Crown for Corina</t>
  </si>
  <si>
    <t>Laekan Zea Kemp</t>
  </si>
  <si>
    <t>Kemp, Laekan Zea</t>
  </si>
  <si>
    <t>Elisa Chavarri</t>
  </si>
  <si>
    <t>4x4-picture-books-h (#20)</t>
  </si>
  <si>
    <t>Pretty Penny Sets Up Shop</t>
  </si>
  <si>
    <t>Devon Kinch</t>
  </si>
  <si>
    <t>Kinch, Devon</t>
  </si>
  <si>
    <t>white-bookshelf-n (#50), to-read (#129), 5x5-picture-books-d (#51)</t>
  </si>
  <si>
    <t>Thunder Trucks</t>
  </si>
  <si>
    <t>Cheryl B. Klein</t>
  </si>
  <si>
    <t>Klein, Cheryl B.</t>
  </si>
  <si>
    <t>Katy Beebe, Mike Boldt</t>
  </si>
  <si>
    <t>5x5-picture-books_i (#14)</t>
  </si>
  <si>
    <t>Whose Mouse Are You?</t>
  </si>
  <si>
    <t>Robert Kraus</t>
  </si>
  <si>
    <t>Kraus, Robert</t>
  </si>
  <si>
    <t>José Aruego</t>
  </si>
  <si>
    <t>5x5-picture-books-b (#9), to-read (#63)</t>
  </si>
  <si>
    <t>Peace Is an Offering</t>
  </si>
  <si>
    <t>Annette LeBox</t>
  </si>
  <si>
    <t>LeBox, Annette</t>
  </si>
  <si>
    <t>4x4-picture-books-o (#17)</t>
  </si>
  <si>
    <t>I Have a Home</t>
  </si>
  <si>
    <t>Claudia Legnazzi</t>
  </si>
  <si>
    <t>Legnazzi, Claudia</t>
  </si>
  <si>
    <t>Katha Books</t>
  </si>
  <si>
    <t>4x4-picture-books-d (#3)</t>
  </si>
  <si>
    <t>The Ninjabread Man</t>
  </si>
  <si>
    <t>C.J. Leigh</t>
  </si>
  <si>
    <t>Leigh, C.J.</t>
  </si>
  <si>
    <t>Chris Gall</t>
  </si>
  <si>
    <t>4x4-picture-books-f (#6)</t>
  </si>
  <si>
    <t>Henry's Freedom Box: A True Story from the Underground Railroad</t>
  </si>
  <si>
    <t>Ellen Levine</t>
  </si>
  <si>
    <t>Levine, Ellen</t>
  </si>
  <si>
    <t>Kadir Nelson</t>
  </si>
  <si>
    <t>4x4-picture-books-k (#21)</t>
  </si>
  <si>
    <t>The Youngest Marcher: The Story of Audrey Faye Hendricks, a Young Civil Rights Activist</t>
  </si>
  <si>
    <t>Cynthia Levinson</t>
  </si>
  <si>
    <t>Levinson, Cynthia</t>
  </si>
  <si>
    <t>4x4-picture-books-p (#5)</t>
  </si>
  <si>
    <t>Ida, Always</t>
  </si>
  <si>
    <t>Caron Levis</t>
  </si>
  <si>
    <t>Levis, Caron</t>
  </si>
  <si>
    <t>Charles Santoso</t>
  </si>
  <si>
    <t>4x4-picture-books-j (#35)</t>
  </si>
  <si>
    <t>A Big Bed for Little Snow</t>
  </si>
  <si>
    <t>Grace Lin</t>
  </si>
  <si>
    <t>Lin, Grace</t>
  </si>
  <si>
    <t>5x5-picture-books-d (#71)</t>
  </si>
  <si>
    <t>We Are Water Protectors</t>
  </si>
  <si>
    <t>Carole Lindstrom</t>
  </si>
  <si>
    <t>Lindstrom, Carole</t>
  </si>
  <si>
    <t>Michaela Goade</t>
  </si>
  <si>
    <t>teacher-grants (#82)</t>
  </si>
  <si>
    <t>How to Be a Baby . . . by Me, the Big Sister</t>
  </si>
  <si>
    <t>Sally Lloyd-Jones</t>
  </si>
  <si>
    <t>Lloyd-Jones, Sally</t>
  </si>
  <si>
    <t>4x4-picture-books-o (#24)</t>
  </si>
  <si>
    <t>Otis and the Scarecrow</t>
  </si>
  <si>
    <t>5x5-picture-books_h (#52)</t>
  </si>
  <si>
    <t>Otis and the Kittens</t>
  </si>
  <si>
    <t>5x5-picture-books_h (#15)</t>
  </si>
  <si>
    <t>Otis and the Tornado</t>
  </si>
  <si>
    <t>white-bookshelf-m, 5x5-picture-books_h</t>
  </si>
  <si>
    <t>white-bookshelf-m (#34), 5x5-picture-books_h (#16)</t>
  </si>
  <si>
    <t>Dream Builder: The Story of Architect Philip Freelon</t>
  </si>
  <si>
    <t>Kelly Starling Lyons</t>
  </si>
  <si>
    <t>Lyons, Kelly Starling</t>
  </si>
  <si>
    <t>Laura Freeman</t>
  </si>
  <si>
    <t>teacher-grants (#52)</t>
  </si>
  <si>
    <t>The Vast Wonder of the World: Biologist Ernest Everett Just</t>
  </si>
  <si>
    <t>Mélina Mangal</t>
  </si>
  <si>
    <t>Mangal, Mélina</t>
  </si>
  <si>
    <t>Luisa Uribe</t>
  </si>
  <si>
    <t>Millbrook Press ™</t>
  </si>
  <si>
    <t>teacher-grants (#47)</t>
  </si>
  <si>
    <t>Meet Me at the Moon</t>
  </si>
  <si>
    <t>Gianna Marino</t>
  </si>
  <si>
    <t>Marino, Gianna</t>
  </si>
  <si>
    <t>5x5-picture-books-a (#6), to-read (#48)</t>
  </si>
  <si>
    <t>Squeak, Rumble, Whomp! Whomp! Whomp!: A Sonic Adventure</t>
  </si>
  <si>
    <t>Wynton Marsalis</t>
  </si>
  <si>
    <t>Marsalis, Wynton</t>
  </si>
  <si>
    <t>Paul Rogers</t>
  </si>
  <si>
    <t>4x4-picture-books-e (#6)</t>
  </si>
  <si>
    <t>Jeremy Draws a Monster (Jeremy and the Monster)</t>
  </si>
  <si>
    <t>Peter McCarty</t>
  </si>
  <si>
    <t>McCarty, Peter</t>
  </si>
  <si>
    <t>4x4-picture-book-d (#3)</t>
  </si>
  <si>
    <t>Mad Scientist Academy: The Dinosaur Disaster</t>
  </si>
  <si>
    <t>Matthew McElligott</t>
  </si>
  <si>
    <t>McElligott, Matthew</t>
  </si>
  <si>
    <t>5x5-picture-books_n (#7)</t>
  </si>
  <si>
    <t>Ten Magic Butterflies (McKellar Math)</t>
  </si>
  <si>
    <t>Danica McKellar</t>
  </si>
  <si>
    <t>McKellar, Danica</t>
  </si>
  <si>
    <t>4x4-picture-books-e (#33)</t>
  </si>
  <si>
    <t>Fluffy Goes to School (Fluffy the Classroom Guinea Pig #3)</t>
  </si>
  <si>
    <t>Kate McMullan</t>
  </si>
  <si>
    <t>McMullan, Kate</t>
  </si>
  <si>
    <t>Mavis Smith</t>
  </si>
  <si>
    <t>leveled-readers-3 (#2)</t>
  </si>
  <si>
    <t>Cool Down and Work Through Anger (Learning to Get Along®)</t>
  </si>
  <si>
    <t>Cheri J. Meiners</t>
  </si>
  <si>
    <t>Meiners, Cheri J.</t>
  </si>
  <si>
    <t>Free Spirit Publishing</t>
  </si>
  <si>
    <t>4x4-picture-books-j (#37)</t>
  </si>
  <si>
    <t>I am Abraham Lincoln (Ordinary People Change the World)</t>
  </si>
  <si>
    <t>5x5-middle-chapter-books_c (#8), 5x5 (#30)</t>
  </si>
  <si>
    <t>I am Albert Einstein (Ordinary People Change the World)</t>
  </si>
  <si>
    <t>5x5-middle-chapter-books_c (#7), 5x5 (#29)</t>
  </si>
  <si>
    <t>I am Marie Curie (Ordinary People Change the World)</t>
  </si>
  <si>
    <t>4x4-picture-books-p (#33)</t>
  </si>
  <si>
    <t>I am Harriet Tubman (Ordinary People Change the World)</t>
  </si>
  <si>
    <t>4x4-picture-books-p (#35)</t>
  </si>
  <si>
    <t>I am Rosa Parks (Ordinary People Change the World)</t>
  </si>
  <si>
    <t>historical-figures, 5x5, 5x5-middle-chapter-books_c</t>
  </si>
  <si>
    <t>historical-figures (#1), 5x5 (#31), 5x5-middle-chapter-books_c (#9)</t>
  </si>
  <si>
    <t>¡Gracias, Omu! (Thank You, Omu!) (Spanish Edition)</t>
  </si>
  <si>
    <t>4x4-picture-books-g (#38)</t>
  </si>
  <si>
    <t>Soñadores (Spanish Edition)</t>
  </si>
  <si>
    <t>to-read (#15), 1-x-4_spanish-picture-books_a (#3)</t>
  </si>
  <si>
    <t>The Astronaut With a Song for the Stars: The Story of Dr. Ellen Ochoa (Amazing Scientists, 4)</t>
  </si>
  <si>
    <t>Julia Finley Mosca</t>
  </si>
  <si>
    <t>Mosca, Julia Finley</t>
  </si>
  <si>
    <t>Daniel Rieley</t>
  </si>
  <si>
    <t>4x4-picture-books-p (#7)</t>
  </si>
  <si>
    <t>The Girl Who Thought in Pictures: The Story of Dr. Temple Grandin (Amazing Scientists, 1)</t>
  </si>
  <si>
    <t>4x4-picture-books-p (#8)</t>
  </si>
  <si>
    <t>Zen Shorts</t>
  </si>
  <si>
    <t>David Pittu</t>
  </si>
  <si>
    <t>5x5-picture-books-a (#1), to-read (#52)</t>
  </si>
  <si>
    <t>Zen Ghosts</t>
  </si>
  <si>
    <t>4x4-picture-books-k (#31)</t>
  </si>
  <si>
    <t>Wings</t>
  </si>
  <si>
    <t>Christopher Myers</t>
  </si>
  <si>
    <t>Myers, Christopher</t>
  </si>
  <si>
    <t>4x4-picture-books-k (#27)</t>
  </si>
  <si>
    <t>Dogs Don't Wear Sneakers (Stories to Go!)</t>
  </si>
  <si>
    <t>white-bookshelf-n (#15), 5x5-picture-books-d (#73)</t>
  </si>
  <si>
    <t>If You Give a Mouse a Cookie (If You Give...)</t>
  </si>
  <si>
    <t>montclair-high-school-sets (#12)</t>
  </si>
  <si>
    <t>Two</t>
  </si>
  <si>
    <t>4x4-picture-books-j (#30)</t>
  </si>
  <si>
    <t>If You Ever Want to Bring an Alligator to School, Don't! (Magnolia Says DON'T!, 1)</t>
  </si>
  <si>
    <t>Elise Parsley</t>
  </si>
  <si>
    <t>Parsley, Elise</t>
  </si>
  <si>
    <t>5x5-picture-books-b (#35)</t>
  </si>
  <si>
    <t>Smokey</t>
  </si>
  <si>
    <t>Bill Peet</t>
  </si>
  <si>
    <t>Peet, Bill</t>
  </si>
  <si>
    <t>5x5-picture-books-d (#70)</t>
  </si>
  <si>
    <t>My Brother Charlie</t>
  </si>
  <si>
    <t>Holly Robinson Peete</t>
  </si>
  <si>
    <t>Peete, Holly Robinson</t>
  </si>
  <si>
    <t>Ryan Elizabeth Peete, Shane Evans</t>
  </si>
  <si>
    <t>teacher-grants (#90)</t>
  </si>
  <si>
    <t>Cat Kid Comic Club: Supa-Special Sampler!</t>
  </si>
  <si>
    <t>Graphix/ Scholastic</t>
  </si>
  <si>
    <t>4-x-4-early-elem-chapter-books_k (#12)</t>
  </si>
  <si>
    <t>Best Frints in the Whole Universe</t>
  </si>
  <si>
    <t>Antoinette Portis</t>
  </si>
  <si>
    <t>Portis, Antoinette</t>
  </si>
  <si>
    <t>picture-books (#9)</t>
  </si>
  <si>
    <t>Sergei Prokofiev's Peter and the Wolf</t>
  </si>
  <si>
    <t>Sergei Prokofiev</t>
  </si>
  <si>
    <t>Prokofiev, Sergei</t>
  </si>
  <si>
    <t>Peter Malone, Janet Schulman</t>
  </si>
  <si>
    <t>4x4-picture-books-f (#4)</t>
  </si>
  <si>
    <t>Peter and the Wolf</t>
  </si>
  <si>
    <t>Chris Raschka</t>
  </si>
  <si>
    <t>Raschka, Chris</t>
  </si>
  <si>
    <t>white-bookshelf-i (#7)</t>
  </si>
  <si>
    <t>I Wished for You: An Adoption Story For Kids (Marianne Richmond)</t>
  </si>
  <si>
    <t>Marianne Richmond</t>
  </si>
  <si>
    <t>Richmond, Marianne</t>
  </si>
  <si>
    <t>4x4-picture-books-i (#20)</t>
  </si>
  <si>
    <t>The Smallest Girl in the Smallest Grade</t>
  </si>
  <si>
    <t>Justin  Roberts</t>
  </si>
  <si>
    <t>Roberts, Justin</t>
  </si>
  <si>
    <t>4x4-picture-books-j (#3)</t>
  </si>
  <si>
    <t>Under the Same Sun</t>
  </si>
  <si>
    <t>Sharon Robinson</t>
  </si>
  <si>
    <t>Robinson, Sharon</t>
  </si>
  <si>
    <t>4x4-picture-books-k (#16)</t>
  </si>
  <si>
    <t>Clouds: A Hands-On Science Picture Book About Weather for Kids (Ages 4-8) (Let's-Read-and-Find-Out Science 1)</t>
  </si>
  <si>
    <t>Frané Lessac</t>
  </si>
  <si>
    <t>4x4-picture-books-c (#16)</t>
  </si>
  <si>
    <t>We're Going on a Bear Hunt</t>
  </si>
  <si>
    <t>Michael Rosen</t>
  </si>
  <si>
    <t>Rosen, Michael</t>
  </si>
  <si>
    <t>Alladin Paperbacks</t>
  </si>
  <si>
    <t>white-bookshelf-n (#17), to-read (#141), 5x5-picture-books-d (#65)</t>
  </si>
  <si>
    <t>Cookies: Bite-Size Life Lessons – A Delightful Picture Book Dictionary for Kids about Fairness and Cooperation</t>
  </si>
  <si>
    <t>Amy Krouse Rosenthal</t>
  </si>
  <si>
    <t>Rosenthal, Amy Krouse</t>
  </si>
  <si>
    <t>white-bookshelf-k, 4x4-picture-books-j</t>
  </si>
  <si>
    <t>white-bookshelf-k (#1), 4x4-picture-books-j (#58)</t>
  </si>
  <si>
    <t>All My Stripes: A Story for Children with Autism</t>
  </si>
  <si>
    <t>Shaina Rudolph</t>
  </si>
  <si>
    <t>Rudolph, Shaina</t>
  </si>
  <si>
    <t>Danielle Royer, Jennifer Zivoin</t>
  </si>
  <si>
    <t>Magination Press ® ― American Psychological Association</t>
  </si>
  <si>
    <t>teacher-grants (#68)</t>
  </si>
  <si>
    <t>Annie and Snowball and the Book Bugs Club (Annie and Snowball, #9)</t>
  </si>
  <si>
    <t>Suçie Stevenson</t>
  </si>
  <si>
    <t>leveled-readers-2 (#90)</t>
  </si>
  <si>
    <t>Henry and Mudge and the Wild Goose Chase (Henry and Mudge, #23)</t>
  </si>
  <si>
    <t>leveled-readers-2 (#86)</t>
  </si>
  <si>
    <t>Henry and Mudge - The First Book (Henry and Mudge, #1)</t>
  </si>
  <si>
    <t>montclair-high-school-sets (#11)</t>
  </si>
  <si>
    <t>Bilal Cooks Daal</t>
  </si>
  <si>
    <t>Aisha Saeed</t>
  </si>
  <si>
    <t>Saeed, Aisha</t>
  </si>
  <si>
    <t>Anoosha Syed</t>
  </si>
  <si>
    <t>Salaam Reads / Simon &amp; Schuster Books for Young Readers</t>
  </si>
  <si>
    <t>teacher-grants (#98)</t>
  </si>
  <si>
    <t>A Perfect Season for Dreaming / Un tiempo perfecto para soñar</t>
  </si>
  <si>
    <t>Esau Andrade Valencia</t>
  </si>
  <si>
    <t>1-x-4-spanish-picture-books_b (#4)</t>
  </si>
  <si>
    <t>Best Friend in the Whole World</t>
  </si>
  <si>
    <t>Sandra Salsbury</t>
  </si>
  <si>
    <t>Salsbury, Sandra</t>
  </si>
  <si>
    <t>4x4-picture-books-j (#2)</t>
  </si>
  <si>
    <t>Are We There Yet?</t>
  </si>
  <si>
    <t>Santat, Dan</t>
  </si>
  <si>
    <t>5x5-picture-books_n (#25)</t>
  </si>
  <si>
    <t>The Adventures of Beekle: The Unimaginary Friend</t>
  </si>
  <si>
    <t>4x4-picture-books-d (#21)</t>
  </si>
  <si>
    <t>Best in Snow (Weather Walks)</t>
  </si>
  <si>
    <t>April Pulley Sayre</t>
  </si>
  <si>
    <t>Sayre, April Pulley</t>
  </si>
  <si>
    <t>white-bookshelf-n (#3), to-read (#124), 5x5-picture-books-d (#46)</t>
  </si>
  <si>
    <t>How Ben Franklin Stole the Lightning</t>
  </si>
  <si>
    <t>Rosalyn Schanzer</t>
  </si>
  <si>
    <t>Schanzer, Rosalyn</t>
  </si>
  <si>
    <t>5x5-picture-books_j</t>
  </si>
  <si>
    <t>5x5-picture-books_j (#4)</t>
  </si>
  <si>
    <t>I Talk Like a River</t>
  </si>
  <si>
    <t>Jordan  Scott</t>
  </si>
  <si>
    <t>Scott, Jordan</t>
  </si>
  <si>
    <t>Sydney Smith</t>
  </si>
  <si>
    <t>4x4-picture-books-i (#5)</t>
  </si>
  <si>
    <t>A Fire Truck Named Red</t>
  </si>
  <si>
    <t>Randall de Sève</t>
  </si>
  <si>
    <t>Sève, Randall de</t>
  </si>
  <si>
    <t>Bob Staake</t>
  </si>
  <si>
    <t>white-bookshelf-i (#5), 5x5-picture-books_i (#8)</t>
  </si>
  <si>
    <t>Bridges</t>
  </si>
  <si>
    <t>Seymour Simon</t>
  </si>
  <si>
    <t>Simon, Seymour</t>
  </si>
  <si>
    <t>travel (#9)</t>
  </si>
  <si>
    <t>Tallulah's Tutu</t>
  </si>
  <si>
    <t>Marilyn Singer</t>
  </si>
  <si>
    <t>Singer, Marilyn</t>
  </si>
  <si>
    <t>5x5-picture-books-c (#34)</t>
  </si>
  <si>
    <t>En el Palacio del Rey del Oceano: (In the Palace of the Ocean King) (Libros Colibri)</t>
  </si>
  <si>
    <t>Ted Rand, Aida E. Marcuse</t>
  </si>
  <si>
    <t>Atheneum</t>
  </si>
  <si>
    <t>1-x-4-spanish-picture-books_b (#8)</t>
  </si>
  <si>
    <t>Girls Hold Up This World</t>
  </si>
  <si>
    <t>Jada Pinkett Smith</t>
  </si>
  <si>
    <t>Smith, Jada Pinkett</t>
  </si>
  <si>
    <t>Donyell Kennedy-Mccullough</t>
  </si>
  <si>
    <t>4x4-picture-books-p (#34)</t>
  </si>
  <si>
    <t>Ladybug Girl at the Beach</t>
  </si>
  <si>
    <t>Soman, David</t>
  </si>
  <si>
    <t>Jacky Davis</t>
  </si>
  <si>
    <t>5x5-picture-books-b (#6)</t>
  </si>
  <si>
    <t>Friends</t>
  </si>
  <si>
    <t>Daniela Sosa</t>
  </si>
  <si>
    <t>Sosa, Daniela</t>
  </si>
  <si>
    <t>A Paula Wiseman Book/Beach Lane Books</t>
  </si>
  <si>
    <t>backpacks_emotions (#9)</t>
  </si>
  <si>
    <t>Fairy Science</t>
  </si>
  <si>
    <t>4x4-picture-books-p (#27)</t>
  </si>
  <si>
    <t>Interrupting Chicken: (Funny Read Aloud Children's Picture Book About Surprises, Fairy Tales, and Storytelling for Kids Ages 4-8)</t>
  </si>
  <si>
    <t>David Ezra Stein</t>
  </si>
  <si>
    <t>Stein, David Ezra</t>
  </si>
  <si>
    <t>4x4-picture-books-j (#9)</t>
  </si>
  <si>
    <t>The House in the Night</t>
  </si>
  <si>
    <t>Susan Marie Swanson</t>
  </si>
  <si>
    <t>Swanson, Susan Marie</t>
  </si>
  <si>
    <t>Beth Krommes</t>
  </si>
  <si>
    <t>4x4-picture-books-b (#11)</t>
  </si>
  <si>
    <t>Jack and the Beanstalk and the French Fries</t>
  </si>
  <si>
    <t>4x4-picture-books-f (#11)</t>
  </si>
  <si>
    <t>Abdul's Story</t>
  </si>
  <si>
    <t>Jamilah Thompkins-Bigelow</t>
  </si>
  <si>
    <t>Thompkins-Bigelow, Jamilah</t>
  </si>
  <si>
    <t>Tiffany   Rose</t>
  </si>
  <si>
    <t>teacher-grants (#88)</t>
  </si>
  <si>
    <t>Your Name Is a Song</t>
  </si>
  <si>
    <t>Innovation Press</t>
  </si>
  <si>
    <t>teacher-grants (#69)</t>
  </si>
  <si>
    <t>Twas Nochebuena</t>
  </si>
  <si>
    <t>Roseanne Thong</t>
  </si>
  <si>
    <t>Thong, Roseanne</t>
  </si>
  <si>
    <t>Sara Palacios</t>
  </si>
  <si>
    <t>4x4-picture-books-g (#75)</t>
  </si>
  <si>
    <t>One Is a Piñata: A Book of Numbers</t>
  </si>
  <si>
    <t>John Parra</t>
  </si>
  <si>
    <t>4x4-picture-books-c (#3)</t>
  </si>
  <si>
    <t>Nosotros Means Us: Un cuento bilingüe / A Bilingual Story</t>
  </si>
  <si>
    <t>Paloma Valdivia</t>
  </si>
  <si>
    <t>Valdivia, Paloma</t>
  </si>
  <si>
    <t>4x4-picture-books-g (#46)</t>
  </si>
  <si>
    <t>El peor Teddy del mundo (The Worst Teddy Ever) (Spanish Edition)</t>
  </si>
  <si>
    <t>Marcelo Verdad</t>
  </si>
  <si>
    <t>Verdad, Marcelo</t>
  </si>
  <si>
    <t>4x4-picture-books-g (#6)</t>
  </si>
  <si>
    <t>Young Charlotte, Filmmaker: A Picture Book</t>
  </si>
  <si>
    <t>Frank Viva</t>
  </si>
  <si>
    <t>Viva, Frank</t>
  </si>
  <si>
    <t>Museum of Modern Art, New York</t>
  </si>
  <si>
    <t>4x4-picture-books-o (#8)</t>
  </si>
  <si>
    <t>How to Catch a Dinosaur</t>
  </si>
  <si>
    <t>backpacks_dinosaurs-dragons (#7)</t>
  </si>
  <si>
    <t>I Spy Treasure Hunt: A Book of Picture Riddles</t>
  </si>
  <si>
    <t>4x4-picture-books-a (#12)</t>
  </si>
  <si>
    <t>I Spy Gold Challenger! A Book of Picture Riddles</t>
  </si>
  <si>
    <t>4x4-picture-books-a (#5)</t>
  </si>
  <si>
    <t>Dragons Are the Worst! (...Are the Worst! #2)</t>
  </si>
  <si>
    <t>Alex Willan</t>
  </si>
  <si>
    <t>Willan, Alex</t>
  </si>
  <si>
    <t>backpacks_dinosaurs-dragons (#2)</t>
  </si>
  <si>
    <t>Knuffle Bunny: A Cautionary Tale (Knuffle Bunny, #1)</t>
  </si>
  <si>
    <t>Walker Books Ltd</t>
  </si>
  <si>
    <t>5x5-picture-books-f (#42)</t>
  </si>
  <si>
    <t>The Pigeon Has to Go to School (Pigeon, #9)</t>
  </si>
  <si>
    <t>5x5-picture-books-f (#17)</t>
  </si>
  <si>
    <t>Don't Let the Pigeon Drive the Bus! (Pigeon, #1)</t>
  </si>
  <si>
    <t>5x5-picture-books-f (#41)</t>
  </si>
  <si>
    <t>Don't Let the Pigeon Stay Up Late! (Pigeon, #5)</t>
  </si>
  <si>
    <t>Hyperion Books for Children</t>
  </si>
  <si>
    <t>5x5-picture-books-f (#40)</t>
  </si>
  <si>
    <t>The Pigeon Needs a Bath! (Pigeon, #8)</t>
  </si>
  <si>
    <t>5x5-picture-books-f (#38)</t>
  </si>
  <si>
    <t>The Pigeon Wants a Puppy! (Pigeon, #6)</t>
  </si>
  <si>
    <t>5x5-picture-books_k, 5x5-picture-books-f</t>
  </si>
  <si>
    <t>5x5-picture-books_k (#1), 5x5-picture-books-f (#39)</t>
  </si>
  <si>
    <t>Goldilocks and the Three Dinosaurs</t>
  </si>
  <si>
    <t>Balzer + Bray</t>
  </si>
  <si>
    <t>4x4-picture-books-f (#27)</t>
  </si>
  <si>
    <t>Coolies</t>
  </si>
  <si>
    <t>Yin</t>
  </si>
  <si>
    <t>Yin, Yin</t>
  </si>
  <si>
    <t>Chris K. Soentpiet</t>
  </si>
  <si>
    <t>4x4-picture-books-k (#20)</t>
  </si>
  <si>
    <t>Found (Bear and Bunny)</t>
  </si>
  <si>
    <t>Salina Yoon</t>
  </si>
  <si>
    <t>Yoon, Salina</t>
  </si>
  <si>
    <t>Walker Childrens</t>
  </si>
  <si>
    <t>4x4-picture-books-j (#6)</t>
  </si>
  <si>
    <t>We're Different, We're the Same (Sesame Street) (Sesame Street Friends)</t>
  </si>
  <si>
    <t>Bobbi Jane Kates</t>
  </si>
  <si>
    <t>Kates, Bobbi Jane</t>
  </si>
  <si>
    <t>4x4-picture-books-i (#31)</t>
  </si>
  <si>
    <t>PAULO'S PARACHUTE MISSION, AN AEROSPACE ENGINEERING STORY</t>
  </si>
  <si>
    <t>Emily Mitchell</t>
  </si>
  <si>
    <t>Mitchell, Emily</t>
  </si>
  <si>
    <t>Keith Favazza</t>
  </si>
  <si>
    <t>MUSEUM OF SCIENCE</t>
  </si>
  <si>
    <t>closet_math-and-science (#15)</t>
  </si>
  <si>
    <t>Javier Builds a Bridge: A Civil Engineering Story</t>
  </si>
  <si>
    <t>Boston Museum of Science</t>
  </si>
  <si>
    <t>Science, Boston Museum of</t>
  </si>
  <si>
    <t>closet_math-and-science (#8)</t>
  </si>
  <si>
    <t>Leif Catches the Wind: A Mechanical Engineering Story</t>
  </si>
  <si>
    <t>closet_math-and-science (#12)</t>
  </si>
  <si>
    <t>Museum of Science Yi Min's Great Wall: A Materials Engineering Story</t>
  </si>
  <si>
    <t>closet_math-and-science (#2)</t>
  </si>
  <si>
    <t>Wombats (Elementary Explorers)</t>
  </si>
  <si>
    <t>Victoria Blakemore</t>
  </si>
  <si>
    <t>Blakemore, Victoria</t>
  </si>
  <si>
    <t>teacher-grants (#13)</t>
  </si>
  <si>
    <t>Flat Stanely</t>
  </si>
  <si>
    <t>Non Applicable</t>
  </si>
  <si>
    <t>4-x-4-early-elem-chapter-books_d (#18)</t>
  </si>
  <si>
    <t>Today I Feel Silly: And Other Moods That Make My Day</t>
  </si>
  <si>
    <t>4x4-picture-books-j (#50)</t>
  </si>
  <si>
    <t>Olivia's Doctor Adventures</t>
  </si>
  <si>
    <t>Ashley Denmark</t>
  </si>
  <si>
    <t>Denmark, Ashley</t>
  </si>
  <si>
    <t>4x4-picture-books-p (#13)</t>
  </si>
  <si>
    <t>Island Born</t>
  </si>
  <si>
    <t>Junot Díaz</t>
  </si>
  <si>
    <t>Díaz, Junot</t>
  </si>
  <si>
    <t>4x4-picture-books-h (#3)</t>
  </si>
  <si>
    <t>Let's Talk About Body Boundaries, Consent and Respect: Teach Children About Body Ownership, Respect, Feelings, Choices and Recognizing Bullying Behaviors</t>
  </si>
  <si>
    <t>Jayneen Sanders</t>
  </si>
  <si>
    <t>Sanders, Jayneen</t>
  </si>
  <si>
    <t>Sarah Jennings</t>
  </si>
  <si>
    <t>Educate2empower Publishing</t>
  </si>
  <si>
    <t>teacher-grants (#39)</t>
  </si>
  <si>
    <t>Build Your Own Superheroes Sticker Book (Build Your Own Sticker Book)</t>
  </si>
  <si>
    <t>Simon Tudhope</t>
  </si>
  <si>
    <t>Tudhope, Simon</t>
  </si>
  <si>
    <t>Reza Ilyasa</t>
  </si>
  <si>
    <t>closet_coloring-and-sticker-books (#20)</t>
  </si>
  <si>
    <t>Knuffle Bunny Too: A Case of Mistaken Identity (Knuffle Bunny, #2)</t>
  </si>
  <si>
    <t>5x5-picture-books-f (#44)</t>
  </si>
  <si>
    <t>Mariana Becomes a Butterfly: An Agricultural Engineering Story</t>
  </si>
  <si>
    <t>closet_math-and-science (#9)</t>
  </si>
  <si>
    <t>Erik's Unexpected Twist: A Biomedical Engineering Story</t>
  </si>
  <si>
    <t>The Engineering is Elementary Team</t>
  </si>
  <si>
    <t>Team, The Engineering is Elementary</t>
  </si>
  <si>
    <t>closet_math-and-science (#11)</t>
  </si>
  <si>
    <t>Madeline</t>
  </si>
  <si>
    <t>London: Hippo</t>
  </si>
  <si>
    <t>5x5-picture-books_k (#2)</t>
  </si>
  <si>
    <t>Abuela</t>
  </si>
  <si>
    <t>Arthur Dorros</t>
  </si>
  <si>
    <t>Dorros, Arthur</t>
  </si>
  <si>
    <t>Elisa Kleven</t>
  </si>
  <si>
    <t>4x4-picture-books-h (#2), 4x4-picture-books-l (#20)</t>
  </si>
  <si>
    <t>Olivia Saves the Circus (Olivia, #2)</t>
  </si>
  <si>
    <t>Ian Falconer</t>
  </si>
  <si>
    <t>Falconer, Ian</t>
  </si>
  <si>
    <t>5x5-picture-books_k (#9)</t>
  </si>
  <si>
    <t>Building Numbers: Learn Addition and Subtraction With These Giant Construction Machines</t>
  </si>
  <si>
    <t>Jenny Fry</t>
  </si>
  <si>
    <t>Fry, Jenny</t>
  </si>
  <si>
    <t>4x4-picture-books-c (#2)</t>
  </si>
  <si>
    <t>Paul Bunyan: un cuento fantástico</t>
  </si>
  <si>
    <t>Morrow</t>
  </si>
  <si>
    <t>4x4-picture-books-g (#58)</t>
  </si>
  <si>
    <t>Wilma Unlimited: How Wilma Rudolph Became the World's Fastest Woman</t>
  </si>
  <si>
    <t>sports, 4x4-picture-books-p</t>
  </si>
  <si>
    <t>sports (#2), 4x4-picture-books-p (#18)</t>
  </si>
  <si>
    <t>Wave</t>
  </si>
  <si>
    <t>Suzy Lee</t>
  </si>
  <si>
    <t>Lee, Suzy</t>
  </si>
  <si>
    <t>4x4-picture-books-d (#2)</t>
  </si>
  <si>
    <t>How I Became a Pirate</t>
  </si>
  <si>
    <t>Melinda Long</t>
  </si>
  <si>
    <t>Long, Melinda</t>
  </si>
  <si>
    <t>5x5-picture-books_n (#17)</t>
  </si>
  <si>
    <t>Pirates Don't Change Diapers</t>
  </si>
  <si>
    <t>5x5-picture-books_n (#15)</t>
  </si>
  <si>
    <t>Across the Big Country An Alphabet Adventure with Donald Duck</t>
  </si>
  <si>
    <t>G. Harrison Olesen</t>
  </si>
  <si>
    <t>Olesen, G. Harrison</t>
  </si>
  <si>
    <t>to-read (#164), 5x5-picture-books-e (#36)</t>
  </si>
  <si>
    <t>100 Statements about Henry's Freedom Box: A True Story from the Underground Railroad That Almost Killed My Hamster</t>
  </si>
  <si>
    <t>Jake Read</t>
  </si>
  <si>
    <t>Read, Jake</t>
  </si>
  <si>
    <t>Lennex</t>
  </si>
  <si>
    <t>Mr. Putter &amp; Tabby Write the Book</t>
  </si>
  <si>
    <t>white-bookshelf-n (#27)</t>
  </si>
  <si>
    <t>Oh, the Places You’ll Go!</t>
  </si>
  <si>
    <t>closet_black-bin-dr-seuss, white-bookshelf-o, 5x5-picture-books_g</t>
  </si>
  <si>
    <t>closet_black-bin-dr-seuss (#21), white-bookshelf-o (#27), 5x5-picture-books_g (#26)</t>
  </si>
  <si>
    <t>Cowgirl Kate and Cocoa</t>
  </si>
  <si>
    <t>Erica Silverman</t>
  </si>
  <si>
    <t>Silverman, Erica</t>
  </si>
  <si>
    <t>montclair-high-school-sets (#4)</t>
  </si>
  <si>
    <t>What Do You Do With an Idea?</t>
  </si>
  <si>
    <t>4x4-picture-books-j (#41)</t>
  </si>
  <si>
    <t>Unbelievable Pictures and Facts About Koalas</t>
  </si>
  <si>
    <t>Olivia Greenwood</t>
  </si>
  <si>
    <t>Greenwood, Olivia</t>
  </si>
  <si>
    <t>5x5-picture-books-e (#54)</t>
  </si>
  <si>
    <t>Dinosaurs! A Spot-the-Difference Puzzle Book</t>
  </si>
  <si>
    <t>Steve Parker</t>
  </si>
  <si>
    <t>Parker, Steve</t>
  </si>
  <si>
    <t>Charles Fuge</t>
  </si>
  <si>
    <t>backpacks_dinosaurs-dragons (#4)</t>
  </si>
  <si>
    <t>Otto's Grand Symmetry Tour</t>
  </si>
  <si>
    <t>Jillian Schrager</t>
  </si>
  <si>
    <t>Schrager, Jillian</t>
  </si>
  <si>
    <t>KiwiCo Press</t>
  </si>
  <si>
    <t>4x4-picture-books-c (#9)</t>
  </si>
  <si>
    <t>Juan Daniel's Futbol Frog: A Bioengineering Story</t>
  </si>
  <si>
    <t>closet_math-and-science (#3)</t>
  </si>
  <si>
    <t>Lerato Cooks Up a Plan</t>
  </si>
  <si>
    <t>Ross Sullivan-Wiley</t>
  </si>
  <si>
    <t>closet_math-and-science (#1)</t>
  </si>
  <si>
    <t>Oh say can you say di-no-saur?</t>
  </si>
  <si>
    <t>Bonnie Worth</t>
  </si>
  <si>
    <t>Worth, Bonnie</t>
  </si>
  <si>
    <t>closet_black-bin-dr-seuss (#15)</t>
  </si>
  <si>
    <t>Stellaluna</t>
  </si>
  <si>
    <t>Janell Cannon</t>
  </si>
  <si>
    <t>Cannon, Janell</t>
  </si>
  <si>
    <t>Harcourt Brace Jovanovich</t>
  </si>
  <si>
    <t>picture-books (#16)</t>
  </si>
  <si>
    <t>I Can Read About the Sun and Other Stars</t>
  </si>
  <si>
    <t>Richard           Harris</t>
  </si>
  <si>
    <t>Harris, Richard</t>
  </si>
  <si>
    <t>4x4-picture-books-d (#24)</t>
  </si>
  <si>
    <t>Hummer Bummer Bee Has Lost His Buzzz!</t>
  </si>
  <si>
    <t>Libbe Leah</t>
  </si>
  <si>
    <t>Leah, Libbe</t>
  </si>
  <si>
    <t>Raemone Lee</t>
  </si>
  <si>
    <t>Reel Culture Press</t>
  </si>
  <si>
    <t>4x4-picture-books-c (#13)</t>
  </si>
  <si>
    <t>Henry's Awful Mistake</t>
  </si>
  <si>
    <t>Robert M. Quackenbush</t>
  </si>
  <si>
    <t>Quackenbush, Robert M.</t>
  </si>
  <si>
    <t>Dutton Childrens Books</t>
  </si>
  <si>
    <t>picture-books (#2)</t>
  </si>
  <si>
    <t>Robo-Sauce</t>
  </si>
  <si>
    <t>4x4-picture-books-d (#23)</t>
  </si>
  <si>
    <t>Jack Frost vs. The Abominable Snowman</t>
  </si>
  <si>
    <t>Craig Manning</t>
  </si>
  <si>
    <t>Manning, Craig</t>
  </si>
  <si>
    <t>white-bookshelf-k (#20), 5x5-picture-books-c (#68)</t>
  </si>
  <si>
    <t>Hikaru's Toy Troubles: A Transportation Engineering Story</t>
  </si>
  <si>
    <t>closet_math-and-science (#6)</t>
  </si>
  <si>
    <t>Muu, Moo! Rimas de animales/Animal Nursery Rhymes: Bilingual English-Spanish (Spanish Edition)</t>
  </si>
  <si>
    <t>F. Isabel Campoy, Alma Flor Ada</t>
  </si>
  <si>
    <t>4x4-picture-books-e (#49)</t>
  </si>
  <si>
    <t>A Crack in the Track (Thomas &amp; Friends) (Beginner Books(R))</t>
  </si>
  <si>
    <t>The Blind Men and the Elephant (Hello Reader!, Level 3)</t>
  </si>
  <si>
    <t>Karen Backstein</t>
  </si>
  <si>
    <t>Backstein, Karen</t>
  </si>
  <si>
    <t>Annie Mitra</t>
  </si>
  <si>
    <t>montclair-high-school-sets (#6)</t>
  </si>
  <si>
    <t>20 Questions #2: Why Do Zebras Have Stripes?</t>
  </si>
  <si>
    <t>Melvin Berger</t>
  </si>
  <si>
    <t>Berger, Melvin</t>
  </si>
  <si>
    <t>white-bookshelf-j (#11), to-read (#150), 5x5-picture-books-e (#23)</t>
  </si>
  <si>
    <t>Does It Always Rain in the Rain Forest? (Scholastic Question &amp; Answer)</t>
  </si>
  <si>
    <t>Gilda Berger, Michael Rothman</t>
  </si>
  <si>
    <t>picture-books-about-animals (#19)</t>
  </si>
  <si>
    <t>Snakes</t>
  </si>
  <si>
    <t>Nic Bishop</t>
  </si>
  <si>
    <t>Bishop, Nic</t>
  </si>
  <si>
    <t>backpacks_insects (#7)</t>
  </si>
  <si>
    <t>The Runaway Bunny</t>
  </si>
  <si>
    <t>4x4-picture-books-d (#10)</t>
  </si>
  <si>
    <t>State Shapes: California</t>
  </si>
  <si>
    <t>Erik Bruun</t>
  </si>
  <si>
    <t>Bruun, Erik</t>
  </si>
  <si>
    <t>Rick Peterson</t>
  </si>
  <si>
    <t>Workman Kids</t>
  </si>
  <si>
    <t>white-bookshelf-l, 5x5-picture-books_m</t>
  </si>
  <si>
    <t>white-bookshelf-l (#9), 5x5-picture-books_m (#1)</t>
  </si>
  <si>
    <t>State Shapes : Texas</t>
  </si>
  <si>
    <t>white-bookshelf-i, 5x5-picture-books_m</t>
  </si>
  <si>
    <t>white-bookshelf-i (#15), 5x5-picture-books_m (#9)</t>
  </si>
  <si>
    <t>Pinduli</t>
  </si>
  <si>
    <t>1-x-4_spanish-picture-books_a (#24)</t>
  </si>
  <si>
    <t>The Founding Mothers of the United States (A True Book)</t>
  </si>
  <si>
    <t>Selene Castrovilla</t>
  </si>
  <si>
    <t>Castrovilla, Selene</t>
  </si>
  <si>
    <t>4x4-picture-books-o (#6)</t>
  </si>
  <si>
    <t>Women and the Right to Vote (A True Book) (A True Book (Relaunch))</t>
  </si>
  <si>
    <t>Cynthia Chin-Lee</t>
  </si>
  <si>
    <t>Chin-Lee, Cynthia</t>
  </si>
  <si>
    <t>4x4-picture-books-o (#7)</t>
  </si>
  <si>
    <t>The Diwali Gift</t>
  </si>
  <si>
    <t>Shweta Chopra</t>
  </si>
  <si>
    <t>Chopra, Shweta</t>
  </si>
  <si>
    <t>Shuchi Mehta, Anna Koan</t>
  </si>
  <si>
    <t>3 Curious Monkeys</t>
  </si>
  <si>
    <t>closet-black-bin-holiday (#1)</t>
  </si>
  <si>
    <t>The Magic School Bus on the Ocean Floor</t>
  </si>
  <si>
    <t>ocean (#4)</t>
  </si>
  <si>
    <t>The Magic School Bus Explores the Senses (The Magic School Bus, #10)</t>
  </si>
  <si>
    <t>4x4-picture-books-c (#27)</t>
  </si>
  <si>
    <t>the magic school bus in the time of the dinosaurs</t>
  </si>
  <si>
    <t>4x4-picture-books-c (#23)</t>
  </si>
  <si>
    <t>Hungry, Hungry Sharks! (Step Into Reading)</t>
  </si>
  <si>
    <t>Patricia Wynne</t>
  </si>
  <si>
    <t>ocean, leveled-readers-3</t>
  </si>
  <si>
    <t>ocean (#1), leveled-readers-3 (#9)</t>
  </si>
  <si>
    <t>Frozen. Un cuento para cada vocal: a, e, i, o, u (Leo con Disney Nivel 1)</t>
  </si>
  <si>
    <t>CLIPER PLUS</t>
  </si>
  <si>
    <t>4x4-picture-books-g (#44)</t>
  </si>
  <si>
    <t>My Painted House, My Friendly Chicken, and Me</t>
  </si>
  <si>
    <t>Margaret Courtney-Clarke</t>
  </si>
  <si>
    <t>Courtney-Clarke, Margaret</t>
  </si>
  <si>
    <t>Maya Angelou</t>
  </si>
  <si>
    <t>4x4-picture-books-k (#33)</t>
  </si>
  <si>
    <t>The Backyard Bug Book for Kids: Storybook, Insect Facts, and Activities</t>
  </si>
  <si>
    <t>Lauren Davidson</t>
  </si>
  <si>
    <t>Davidson, Lauren</t>
  </si>
  <si>
    <t>Rockridge Press</t>
  </si>
  <si>
    <t>teacher-grants (#4)</t>
  </si>
  <si>
    <t>The Day the Crayons Came Home (Crayons)</t>
  </si>
  <si>
    <t>4x4-picture-books-d (#20)</t>
  </si>
  <si>
    <t>Diana Princess of Wales (A True Book: Queens and Princesses)</t>
  </si>
  <si>
    <t>Robin S. Doak</t>
  </si>
  <si>
    <t>Doak, Robin S.</t>
  </si>
  <si>
    <t>4x4-picture-books-o (#4)</t>
  </si>
  <si>
    <t>Ghost and Pete (Step into Reading, Step 2, paper)</t>
  </si>
  <si>
    <t>Dayle Ann Dodds</t>
  </si>
  <si>
    <t>Dodds, Dayle Ann</t>
  </si>
  <si>
    <t>Matt Novak</t>
  </si>
  <si>
    <t>closet-black-bin-holiday (#45)</t>
  </si>
  <si>
    <t>LEGO Star Wars: Revenge of the Sith</t>
  </si>
  <si>
    <t>Elizabeth Dowsett</t>
  </si>
  <si>
    <t>Dowsett, Elizabeth</t>
  </si>
  <si>
    <t>leveled-readers-3 (#1)</t>
  </si>
  <si>
    <t>Women in the Old West (A True Book)</t>
  </si>
  <si>
    <t>Marti Dumas</t>
  </si>
  <si>
    <t>Dumas, Marti</t>
  </si>
  <si>
    <t>4x4-picture-books-p (#10)</t>
  </si>
  <si>
    <t>Despicable ME2 Color &amp; Trace (Includes Stickers) With Big Pictures to Color &amp; Trace</t>
  </si>
  <si>
    <t>Entertainment, Illumination</t>
  </si>
  <si>
    <t>Bendon</t>
  </si>
  <si>
    <t>Staple Bound</t>
  </si>
  <si>
    <t>closet_coloring-and-sticker-books (#15)</t>
  </si>
  <si>
    <t>Olivia Forms a Band (Olivia, #4)</t>
  </si>
  <si>
    <t>Simon &amp; Schuster Children's</t>
  </si>
  <si>
    <t>5x5-picture-books_k (#10)</t>
  </si>
  <si>
    <t>The Night Gardener</t>
  </si>
  <si>
    <t>Terry Fan</t>
  </si>
  <si>
    <t>Fan, Terry</t>
  </si>
  <si>
    <t>Eric Fan</t>
  </si>
  <si>
    <t>4x4-picture-books-d (#18)</t>
  </si>
  <si>
    <t>It Fell from the Sky</t>
  </si>
  <si>
    <t>4x4-picture-books-d (#11)</t>
  </si>
  <si>
    <t>Animals in Danger (A True Book: Understanding Climate Change)</t>
  </si>
  <si>
    <t>Katie Free</t>
  </si>
  <si>
    <t>Free, Katie</t>
  </si>
  <si>
    <t>4x4-picture-books-c (#43)</t>
  </si>
  <si>
    <t>Wildfires (National Geographic Readers)</t>
  </si>
  <si>
    <t>Kathy Furgang</t>
  </si>
  <si>
    <t>Furgang, Kathy</t>
  </si>
  <si>
    <t>closet_math-and-science (#23)</t>
  </si>
  <si>
    <t>The Little Red Hen: A Folk Tale Classic</t>
  </si>
  <si>
    <t>4x4-picture-books-f (#24)</t>
  </si>
  <si>
    <t>So You Want to Be President?</t>
  </si>
  <si>
    <t>Judith St. George</t>
  </si>
  <si>
    <t>George, Judith St.</t>
  </si>
  <si>
    <t>historical-figures, 5x5-picture-books_j</t>
  </si>
  <si>
    <t>historical-figures (#4), 5x5-picture-books_j (#5)</t>
  </si>
  <si>
    <t>Lego Star Wars: Return of the Jedi (DK Readers L3)</t>
  </si>
  <si>
    <t>leveled-readers-3 (#6)</t>
  </si>
  <si>
    <t>Women in the Civil Rights Movement (A True Book) (A True Book (Relaunch))</t>
  </si>
  <si>
    <t>Kesha Grant</t>
  </si>
  <si>
    <t>Grant, Kesha</t>
  </si>
  <si>
    <t>4x4-picture-books-o (#3)</t>
  </si>
  <si>
    <t>I Can Build It!: An Acorn Book</t>
  </si>
  <si>
    <t>Kelly Greenawalt</t>
  </si>
  <si>
    <t>Greenawalt, Kelly</t>
  </si>
  <si>
    <t>Amariah Rauscher</t>
  </si>
  <si>
    <t>4-x-4-early-elem-chapter-books_j (#9)</t>
  </si>
  <si>
    <t>I Am a Super Girl!: An Acorn Book (Princess Truly #1)</t>
  </si>
  <si>
    <t>4-x-4-early-elem-chapter-books_j (#8)</t>
  </si>
  <si>
    <t>Barack Obama: Son of Promise, Child of Hope</t>
  </si>
  <si>
    <t>Nikki Grimes</t>
  </si>
  <si>
    <t>Grimes, Nikki</t>
  </si>
  <si>
    <t>4x4-picture-books-k (#38)</t>
  </si>
  <si>
    <t>The Greenhouse Effect (A True Book: Understanding Climate Change)</t>
  </si>
  <si>
    <t>Mara Grunbaum</t>
  </si>
  <si>
    <t>Grunbaum, Mara</t>
  </si>
  <si>
    <t>4x4-picture-books-c (#42)</t>
  </si>
  <si>
    <t>Itty-Bitty Kitty-Corn (Kitty-Corn #1)</t>
  </si>
  <si>
    <t>Shannon Hale</t>
  </si>
  <si>
    <t>Hale, Shannon</t>
  </si>
  <si>
    <t>LeUyen Pham</t>
  </si>
  <si>
    <t>white-bookshelf-n (#1), to-read (#120), 5x5-picture-books-d (#42)</t>
  </si>
  <si>
    <t>Buzzing with Questions: The Inquisitive Mind of Charles Henry Turner</t>
  </si>
  <si>
    <t>Janice N. Harrington</t>
  </si>
  <si>
    <t>Harrington, Janice N.</t>
  </si>
  <si>
    <t>Theodore Taylor III</t>
  </si>
  <si>
    <t>Calkins Creek</t>
  </si>
  <si>
    <t>teacher-grants (#53)</t>
  </si>
  <si>
    <t>Building (Make It Work! Science)</t>
  </si>
  <si>
    <t>Andrew Haslam</t>
  </si>
  <si>
    <t>Haslam, Andrew</t>
  </si>
  <si>
    <t>Cooper Square Publishing Llc</t>
  </si>
  <si>
    <t>closet_math-and-science (#18)</t>
  </si>
  <si>
    <t>L. Frank Baum's The Wonderful Wizard of Oz (Penguin Young Readers, Level 4)</t>
  </si>
  <si>
    <t>Deborah Hautzig</t>
  </si>
  <si>
    <t>Hautzig, Deborah</t>
  </si>
  <si>
    <t>Robin Robinson, L. Frank Baum</t>
  </si>
  <si>
    <t>leveled-readers-4, 5x5-middle-chapter-books_b</t>
  </si>
  <si>
    <t>leveled-readers-4 (#2), 5x5-middle-chapter-books_b (#5)</t>
  </si>
  <si>
    <t>Little Witch's Big Night</t>
  </si>
  <si>
    <t>closet-black-bin-holiday (#46)</t>
  </si>
  <si>
    <t>Plum</t>
  </si>
  <si>
    <t>Sean Hayes</t>
  </si>
  <si>
    <t>Hayes, Sean</t>
  </si>
  <si>
    <t>Scott Icenogle, Robin Thompson</t>
  </si>
  <si>
    <t>5x5-picture-books-b (#53)</t>
  </si>
  <si>
    <t>The Boy Who Loved Math: The Improbable Life of Paul Erdos</t>
  </si>
  <si>
    <t>Deborah Heiligman</t>
  </si>
  <si>
    <t>Heiligman, Deborah</t>
  </si>
  <si>
    <t>4x4-picture-books-h (#16)</t>
  </si>
  <si>
    <t>Flat Stanley &amp; the Haunted House: Level 2 (Reading Ladder)</t>
  </si>
  <si>
    <t>Jeff Brown, Jon Mitchell</t>
  </si>
  <si>
    <t>Egmont UK</t>
  </si>
  <si>
    <t>leveled-readers-2 (#63)</t>
  </si>
  <si>
    <t>Langston Hughes (Poetry for Young People, #20)</t>
  </si>
  <si>
    <t>Langston Hughes</t>
  </si>
  <si>
    <t>Hughes, Langston</t>
  </si>
  <si>
    <t>David Roessel, Arnold Rampersad, Benny Andrews</t>
  </si>
  <si>
    <t>4x4-picture-books-e (#9)</t>
  </si>
  <si>
    <t>Helen Keller: Courage in the Dark (Step Into Reading)</t>
  </si>
  <si>
    <t>Johanna Hurwitz</t>
  </si>
  <si>
    <t>Hurwitz, Johanna</t>
  </si>
  <si>
    <t>Neverne Covington</t>
  </si>
  <si>
    <t>historical-figures</t>
  </si>
  <si>
    <t>historical-figures (#3)</t>
  </si>
  <si>
    <t>Dinosaur Bob and His Adventures with the Family Lazardo</t>
  </si>
  <si>
    <t>William Joyce</t>
  </si>
  <si>
    <t>Joyce, William</t>
  </si>
  <si>
    <t>montclair-high-school-sets (#3)</t>
  </si>
  <si>
    <t>The Best Seat in Second Grade: A Back to School Story for Children (Ages 4-8) (I Can Read Level 2)</t>
  </si>
  <si>
    <t>Katharine Kenah</t>
  </si>
  <si>
    <t>Kenah, Katharine</t>
  </si>
  <si>
    <t>leveled-readers-2 (#49)</t>
  </si>
  <si>
    <t>Amazing Sports and Science (TIME For Kids Book of WHY): 250 Facts Kids Want to Know (TIME for Kids Big Books of WHY)</t>
  </si>
  <si>
    <t>TIME for Kids</t>
  </si>
  <si>
    <t>Kids, TIME for</t>
  </si>
  <si>
    <t>Liberty Street</t>
  </si>
  <si>
    <t>4x4-picture-books-c (#40)</t>
  </si>
  <si>
    <t>Stellar Space (Time for Kids Book of Why)</t>
  </si>
  <si>
    <t>Time for Kids Books</t>
  </si>
  <si>
    <t>4x4-picture-books-c (#39)</t>
  </si>
  <si>
    <t>Zelda and Ivy and the Boy Next Door (Zelda and Ivy #2)</t>
  </si>
  <si>
    <t>Laura McGee Kvasnosky</t>
  </si>
  <si>
    <t>Kvasnosky, Laura McGee</t>
  </si>
  <si>
    <t>5x5-picture-books-a (#27), to-read (#28)</t>
  </si>
  <si>
    <t>Because of Winn-Dixie Movie Scrapbook</t>
  </si>
  <si>
    <t>Jean K. Kwon</t>
  </si>
  <si>
    <t>Kwon, Jean K.</t>
  </si>
  <si>
    <t>Suzanne Tenner</t>
  </si>
  <si>
    <t>Ninjas Mad Libs: World's Greatest Word Game</t>
  </si>
  <si>
    <t>Mad Libs</t>
  </si>
  <si>
    <t>Libs, Mad</t>
  </si>
  <si>
    <t>Leonard Stern</t>
  </si>
  <si>
    <t>mad-libs-word-games (#4)</t>
  </si>
  <si>
    <t>New Tricks I Can Do!</t>
  </si>
  <si>
    <t>Robert Lopshire</t>
  </si>
  <si>
    <t>Lopshire, Robert</t>
  </si>
  <si>
    <t>closet_black-bin-dr-seuss (#4)</t>
  </si>
  <si>
    <t>Patricia's Vision: The Doctor Who Saved Sight (People Who Shaped Our World, 7)</t>
  </si>
  <si>
    <t>Michelle   Lord</t>
  </si>
  <si>
    <t>Lord, Michelle</t>
  </si>
  <si>
    <t>Alleanna Harris</t>
  </si>
  <si>
    <t>teacher-grants (#46)</t>
  </si>
  <si>
    <t>Soccer Show-Off (Jake Maddox Girl Sports Stories)</t>
  </si>
  <si>
    <t>Jake Maddox</t>
  </si>
  <si>
    <t>Maddox, Jake</t>
  </si>
  <si>
    <t>Katie Wood, Margaret Gurevich</t>
  </si>
  <si>
    <t>Stone Arch Books</t>
  </si>
  <si>
    <t>closet_late-elem_chapter-books (#114)</t>
  </si>
  <si>
    <t>Madeline at the White House</t>
  </si>
  <si>
    <t>John Bemelmans Marciano</t>
  </si>
  <si>
    <t>Marciano, John Bemelmans</t>
  </si>
  <si>
    <t>5x5-picture-books_k (#8)</t>
  </si>
  <si>
    <t>Fox at School (Fox and His Friends, #3)</t>
  </si>
  <si>
    <t>Edward     Marshall</t>
  </si>
  <si>
    <t>Marshall, Edward</t>
  </si>
  <si>
    <t>teacher-grants (#125)</t>
  </si>
  <si>
    <t>George and Martha Back in Town</t>
  </si>
  <si>
    <t>5x5-picture-books_h (#2)</t>
  </si>
  <si>
    <t>Farm Animals (National Geographic Readers: Level 1 Co-Reader)</t>
  </si>
  <si>
    <t>Joanne Mattern</t>
  </si>
  <si>
    <t>Mattern, Joanne</t>
  </si>
  <si>
    <t>to-read (#174), 5x5-picture-books-e (#46)</t>
  </si>
  <si>
    <t>Bats: Creatures of the Night</t>
  </si>
  <si>
    <t>Joyce Milton</t>
  </si>
  <si>
    <t>Milton, Joyce</t>
  </si>
  <si>
    <t>to-read (#173), 5x5-picture-books-e (#45)</t>
  </si>
  <si>
    <t>How Big Is a Foot? (Rise and Shine)</t>
  </si>
  <si>
    <t>Rolf Myller</t>
  </si>
  <si>
    <t>Myller, Rolf</t>
  </si>
  <si>
    <t>Yearling</t>
  </si>
  <si>
    <t>4x4-picture-books-c (#5)</t>
  </si>
  <si>
    <t>Volcanoes: Mountains That Blow Their Tops (All Aboard Reading-Level 2)</t>
  </si>
  <si>
    <t>Nicholas Nirgiotis</t>
  </si>
  <si>
    <t>Nirgiotis, Nicholas</t>
  </si>
  <si>
    <t>Michael Radencich</t>
  </si>
  <si>
    <t>4x4-picture-books-c (#35)</t>
  </si>
  <si>
    <t>The Book with No Pictures</t>
  </si>
  <si>
    <t>B.J. Novak</t>
  </si>
  <si>
    <t>Novak, B.J.</t>
  </si>
  <si>
    <t>4x4-picture-books-b (#2)</t>
  </si>
  <si>
    <t>Sulwe</t>
  </si>
  <si>
    <t>Lupita Nyong'o</t>
  </si>
  <si>
    <t>Nyong'o, Lupita</t>
  </si>
  <si>
    <t>teacher-grants (#91)</t>
  </si>
  <si>
    <t>Wolves</t>
  </si>
  <si>
    <t>5x5-picture-books-e (#82)</t>
  </si>
  <si>
    <t>Nefertiti (A True Book: Queens and Princesses)</t>
  </si>
  <si>
    <t>Katie Parker</t>
  </si>
  <si>
    <t>Parker, Katie</t>
  </si>
  <si>
    <t>4x4-picture-books-o (#5)</t>
  </si>
  <si>
    <t>Saving the Day: Garrett Morgan's Life-Changing Invention of the Traffic Signal (A Sweet Blackberry Book)</t>
  </si>
  <si>
    <t>Karyn Parsons</t>
  </si>
  <si>
    <t>Parsons, Karyn</t>
  </si>
  <si>
    <t>teacher-grants (#43)</t>
  </si>
  <si>
    <t>LEGO® DC Comics Super Heroes: Amazing Battles! (DK Readers L2)</t>
  </si>
  <si>
    <t>Rosie Peet</t>
  </si>
  <si>
    <t>Peet, Rosie</t>
  </si>
  <si>
    <t>leveled-readers-2 (#91)</t>
  </si>
  <si>
    <t>Dragon's Fat Cat</t>
  </si>
  <si>
    <t>4-x-4-early-elem-chapter-books_j (#7)</t>
  </si>
  <si>
    <t>The Little Engine That Could</t>
  </si>
  <si>
    <t>Watty Piper</t>
  </si>
  <si>
    <t>Piper, Watty</t>
  </si>
  <si>
    <t>George Hauman, Doris Hauman</t>
  </si>
  <si>
    <t>Platt &amp; Munk</t>
  </si>
  <si>
    <t>5x5-picture-books-a (#30)</t>
  </si>
  <si>
    <t>Rocks and Minerals (New True Books)</t>
  </si>
  <si>
    <t>Illa Podendorf</t>
  </si>
  <si>
    <t>Podendorf, Illa</t>
  </si>
  <si>
    <t>4x4-picture-books-c (#34)</t>
  </si>
  <si>
    <t>My Parents Think I'm Sleeping (I Can Read Book 3)</t>
  </si>
  <si>
    <t>Jack Prelutsky</t>
  </si>
  <si>
    <t>Prelutsky, Jack</t>
  </si>
  <si>
    <t>Yossi Abolafia</t>
  </si>
  <si>
    <t>leveled-readers-3 (#4)</t>
  </si>
  <si>
    <t>Super Silly Mad Libs Junior: World's Greatest Word Game</t>
  </si>
  <si>
    <t>mad-libs-word-games (#8)</t>
  </si>
  <si>
    <t>Mad Libs on the Road: World's Greatest Word Game</t>
  </si>
  <si>
    <t>mad-libs-word-games (#6)</t>
  </si>
  <si>
    <t>Happily Ever Mad Libs: World's Greatest Word Game</t>
  </si>
  <si>
    <t>Leonard  Stern, Leonard Stern</t>
  </si>
  <si>
    <t>mad-libs-word-games (#3)</t>
  </si>
  <si>
    <t>Goofy Mad Libs, Vol. 5</t>
  </si>
  <si>
    <t>Penguin Group (USA)</t>
  </si>
  <si>
    <t>mad-libs-word-games (#2)</t>
  </si>
  <si>
    <t>The Old Truck</t>
  </si>
  <si>
    <t>Jarrett Pumphrey</t>
  </si>
  <si>
    <t>Pumphrey, Jarrett</t>
  </si>
  <si>
    <t>Jerome Pumphrey</t>
  </si>
  <si>
    <t>Norton Young Readers</t>
  </si>
  <si>
    <t>picture-books, to-read, 5x5-picture-books-d</t>
  </si>
  <si>
    <t>picture-books (#3), to-read (#114), 5x5-picture-books-d (#35)</t>
  </si>
  <si>
    <t>Batbaby Finds a Home (Step-Into-Reading, Step 3)</t>
  </si>
  <si>
    <t>montclair-high-school-sets (#10)</t>
  </si>
  <si>
    <t>Is a Camel a Mammal? (Cat in the Hat's Learning Library)</t>
  </si>
  <si>
    <t>5x5-picture-books_g (#17)</t>
  </si>
  <si>
    <t>Oh, The Pets You Can Get!</t>
  </si>
  <si>
    <t>Joe Mathieu, Aristides Ruiz</t>
  </si>
  <si>
    <t>closet_black-bin-dr-seuss (#27)</t>
  </si>
  <si>
    <t>There's a Map on My Lap!: All About Maps</t>
  </si>
  <si>
    <t>Aristides Ruiz</t>
  </si>
  <si>
    <t>white-bookshelf-l (#12)</t>
  </si>
  <si>
    <t>There's No Place Like Space: All About Our Solar System (Cat in the Hat's Learning Library)</t>
  </si>
  <si>
    <t>closet_black-bin-dr-seuss, backpacks_dr-suess, 5x5-picture-books_g</t>
  </si>
  <si>
    <t>closet_black-bin-dr-seuss (#12), backpacks_dr-suess (#11), 5x5-picture-books_g (#1)</t>
  </si>
  <si>
    <t>May I Bring a Friend?</t>
  </si>
  <si>
    <t>Beatrice Schenk de Regniers</t>
  </si>
  <si>
    <t>Regniers, Beatrice Schenk de</t>
  </si>
  <si>
    <t>Beni Montresor</t>
  </si>
  <si>
    <t>medieval, 4-x-4-early-elem-chapter-books_f</t>
  </si>
  <si>
    <t>medieval (#5), 4-x-4-early-elem-chapter-books_f (#16)</t>
  </si>
  <si>
    <t>Creepy Pair of Underwear! (Jasper Rabbit's Creepy Tales!)</t>
  </si>
  <si>
    <t>4x4-picture-books-d (#13)</t>
  </si>
  <si>
    <t>Space: Planets, Moons, Stars, and More! (Step into Reading, Step 3)</t>
  </si>
  <si>
    <t>Joe Rhatigan</t>
  </si>
  <si>
    <t>Rhatigan, Joe</t>
  </si>
  <si>
    <t>Thomas Girard</t>
  </si>
  <si>
    <t>leveled-readers-3 (#7)</t>
  </si>
  <si>
    <t>Tita y Ben: Tres Cuentos (Aggie &amp; Ben: Three Stories)</t>
  </si>
  <si>
    <t>Lori Ries</t>
  </si>
  <si>
    <t>Ries, Lori</t>
  </si>
  <si>
    <t>Frank W. Dormer</t>
  </si>
  <si>
    <t>Charlesbridge Publishing</t>
  </si>
  <si>
    <t>1-x-4-spanish-picture-books_b (#9)</t>
  </si>
  <si>
    <t>Who Pooped in the Redwoods? : Scat and Tracks for Kids</t>
  </si>
  <si>
    <t>Gary D. Robson</t>
  </si>
  <si>
    <t>Robson, Gary D.</t>
  </si>
  <si>
    <t>Robert Rath</t>
  </si>
  <si>
    <t>Farcountry Press</t>
  </si>
  <si>
    <t>backpacks_animals, 5x5-picture-books-e</t>
  </si>
  <si>
    <t>backpacks_animals (#1), 5x5-picture-books-e (#57)</t>
  </si>
  <si>
    <t>Moonpowder</t>
  </si>
  <si>
    <t>John Rocco</t>
  </si>
  <si>
    <t>Rocco, John</t>
  </si>
  <si>
    <t>picture-books (#15)</t>
  </si>
  <si>
    <t>Uni the Unicorn (Uni the Unicorn, #1)</t>
  </si>
  <si>
    <t>Brigette Barrager</t>
  </si>
  <si>
    <t>closet-sel-mix, 5x5-picture-books_i</t>
  </si>
  <si>
    <t>closet-sel-mix (#1), 5x5-picture-books_i (#4)</t>
  </si>
  <si>
    <t>Henry and Mudge and the Happy Cat (Henry and Mudge, #8)</t>
  </si>
  <si>
    <t>leveled-readers-2 (#89)</t>
  </si>
  <si>
    <t>Henry And Mudge And Annie's Good Move (Henry and Mudge, #18)</t>
  </si>
  <si>
    <t>leveled-readers-2 (#87)</t>
  </si>
  <si>
    <t>Henry and Mudge in Puddle Trouble (Henry and Mudge, #2)</t>
  </si>
  <si>
    <t>Live Oak Media</t>
  </si>
  <si>
    <t>leveled-readers-2 (#85)</t>
  </si>
  <si>
    <t>The Case of the Baffled Bear (High-Rise Private Eyes, #7)</t>
  </si>
  <si>
    <t>G. Brian Karas</t>
  </si>
  <si>
    <t>leveled-readers-2 (#1)</t>
  </si>
  <si>
    <t>Ten Eggs in a Nest (Bright &amp; Early Books(R))</t>
  </si>
  <si>
    <t>Marilyn Sadler</t>
  </si>
  <si>
    <t>Sadler, Marilyn</t>
  </si>
  <si>
    <t>Michael    Fleming</t>
  </si>
  <si>
    <t>closet_black-bin-dr-seuss (#7)</t>
  </si>
  <si>
    <t>Night Sky</t>
  </si>
  <si>
    <t>Tammi Salzano</t>
  </si>
  <si>
    <t>Salzano, Tammi</t>
  </si>
  <si>
    <t>Scholastic / Tangerine Press</t>
  </si>
  <si>
    <t>white-bookshelf-m (#30), to-read (#109), 5x5-picture-books-d (#30)</t>
  </si>
  <si>
    <t>Richard Scarry's Busy, Busy Town</t>
  </si>
  <si>
    <t>4x4-picture-books-a (#6)</t>
  </si>
  <si>
    <t>Donde viven los monstruos</t>
  </si>
  <si>
    <t>to-read, 1-x-4_spanish-picture-books_a, 4x4-picture-books-l</t>
  </si>
  <si>
    <t>to-read (#187), 1-x-4_spanish-picture-books_a (#38), 4x4-picture-books-l (#22)</t>
  </si>
  <si>
    <t>What Pet Should I Get?</t>
  </si>
  <si>
    <t>Random House Children's Books</t>
  </si>
  <si>
    <t>closet_black-bin-dr-seuss, 5x5-picture-books_g</t>
  </si>
  <si>
    <t>closet_black-bin-dr-seuss (#17), 5x5-picture-books_g (#22)</t>
  </si>
  <si>
    <t>I Am Not Going to Get up Today!</t>
  </si>
  <si>
    <t>James Stevenson</t>
  </si>
  <si>
    <t>closet_black-bin-dr-seuss (#11)</t>
  </si>
  <si>
    <t>Oh Say Can You Say?</t>
  </si>
  <si>
    <t>London : Collins, 2004.</t>
  </si>
  <si>
    <t>backpacks_dr-suess (#9)</t>
  </si>
  <si>
    <t>Nate the Great Goes Undercover</t>
  </si>
  <si>
    <t>Marjorie Weinman Sharmat</t>
  </si>
  <si>
    <t>Sharmat, Marjorie Weinman</t>
  </si>
  <si>
    <t>4-x-4-early-elem-chapter-books_g (#29)</t>
  </si>
  <si>
    <t>Snow White and the Seven Dwarfs (Usborne First Reading Level 4)</t>
  </si>
  <si>
    <t>Lesley Sims</t>
  </si>
  <si>
    <t>Sims, Lesley</t>
  </si>
  <si>
    <t>Usborne Publishing Ltd (1 Sept. 2013)</t>
  </si>
  <si>
    <t>4x4-picture-books-f (#34)</t>
  </si>
  <si>
    <t>Caps for Sale: A Tale of a Peddler, Some Monkeys and Their Monkey Business</t>
  </si>
  <si>
    <t>Esphyr Slobodkina</t>
  </si>
  <si>
    <t>Slobodkina, Esphyr</t>
  </si>
  <si>
    <t>1-x-4_spanish-picture-books_a, 4x4-picture-books-l</t>
  </si>
  <si>
    <t>1-x-4_spanish-picture-books_a (#55), 4x4-picture-books-l (#25)</t>
  </si>
  <si>
    <t>Let's Hatch Chicks!: Explore the Wonderful World of Chickens and Eggs</t>
  </si>
  <si>
    <t>Lisa   Steele</t>
  </si>
  <si>
    <t>Steele, Lisa</t>
  </si>
  <si>
    <t>Young Voyageur</t>
  </si>
  <si>
    <t>backpacks_animals (#8)</t>
  </si>
  <si>
    <t>School Rules! Mad Libs Junior: World's Greatest Word Game</t>
  </si>
  <si>
    <t>Stern, Leonard</t>
  </si>
  <si>
    <t>mad-libs-word-games (#7)</t>
  </si>
  <si>
    <t>Deadliest Animals</t>
  </si>
  <si>
    <t>to-read (#169), 5x5-picture-books-e (#41)</t>
  </si>
  <si>
    <t>Water (National Geographic Readers)</t>
  </si>
  <si>
    <t>closet_math-and-science (#24)</t>
  </si>
  <si>
    <t>Fighters</t>
  </si>
  <si>
    <t>Bernard Stonehouse</t>
  </si>
  <si>
    <t>Stonehouse, Bernard</t>
  </si>
  <si>
    <t>John Francis</t>
  </si>
  <si>
    <t>Tangerine Pr</t>
  </si>
  <si>
    <t>to-read (#152), 5x5-picture-books-e (#25)</t>
  </si>
  <si>
    <t>Women in World War Two (A True Book)</t>
  </si>
  <si>
    <t>Susan Taylor</t>
  </si>
  <si>
    <t>Taylor, Susan</t>
  </si>
  <si>
    <t>4x4-picture-books-o (#2)</t>
  </si>
  <si>
    <t>Pirate Mom (Step into Reading, Step 3)</t>
  </si>
  <si>
    <t>leveled-readers-3 (#10)</t>
  </si>
  <si>
    <t>Leonardo, the Terrible Monster (Leonardo, #1)</t>
  </si>
  <si>
    <t>5x5-picture-books-b (#20), to-read (#86)</t>
  </si>
  <si>
    <t>A Whale of a Tale! All About Porpoises, Dolphins, and Whales (The Cat in the Hat's Learning Library)</t>
  </si>
  <si>
    <t>5x5-picture-books_g (#29)</t>
  </si>
  <si>
    <t>I Can Name 50 Trees Today! All About Trees (The Cat in the Hat's Learning Library)</t>
  </si>
  <si>
    <t>closet_black-bin-dr-seuss (#9)</t>
  </si>
  <si>
    <t>If I Ran The Rain Forest</t>
  </si>
  <si>
    <t>closet_black-bin-dr-seuss (#8), 5x5-picture-books_g (#28)</t>
  </si>
  <si>
    <t>Hark! A Shark!: All About Sharks (Cat in the Hat's Learning Library)</t>
  </si>
  <si>
    <t>5x5-picture-books_g (#16)</t>
  </si>
  <si>
    <t>Green Lantern: An Origin Story (DC Super Heroes Origins)</t>
  </si>
  <si>
    <t>Matthew K.   Manning</t>
  </si>
  <si>
    <t>Manning, Matthew K.</t>
  </si>
  <si>
    <t>Luciano Vecchio</t>
  </si>
  <si>
    <t>5x5-picture-books_j (#3)</t>
  </si>
  <si>
    <t>Batman: An Origin Story (DC Super Heroes Origins)</t>
  </si>
  <si>
    <t>5x5-picture-books_j (#2)</t>
  </si>
  <si>
    <t>Aisha Makes Work Easier</t>
  </si>
  <si>
    <t>closet_math-and-science (#5)</t>
  </si>
  <si>
    <t>World War 2 History’s 10 Most Incredible Women: World War II True Accounts Of Remarkable Women Heroes (WWII history, WW2, War books, world war 2 books, war history, World war 2 women)</t>
  </si>
  <si>
    <t>Stephanie T. McRae</t>
  </si>
  <si>
    <t>McRae, Stephanie T.</t>
  </si>
  <si>
    <t>FFD Publishing</t>
  </si>
  <si>
    <t>white-bookshelf-l (#37)</t>
  </si>
  <si>
    <t>123 NYC: A Counting Book of New York City</t>
  </si>
  <si>
    <t>Joanne Dugan</t>
  </si>
  <si>
    <t>Dugan, Joanne</t>
  </si>
  <si>
    <t>backpacks_new-york (#1)</t>
  </si>
  <si>
    <t>Tools</t>
  </si>
  <si>
    <t>Tarō Miura</t>
  </si>
  <si>
    <t>Miura, Tarō</t>
  </si>
  <si>
    <t>white-bookshelf-n (#41), to-read (#136), 5x5-picture-books-d (#59)</t>
  </si>
  <si>
    <t>Knuffle Bunny Free: An Unexpected Diversion (Knuffle Bunny, #3)</t>
  </si>
  <si>
    <t>5x5-picture-books-f (#43)</t>
  </si>
  <si>
    <t>The Van Gogh Cafe</t>
  </si>
  <si>
    <t>closet_late-elem_chapter-books (#98)</t>
  </si>
  <si>
    <t>An American Story (Coretta Scott King Illustrator Award Winner)</t>
  </si>
  <si>
    <t>Kwame Alexander</t>
  </si>
  <si>
    <t>Alexander, Kwame</t>
  </si>
  <si>
    <t>Dare Coulter</t>
  </si>
  <si>
    <t>4x4-picture-books-k (#11)</t>
  </si>
  <si>
    <t>ABC NYC: A Book About Seeing New York City</t>
  </si>
  <si>
    <t>backpacks_new-york (#2)</t>
  </si>
  <si>
    <t>Come With Me To New York</t>
  </si>
  <si>
    <t>Gloria Fowler</t>
  </si>
  <si>
    <t>Fowler, Gloria</t>
  </si>
  <si>
    <t>AMMO Books</t>
  </si>
  <si>
    <t>travel (#3)</t>
  </si>
  <si>
    <t>Cada Nino/Every Child: A Bilingual Songbook for Kids (English and Spanish Edition)</t>
  </si>
  <si>
    <t>Tish Hinojosa</t>
  </si>
  <si>
    <t>Hinojosa, Tish</t>
  </si>
  <si>
    <t>Lucía Ángela Pérez</t>
  </si>
  <si>
    <t>4x4-picture-books-e (#47)</t>
  </si>
  <si>
    <t>Exclamation Mark</t>
  </si>
  <si>
    <t>4x4-picture-books-i (#25)</t>
  </si>
  <si>
    <t>Poppleton In Winter (Poppleton, #8)</t>
  </si>
  <si>
    <t>white-bookshelf-n (#28)</t>
  </si>
  <si>
    <t>Poppleton And Friends (Poppleton, #2)</t>
  </si>
  <si>
    <t>white-bookshelf-l (#19)</t>
  </si>
  <si>
    <t>Poppleton In Fall (Poppleton, #6)</t>
  </si>
  <si>
    <t>white-bookshelf-j (#13)</t>
  </si>
  <si>
    <t>Daisy-Head Mayzie</t>
  </si>
  <si>
    <t>closet_black-bin-dr-seuss (#29), 5x5-picture-books_g (#21)</t>
  </si>
  <si>
    <t>The Butter Battle Book</t>
  </si>
  <si>
    <t>New York: Random House</t>
  </si>
  <si>
    <t>closet_black-bin-dr-seuss (#19), 5x5-picture-books_g (#20)</t>
  </si>
  <si>
    <t>Press Here</t>
  </si>
  <si>
    <t>Christopher Franceschelli</t>
  </si>
  <si>
    <t>4x4-picture-books-b (#7)</t>
  </si>
  <si>
    <t>I Love My New Toy! (Elephant &amp; Piggie, #5)</t>
  </si>
  <si>
    <t>5x5-picture-books-f (#22)</t>
  </si>
  <si>
    <t>Cam Jansen and the Mystery of the Stolen Diamonds (Cam Jansen Mysteries, #1)</t>
  </si>
  <si>
    <t>closet_late-elem_chapter-books (#130)</t>
  </si>
  <si>
    <t>Dr. Seuss's Sleep Book</t>
  </si>
  <si>
    <t>backpacks_dr-suess, 5x5-picture-books_g</t>
  </si>
  <si>
    <t>backpacks_dr-suess (#3), 5x5-picture-books_g (#27)</t>
  </si>
  <si>
    <t>The Magic School Bus Inside the Earth (The Magic School Bus #2)</t>
  </si>
  <si>
    <t>SCHOLASTIC BOOKS (TRADE)</t>
  </si>
  <si>
    <t>4x4-picture-books-c (#24)</t>
  </si>
  <si>
    <t>Hattie and Henry (Best Friends)</t>
  </si>
  <si>
    <t>Jenny Dale</t>
  </si>
  <si>
    <t>Dale, Jenny</t>
  </si>
  <si>
    <t>Susan Hellard</t>
  </si>
  <si>
    <t>closet_3rd-4th-grade-chapter-books, 4-x4-early-elem-chapter-books_b</t>
  </si>
  <si>
    <t>closet_3rd-4th-grade-chapter-books (#13), 4-x4-early-elem-chapter-books_b (#11)</t>
  </si>
  <si>
    <t>My New Friend Is So Fun! (Elephant &amp; Piggie, #21)</t>
  </si>
  <si>
    <t>5x5-picture-books-f (#21)</t>
  </si>
  <si>
    <t>Diary of a Sixth Grade Ninja (Diary of a 6th Grade Ninja, #1)</t>
  </si>
  <si>
    <t>Marcus Emerson</t>
  </si>
  <si>
    <t>Emerson, Marcus</t>
  </si>
  <si>
    <t>Amazon Digital Services, Inc.</t>
  </si>
  <si>
    <t>closet_late-elem_chapter-books (#117)</t>
  </si>
  <si>
    <t>The Cat in the Hat (Cat in the Hat, #1)</t>
  </si>
  <si>
    <t>backpacks_dr-suess (#6), 5x5-picture-books_g (#11)</t>
  </si>
  <si>
    <t>Libélula Dragonfly: you can have roots and wings too</t>
  </si>
  <si>
    <t>Ms. Donna Anne Allard</t>
  </si>
  <si>
    <t>Allard, Ms. Donna Anne</t>
  </si>
  <si>
    <t>CanadianBeatScene</t>
  </si>
  <si>
    <t>to-read (#207), 1-x-4_spanish-picture-books_a (#60)</t>
  </si>
  <si>
    <t>Papa Oso vuelve a casa (Osito) (Spanish Edition)</t>
  </si>
  <si>
    <t>4x4-picture-books-g (#10)</t>
  </si>
  <si>
    <t>Huevos verdes con jamón</t>
  </si>
  <si>
    <t>closet_black-bin-dr-seuss (#10)</t>
  </si>
  <si>
    <t>Playful Patterns Coloring Book: For Kids Ages 6-8, 9-12 (Calm &amp; Comfort Coloring Books)</t>
  </si>
  <si>
    <t>Back to School Essentials</t>
  </si>
  <si>
    <t>Essentials, Back to School</t>
  </si>
  <si>
    <t>teacher-grants (#102)</t>
  </si>
  <si>
    <t>Amelia Bedelia  (Amelia Bedelia, #1)</t>
  </si>
  <si>
    <t>Peggy Parish</t>
  </si>
  <si>
    <t>Parish, Peggy</t>
  </si>
  <si>
    <t>Fritz Siebel</t>
  </si>
  <si>
    <t>Harper Trophy</t>
  </si>
  <si>
    <t>white-bookshelf-k (#12)</t>
  </si>
  <si>
    <t>The Cat in the Hat Comes Back (The Cat in the Hat, #2)</t>
  </si>
  <si>
    <t>Begginner Books</t>
  </si>
  <si>
    <t>closet_black-bin-dr-seuss (#16)</t>
  </si>
  <si>
    <t>¡Pio Peep!: Traditional Spanish Nursery Rhymes</t>
  </si>
  <si>
    <t>F. Isabel Campoy, Alice Schertle, Viví Escrivá</t>
  </si>
  <si>
    <t>4x4-picture-books-e (#48)</t>
  </si>
  <si>
    <t>Castle in the Stars: The Moon-King</t>
  </si>
  <si>
    <t>Alex Alice</t>
  </si>
  <si>
    <t>Alice, Alex</t>
  </si>
  <si>
    <t>white-bookshelf-k (#13)</t>
  </si>
  <si>
    <t>Volcanoes and other Forces of Nature (LEGO Nonfiction): A LEGO Adventure in the Real World</t>
  </si>
  <si>
    <t>closet_3rd-4th-grade-chapter-books (#8)</t>
  </si>
  <si>
    <t>Chibi: A True Story from Japan</t>
  </si>
  <si>
    <t>Barbara Brenner</t>
  </si>
  <si>
    <t>Brenner, Barbara</t>
  </si>
  <si>
    <t>Julia Takaya, June Otani</t>
  </si>
  <si>
    <t>4x4-picture-books-k (#22)</t>
  </si>
  <si>
    <t>Star Wars: Darth Vader and Son</t>
  </si>
  <si>
    <t>Jeffrey   Brown</t>
  </si>
  <si>
    <t>Brown, Jeffrey</t>
  </si>
  <si>
    <t>Chronicle Books LLC</t>
  </si>
  <si>
    <t>4-x-4-early-elem-chapter-books_a (#12)</t>
  </si>
  <si>
    <t>Arthur and the Poetry Contest (Arthur Chapter Book, #18)</t>
  </si>
  <si>
    <t>Stephen Krensky, James Cohen</t>
  </si>
  <si>
    <t>closet_3rd-4th-grade-chapter-books (#55)</t>
  </si>
  <si>
    <t>Romeo and Juliet for Kids (Shakespeare Can Be Fun!)</t>
  </si>
  <si>
    <t>Lois Burdett</t>
  </si>
  <si>
    <t>Burdett, Lois</t>
  </si>
  <si>
    <t>4x4-picture-books-f (#9)</t>
  </si>
  <si>
    <t>Narwhal: Unicorn of the Sea  (Narwhal and Jelly, #1)</t>
  </si>
  <si>
    <t>Ben Clanton</t>
  </si>
  <si>
    <t>Clanton, Ben</t>
  </si>
  <si>
    <t>Tundra Books</t>
  </si>
  <si>
    <t>5x5-picture-books_h (#47)</t>
  </si>
  <si>
    <t>Super Narwhal and Jelly Jolt (Narwhal and Jelly, #2)</t>
  </si>
  <si>
    <t>5x5-picture-books_h (#46)</t>
  </si>
  <si>
    <t>Dragons Do Eat Homework (The Bailey School Kids Jr. Chapter Book, #5)</t>
  </si>
  <si>
    <t>Debbie Dadey</t>
  </si>
  <si>
    <t>Dadey, Debbie</t>
  </si>
  <si>
    <t>Marcia Thornton Jones</t>
  </si>
  <si>
    <t>4-x-4-early-elem-chapter-books_d (#22)</t>
  </si>
  <si>
    <t>La gata perdida = The Missing Cat (Las Aventuras de Nicolas = Adventures with Nicholas)</t>
  </si>
  <si>
    <t>Chris L. Demarest</t>
  </si>
  <si>
    <t>Demarest, Chris L.</t>
  </si>
  <si>
    <t>Berlitz Publishing Company</t>
  </si>
  <si>
    <t>Berlitz Publishing</t>
  </si>
  <si>
    <t>4x4-picture-books-g (#39)</t>
  </si>
  <si>
    <t>The Best Nest</t>
  </si>
  <si>
    <t>to-read (#228), 5x5-picture-books_g (#4)</t>
  </si>
  <si>
    <t>Go, Dog. Go!</t>
  </si>
  <si>
    <t>backpacks_dr-suess (#1), 5x5-picture-books_g (#5)</t>
  </si>
  <si>
    <t>Are You My Mother?</t>
  </si>
  <si>
    <t>Random House, Inc.</t>
  </si>
  <si>
    <t>closet_black-bin-dr-seuss (#13), 5x5-picture-books_g (#12)</t>
  </si>
  <si>
    <t>Locomotive</t>
  </si>
  <si>
    <t>white-bookshelf-n (#52), to-read (#116), 5x5-picture-books-d (#37)</t>
  </si>
  <si>
    <t>My Son, the Time Traveler (The Zack Files #8)</t>
  </si>
  <si>
    <t>Dan Greenburg</t>
  </si>
  <si>
    <t>Greenburg, Dan</t>
  </si>
  <si>
    <t>Jack E. Davis</t>
  </si>
  <si>
    <t>5x5_middle_chapter_books_j (#11)</t>
  </si>
  <si>
    <t>Stuart At the Library (Stuart Little)</t>
  </si>
  <si>
    <t>Susan  Hill</t>
  </si>
  <si>
    <t>Hill, Susan</t>
  </si>
  <si>
    <t>Barnes &amp; Noble</t>
  </si>
  <si>
    <t>montclair-high-school-sets (#1)</t>
  </si>
  <si>
    <t>World's most adorkable animals</t>
  </si>
  <si>
    <t>5x5-picture-books-e (#53)</t>
  </si>
  <si>
    <t>Harold's Circus (Harold, #5)</t>
  </si>
  <si>
    <t>Crockett Johnson</t>
  </si>
  <si>
    <t>Johnson, Crockett</t>
  </si>
  <si>
    <t>5x5-picture-books_l (#20)</t>
  </si>
  <si>
    <t>Harold y el lápiz color morado</t>
  </si>
  <si>
    <t>to-read, 1-x-4_spanish-picture-books_a, 5x5-picture-books_l</t>
  </si>
  <si>
    <t>to-read (#181), 1-x-4_spanish-picture-books_a (#32), 5x5-picture-books_l (#21)</t>
  </si>
  <si>
    <t>Reindeer Do Wear Striped Underwear (The Bailey School Kids Jr. Chapter Book, #2)</t>
  </si>
  <si>
    <t>Jones, Marcia Thornton</t>
  </si>
  <si>
    <t>Debbie Dadey, Joëlle Dreidemy</t>
  </si>
  <si>
    <t>4-x-4-early-elem-chapter-books_d (#29)</t>
  </si>
  <si>
    <t>Boy oh Boy: From boys to men, be inspired by 30 coming-of-age stories of sportsmen, artists, politicians, educators and scientists</t>
  </si>
  <si>
    <t>Cliff Leek</t>
  </si>
  <si>
    <t>Leek, Cliff</t>
  </si>
  <si>
    <t>Bene Rohlmann</t>
  </si>
  <si>
    <t>Wide Eyed Editions</t>
  </si>
  <si>
    <t>4x4-picture-books-k (#10)</t>
  </si>
  <si>
    <t>Los Cuentos del Cerdito Oliver (Oliver &amp; Amanda)</t>
  </si>
  <si>
    <t>Jean Van Leeuwen</t>
  </si>
  <si>
    <t>Leeuwen, Jean Van</t>
  </si>
  <si>
    <t>Arnold Lobel, María A. Fiol</t>
  </si>
  <si>
    <t>white-bookshelf-g (#10), 4-x-4-early-elem-chapter-books_a (#23)</t>
  </si>
  <si>
    <t>The Dinosaur Atlas</t>
  </si>
  <si>
    <t>Don Lessem</t>
  </si>
  <si>
    <t>Lessem, Don</t>
  </si>
  <si>
    <t>backpacks_dinosaurs-dragons (#8)</t>
  </si>
  <si>
    <t>Frog and Toad Together (Frog and Toad, #2)</t>
  </si>
  <si>
    <t>white-bookshelf-m, leveled-readers-2</t>
  </si>
  <si>
    <t>white-bookshelf-m (#28), leveled-readers-2 (#4)</t>
  </si>
  <si>
    <t>Days with Frog and Toad (Frog and Toad, #4)</t>
  </si>
  <si>
    <t>leveled-readers-2 (#6)</t>
  </si>
  <si>
    <t>Frog and Toad All Year (Frog and Toad, #3)</t>
  </si>
  <si>
    <t>leveled-readers-2 (#5)</t>
  </si>
  <si>
    <t>Frog and Toad Are Friends (Frog and Toad, #1)</t>
  </si>
  <si>
    <t>white-bookshelf-k, leveled-readers-2</t>
  </si>
  <si>
    <t>white-bookshelf-k (#3), leveled-readers-2 (#2)</t>
  </si>
  <si>
    <t>Out in the Wild! (Bug Scouts #1)</t>
  </si>
  <si>
    <t>Lowery, Mike</t>
  </si>
  <si>
    <t>teacher-grants (#32)</t>
  </si>
  <si>
    <t>Make Way for Ducklings</t>
  </si>
  <si>
    <t>Robert McCloskey</t>
  </si>
  <si>
    <t>McCloskey, Robert</t>
  </si>
  <si>
    <t>Viking Press</t>
  </si>
  <si>
    <t>5x5-picture-books-b (#38), to-read (#101)</t>
  </si>
  <si>
    <t>La Visita de Osito (Serie Amarilla)</t>
  </si>
  <si>
    <t>white-bookshelf-g (#8), 4-x-4-early-elem-chapter-books_a (#19)</t>
  </si>
  <si>
    <t>Los Amigos de Osito</t>
  </si>
  <si>
    <t>Rosa Benavides, Maurice Sendak</t>
  </si>
  <si>
    <t>white-bookshelf-g (#7), 4-x-4-early-elem-chapter-books_a (#22)</t>
  </si>
  <si>
    <t>Mary GrandPré</t>
  </si>
  <si>
    <t>4x4-picture-books-e (#42)</t>
  </si>
  <si>
    <t>Dolphin: How a Baby Survives Sharks and Killer Whales in the Ocean for Kids (Ages 4-8) (I Can Read Level 3)</t>
  </si>
  <si>
    <t>Robert A Morris</t>
  </si>
  <si>
    <t>Morris, Robert A</t>
  </si>
  <si>
    <t>backpacks-sea-animals, 5x5-picture-books_n</t>
  </si>
  <si>
    <t>backpacks-sea-animals (#5), 5x5-picture-books_n (#21)</t>
  </si>
  <si>
    <t>Zack's Alligator (I Can Read ~ Level 2)</t>
  </si>
  <si>
    <t>Shirley Mozelle</t>
  </si>
  <si>
    <t>Mozelle, Shirley</t>
  </si>
  <si>
    <t>James Watts</t>
  </si>
  <si>
    <t>leveled-readers-2 (#55)</t>
  </si>
  <si>
    <t>Amelia Bedelia, Rocket Scientist?</t>
  </si>
  <si>
    <t>Lynn Sweat</t>
  </si>
  <si>
    <t>Editorial Norma</t>
  </si>
  <si>
    <t>leveled-readers-2 (#54)</t>
  </si>
  <si>
    <t>Play Ball, Amelia Bedelia</t>
  </si>
  <si>
    <t>Wallace Tripp</t>
  </si>
  <si>
    <t>white-bookshelf-i (#16)</t>
  </si>
  <si>
    <t>Happy Fell (Arnold and Louise #3)</t>
  </si>
  <si>
    <t>Erica S. Perl</t>
  </si>
  <si>
    <t>Perl, Erica S.</t>
  </si>
  <si>
    <t>Chris Chatterton</t>
  </si>
  <si>
    <t>Penguin Workshop</t>
  </si>
  <si>
    <t>white-bookshelf-i (#18)</t>
  </si>
  <si>
    <t>The Itchy Book! (Elephant &amp; Piggie Like Reading!, #5)</t>
  </si>
  <si>
    <t>Pham, LeUyen</t>
  </si>
  <si>
    <t>5x5-picture-books-f (#23)</t>
  </si>
  <si>
    <t>Dragón y sus labores (Dragon, #3)</t>
  </si>
  <si>
    <t>4-x-4-early-elem-chapter-books_j (#6)</t>
  </si>
  <si>
    <t>The Tale of Jemima Puddle-Duck (World of Beatrix Potter, #12)</t>
  </si>
  <si>
    <t>Frederick Warne</t>
  </si>
  <si>
    <t>5x5-picture-books-d (#77)</t>
  </si>
  <si>
    <t>Hot Wheels Super Sticker Book</t>
  </si>
  <si>
    <t>Phidal Publishing</t>
  </si>
  <si>
    <t>Publishing, Phidal</t>
  </si>
  <si>
    <t>Phidal Publishing Inc.</t>
  </si>
  <si>
    <t>closet_coloring-and-sticker-books (#10)</t>
  </si>
  <si>
    <t>Blondie: Rapunzel's Royal Pony (Disney Princess: Palace Pets, #2)</t>
  </si>
  <si>
    <t>Tennant Redbank</t>
  </si>
  <si>
    <t>Redbank, Tennant</t>
  </si>
  <si>
    <t>closet_late-elem_chapter-books (#124)</t>
  </si>
  <si>
    <t>El Toro Pinto And Other Songs in Spanish</t>
  </si>
  <si>
    <t>4x4-picture-books-g (#56)</t>
  </si>
  <si>
    <t>Poppleton: An Acorn Book</t>
  </si>
  <si>
    <t>white-bookshelf-o (#9)</t>
  </si>
  <si>
    <t>This Is Paris (This is...)</t>
  </si>
  <si>
    <t>Miroslav Sasek</t>
  </si>
  <si>
    <t>Sasek, Miroslav</t>
  </si>
  <si>
    <t>Universe</t>
  </si>
  <si>
    <t>5x5-picture-books_m (#6)</t>
  </si>
  <si>
    <t>In a Dark, Dark Room and Other Scary Stories</t>
  </si>
  <si>
    <t>Alvin Schwartz</t>
  </si>
  <si>
    <t>Schwartz, Alvin</t>
  </si>
  <si>
    <t>Víctor Rivas</t>
  </si>
  <si>
    <t>leveled-readers-2 (#51)</t>
  </si>
  <si>
    <t>Ghosts! Ghostly Tales from Folklore</t>
  </si>
  <si>
    <t>Victoria Chess</t>
  </si>
  <si>
    <t>closet-black-bin-holiday, montclair-high-school-sets</t>
  </si>
  <si>
    <t>closet-black-bin-holiday (#47), montclair-high-school-sets (#16)</t>
  </si>
  <si>
    <t>Green Eggs and Ham</t>
  </si>
  <si>
    <t>backpacks_dr-suess, closet_black-bin-dr-seuss, 5x5-picture-books_g</t>
  </si>
  <si>
    <t>backpacks_dr-suess (#8), closet_black-bin-dr-seuss (#28), 5x5-picture-books_g (#14)</t>
  </si>
  <si>
    <t>El gato con sombrero viene de nuevo</t>
  </si>
  <si>
    <t>white-bookshelf-o (#12)</t>
  </si>
  <si>
    <t>¡Horton escucha a quién!</t>
  </si>
  <si>
    <t>white-bookshelf-i (#11)</t>
  </si>
  <si>
    <t>One Fish, Two Fish, Red Fish, Blue Fish</t>
  </si>
  <si>
    <t>Harper Collins Children's Books</t>
  </si>
  <si>
    <t>closet_black-bin-dr-seuss (#2), backpacks_dr-suess (#2), 5x5-picture-books_g (#2)</t>
  </si>
  <si>
    <t>The Lorax</t>
  </si>
  <si>
    <t>teacher-grants (#8)</t>
  </si>
  <si>
    <t>How the Grinch Stole Christmas!</t>
  </si>
  <si>
    <t>closet_black-bin-dr-seuss (#20), 5x5-picture-books_g (#30)</t>
  </si>
  <si>
    <t>Come Over to My House</t>
  </si>
  <si>
    <t>Katie Kath</t>
  </si>
  <si>
    <t>closet_black-bin-dr-seuss (#6)</t>
  </si>
  <si>
    <t>I Can Lick 30 Tigers Today! and Other Stories</t>
  </si>
  <si>
    <t>5x5-picture-books_g (#25)</t>
  </si>
  <si>
    <t>Horton Hears a Who!</t>
  </si>
  <si>
    <t>backpacks_dr-suess (#5), 5x5-picture-books_g (#24)</t>
  </si>
  <si>
    <t>Hop On Pop</t>
  </si>
  <si>
    <t>HarperCollinsChildren’sBooks</t>
  </si>
  <si>
    <t>closet_black-bin-dr-seuss (#5), 5x5-picture-books_g (#9)</t>
  </si>
  <si>
    <t>Fox in Socks</t>
  </si>
  <si>
    <t>Green Back Books / HarperCollins Children's Books</t>
  </si>
  <si>
    <t>closet_black-bin-dr-seuss (#3), 5x5-picture-books_g (#3)</t>
  </si>
  <si>
    <t>And to Think That I Saw It on Mulberry Street</t>
  </si>
  <si>
    <t>closet_black-bin-dr-seuss (#1), 5x5-picture-books_g (#8)</t>
  </si>
  <si>
    <t>Nate the Great and the Missing Birthday Snake</t>
  </si>
  <si>
    <t>Andrew Sharmat</t>
  </si>
  <si>
    <t>Sharmat, Andrew</t>
  </si>
  <si>
    <t>Marjorie Weinman Sharmat, Jody Wheeler</t>
  </si>
  <si>
    <t>Delacorte Press</t>
  </si>
  <si>
    <t>4-x-4-early-elem-chapter-books_g (#30)</t>
  </si>
  <si>
    <t>Nate the Great</t>
  </si>
  <si>
    <t>closet_3rd-4th-grade-chapter-books, 4-x-4-early-elem-chapter-books_g</t>
  </si>
  <si>
    <t>closet_3rd-4th-grade-chapter-books (#63), 4-x-4-early-elem-chapter-books_g (#32)</t>
  </si>
  <si>
    <t>The New Dog in Town (Bobs and Tweets #5) (5)</t>
  </si>
  <si>
    <t>Pepper Springfield</t>
  </si>
  <si>
    <t>Springfield, Pepper</t>
  </si>
  <si>
    <t>Kristy Caldwell</t>
  </si>
  <si>
    <t>montclair-high-school-sets, white-bookshelf-m, 5x5-picture-books-c</t>
  </si>
  <si>
    <t>montclair-high-school-sets (#13), white-bookshelf-m (#3), 5x5-picture-books-c (#27)</t>
  </si>
  <si>
    <t>The Summer Vacation from the Black Lagoon</t>
  </si>
  <si>
    <t>closet_3rd-4th-grade-chapter-books (#78), 4-x-4-early-elem-chapter-books_g (#23)</t>
  </si>
  <si>
    <t>The Class Trip from the Black Lagoon (Black Lagoon Adventures, #1)</t>
  </si>
  <si>
    <t>closet_3rd-4th-grade-chapter-books (#11), 4-x-4-early-elem-chapter-books_g (#21)</t>
  </si>
  <si>
    <t>Hubie Cool: Vampire Hunter (Black Lagoon Special Edition #1)</t>
  </si>
  <si>
    <t>closet_3rd-4th-grade-chapter-books (#10), 4-x-4-early-elem-chapter-books_g (#22)</t>
  </si>
  <si>
    <t>Frida Kahlo (Little Guides to Great Lives)</t>
  </si>
  <si>
    <t>Isabel Thomas</t>
  </si>
  <si>
    <t>Thomas, Isabel</t>
  </si>
  <si>
    <t>Marianna Madriz</t>
  </si>
  <si>
    <t>Laurence King Publishing</t>
  </si>
  <si>
    <t>4x4-picture-books-p (#6)</t>
  </si>
  <si>
    <t>Waiting Is Not Easy! (Elephant &amp; Piggie, #22)</t>
  </si>
  <si>
    <t>5x5-picture-books-f (#37)</t>
  </si>
  <si>
    <t>I'm a Frog! (Elephant and Piggie, #20)</t>
  </si>
  <si>
    <t>5x5-picture-books-f (#36)</t>
  </si>
  <si>
    <t>Elephants Cannot Dance! (Elephant &amp; Piggie, #9)</t>
  </si>
  <si>
    <t>5x5-picture-books-f (#35)</t>
  </si>
  <si>
    <t>The Thank You Book (Elephant &amp; Piggie, #25)</t>
  </si>
  <si>
    <t>5x5-picture-books-f (#33)</t>
  </si>
  <si>
    <t>I Will Surprise My Friend! (Elephant &amp; Piggie, #6)</t>
  </si>
  <si>
    <t>5x5-picture-books-f (#30)</t>
  </si>
  <si>
    <t>Pigs Make Me Sneeze! (Elephant &amp; Piggie, #10)</t>
  </si>
  <si>
    <t>5x5-picture-books-f (#29)</t>
  </si>
  <si>
    <t>I Really Like Slop! (Elephant &amp; Piggie, #24)</t>
  </si>
  <si>
    <t>5x5-picture-books-f (#28)</t>
  </si>
  <si>
    <t>I Am Going! (Elephant and Piggie, #11)</t>
  </si>
  <si>
    <t>5x5-picture-books-f (#27)</t>
  </si>
  <si>
    <t>My Friend Is Sad (Elephant &amp; Piggie, #2)</t>
  </si>
  <si>
    <t>5x5-picture-books-f (#26)</t>
  </si>
  <si>
    <t>Watch Me Throw the Ball! (Elephant &amp; Piggie, #8)</t>
  </si>
  <si>
    <t>5x5-picture-books-f (#25)</t>
  </si>
  <si>
    <t>Let's Go for a Drive! (Elephant &amp; Piggie, #18)</t>
  </si>
  <si>
    <t>5x5-picture-books-f (#24)</t>
  </si>
  <si>
    <t>I Broke My Trunk! (Elephant &amp; Piggie, #14)</t>
  </si>
  <si>
    <t>5x5-picture-books-f (#19)</t>
  </si>
  <si>
    <t>Happy Pig Day! (Elephant &amp; Piggie, #16)</t>
  </si>
  <si>
    <t>5x5-picture-books_k (#3)</t>
  </si>
  <si>
    <t>¡Estamos en un libro!</t>
  </si>
  <si>
    <t>1-x-4-spanish-picture-books_b (#29)</t>
  </si>
  <si>
    <t>There Is a Bird on Your Head! (Elephant &amp; Piggie, #4)</t>
  </si>
  <si>
    <t>5x5-picture-books-f (#18)</t>
  </si>
  <si>
    <t>¡Hoy volaré!</t>
  </si>
  <si>
    <t>5x5-picture-books-f (#34)</t>
  </si>
  <si>
    <t>Eloise</t>
  </si>
  <si>
    <t>Kay Thompson</t>
  </si>
  <si>
    <t>Thompson, Kay</t>
  </si>
  <si>
    <t>Hilary Knight</t>
  </si>
  <si>
    <t>5x5-picture-books_k (#13)</t>
  </si>
  <si>
    <t>The Knight at Dawn (Magic Tree House, #2)</t>
  </si>
  <si>
    <t>Sal Murdocca</t>
  </si>
  <si>
    <t>Random House Inc</t>
  </si>
  <si>
    <t>closet_3rd-4th-grade-chapter-books (#52)</t>
  </si>
  <si>
    <t>Junie B. Jones Smells Something Fishy (Junie B. Jones, #12)</t>
  </si>
  <si>
    <t>Denise Brunkus</t>
  </si>
  <si>
    <t>Random House Books</t>
  </si>
  <si>
    <t>4-x-4-early-elem-chapter-books_d (#10)</t>
  </si>
  <si>
    <t>Junie B. Jones Is Captain Field Day (Junie B. Jones, #16)</t>
  </si>
  <si>
    <t>4-x-4-early-elem-chapter-books_d (#11)</t>
  </si>
  <si>
    <t>Wild 4 Nature 3-D Yellowstone and Grand Teton National Parks</t>
  </si>
  <si>
    <t>Dondi Tondro-Smith</t>
  </si>
  <si>
    <t>Tondro-Smith, Dondi</t>
  </si>
  <si>
    <t>5x5-picture-books-e (#49)</t>
  </si>
  <si>
    <t>The Magic Finger</t>
  </si>
  <si>
    <t>Roald Dahl</t>
  </si>
  <si>
    <t>Dahl, Roald</t>
  </si>
  <si>
    <t>closet_late-elem_chapter-books (#82)</t>
  </si>
  <si>
    <t>Un pez, dos peces, pez rojo, pez azul</t>
  </si>
  <si>
    <t>white-bookshelf-j (#9)</t>
  </si>
  <si>
    <t>Mercy Watson to the Rescue</t>
  </si>
  <si>
    <t>4-x-4-early-elem-chapter-books_g (#7)</t>
  </si>
  <si>
    <t>The Llama Who Had No Pajama: 100 Favorite Poems</t>
  </si>
  <si>
    <t>Mary Ann Hoberman</t>
  </si>
  <si>
    <t>Hoberman, Mary Ann</t>
  </si>
  <si>
    <t>Betty Fraser</t>
  </si>
  <si>
    <t>4x4-picture-books-e (#40)</t>
  </si>
  <si>
    <t>El búho en su casa</t>
  </si>
  <si>
    <t>white-bookshelf-g (#6), 4-x-4-early-elem-chapter-books_a (#21)</t>
  </si>
  <si>
    <t>Dinosaurs Before Dark (Magic Tree House, #1)</t>
  </si>
  <si>
    <t>closet_3rd-4th-grade-chapter-books (#53)</t>
  </si>
  <si>
    <t>Junie B. Jones and a Little Monkey Business (Junie B. Jones, #2)</t>
  </si>
  <si>
    <t>4-x-4-early-elem-chapter-books_d (#6)</t>
  </si>
  <si>
    <t>Junie B. Jones Is (Almost) a Flower Girl (Junie B. Jones, #13)</t>
  </si>
  <si>
    <t>closet_3rd-4th-grade-chapter-books, 4-x-4-early-elem-chapter-books_d</t>
  </si>
  <si>
    <t>closet_3rd-4th-grade-chapter-books (#61), 4-x-4-early-elem-chapter-books_d (#9)</t>
  </si>
  <si>
    <t>The Sneetches and Other Stories</t>
  </si>
  <si>
    <t>closet_black-bin-dr-seuss (#22), 5x5-picture-books_g (#23)</t>
  </si>
  <si>
    <t>Sobreviví los ataques del 11 de septiembre de 2001 (I Survived the Attacks of September 11, 2001) (Spanish Edition)</t>
  </si>
  <si>
    <t>Tarshis, Lauren</t>
  </si>
  <si>
    <t>Scott     Dawson</t>
  </si>
  <si>
    <t>5x5-picture-books-d (#7)</t>
  </si>
  <si>
    <t>Junie B. Jones and Her Big Fat Mouth (Junie B. Jones, #3)</t>
  </si>
  <si>
    <t>to-read (#182), 1-x-4_spanish-picture-books_a (#33)</t>
  </si>
  <si>
    <t>Cam Jansen and the Chocolate Fudge Mystery (Cam Jansen Mysteries, #14)</t>
  </si>
  <si>
    <t>closet_late-elem_chapter-books (#115)</t>
  </si>
  <si>
    <t>Mercy Watson Fights Crime</t>
  </si>
  <si>
    <t>4-x-4-early-elem-chapter-books_g (#9)</t>
  </si>
  <si>
    <t>Narwhal's Otter Friend (Narwhal and Jelly, #4)</t>
  </si>
  <si>
    <t>5x5-picture-books_h (#44)</t>
  </si>
  <si>
    <t>El lobo con botas (PRIMEROS LECTORES - Álbum ilustrado) (Spanish Edition)</t>
  </si>
  <si>
    <t>El Hematocrítico</t>
  </si>
  <si>
    <t>Hematocrítico, El</t>
  </si>
  <si>
    <t>Alberto Vázquez</t>
  </si>
  <si>
    <t>ANAYA INFANTIL Y JUVENIL</t>
  </si>
  <si>
    <t>medieval, 1-x-4_spanish-picture-books_a, 5x5-picture-books_i</t>
  </si>
  <si>
    <t>medieval (#3), 1-x-4_spanish-picture-books_a (#13), 5x5-picture-books_i (#1)</t>
  </si>
  <si>
    <t>Zorrillo (El Barco de Vapor Naranja)</t>
  </si>
  <si>
    <t>Norma Muñoz Ledo</t>
  </si>
  <si>
    <t>Ledo, Norma Muñoz</t>
  </si>
  <si>
    <t>Ediciones SM</t>
  </si>
  <si>
    <t>white-bookshelf-g (#4)</t>
  </si>
  <si>
    <t>The Bald Bandit (A to Z Mysteries, #2)</t>
  </si>
  <si>
    <t>Ron Roy</t>
  </si>
  <si>
    <t>Roy, Ron</t>
  </si>
  <si>
    <t>John Steven Gurney</t>
  </si>
  <si>
    <t>closet_late-elem_chapter-books (#65)</t>
  </si>
  <si>
    <t>May Magic (Calendar Mysteries, #5)</t>
  </si>
  <si>
    <t>closet_late-elem_chapter-books (#61)</t>
  </si>
  <si>
    <t>In the Town All Year 'Round</t>
  </si>
  <si>
    <t>Rotraut Susanne Berner</t>
  </si>
  <si>
    <t>Berner, Rotraut Susanne</t>
  </si>
  <si>
    <t>4x4-picture-books-a (#16), currently-reading (#2)</t>
  </si>
  <si>
    <t>Inside the World of Roblox</t>
  </si>
  <si>
    <t>Official Roblox Books</t>
  </si>
  <si>
    <t>Books, Official Roblox</t>
  </si>
  <si>
    <t>white-bookshelf-o, 4-x4-early-elem-chapter-books_b</t>
  </si>
  <si>
    <t>white-bookshelf-o (#25), 4-x4-early-elem-chapter-books_b (#31)</t>
  </si>
  <si>
    <t>Flat Stanley</t>
  </si>
  <si>
    <t>Scholastic,inc.</t>
  </si>
  <si>
    <t>white-bookshelf-i (#8)</t>
  </si>
  <si>
    <t>A Kids Book About Belonging</t>
  </si>
  <si>
    <t>Kevin Carroll</t>
  </si>
  <si>
    <t>Carroll, Kevin</t>
  </si>
  <si>
    <t xml:space="preserve">A Kids Book About, Inc. </t>
  </si>
  <si>
    <t>teacher-grants (#106)</t>
  </si>
  <si>
    <t>Peanut Butter and Jelly (Narwhal and Jelly, #3)</t>
  </si>
  <si>
    <t>5x5-picture-books_h (#45)</t>
  </si>
  <si>
    <t>The Story of Ferdinand</t>
  </si>
  <si>
    <t>Munro Leaf</t>
  </si>
  <si>
    <t>Leaf, Munro</t>
  </si>
  <si>
    <t>Robert Lawson</t>
  </si>
  <si>
    <t>4x4-picture-books-l (#28)</t>
  </si>
  <si>
    <t>Put Me in the Zoo</t>
  </si>
  <si>
    <t>Random House Inc.</t>
  </si>
  <si>
    <t>picture-books-about-animals, 5x5-picture-books_g</t>
  </si>
  <si>
    <t>picture-books-about-animals (#1), 5x5-picture-books_g (#19)</t>
  </si>
  <si>
    <t>Snow</t>
  </si>
  <si>
    <t>Roy McKie</t>
  </si>
  <si>
    <t>McKie, Roy</t>
  </si>
  <si>
    <t>4x4-picture-books-e (#17)</t>
  </si>
  <si>
    <t>The Tale of Kitty-in-Boots (World of Beatrix Potter, #24)</t>
  </si>
  <si>
    <t>4x4-picture-books-f (#23)</t>
  </si>
  <si>
    <t>Henry y Mudge: El primer libro de sus aventuras (Henry and Mudge: The First Book): An Instructional Guide for Literature - Spanish Novel Study Guide with Activities (Great Works Classroom Resource)</t>
  </si>
  <si>
    <t>Jennifer Overend Prior</t>
  </si>
  <si>
    <t>Prior, Jennifer Overend</t>
  </si>
  <si>
    <t>Shell Education</t>
  </si>
  <si>
    <t>to-read (#186), 1-x-4_spanish-picture-books_a (#37)</t>
  </si>
  <si>
    <t>Cars and Trucks and Things That Go</t>
  </si>
  <si>
    <t>4x4-picture-books-a (#7)</t>
  </si>
  <si>
    <t>Un pez dos peces pes rojo pez azul</t>
  </si>
  <si>
    <t>1-x-4-spanish-picture-books_b (#26)</t>
  </si>
  <si>
    <t>Eloise in Paris</t>
  </si>
  <si>
    <t>5x5-picture-books_k (#14)</t>
  </si>
  <si>
    <t>Slam Dunk Shoes (Jake Maddox Sports Stories)</t>
  </si>
  <si>
    <t>Sean Tiffany</t>
  </si>
  <si>
    <t>closet_late-elem_chapter-books (#111)</t>
  </si>
  <si>
    <t>Lacrosse Attack (Jake Maddox Sports Stories)</t>
  </si>
  <si>
    <t>Sean Tiffany, Eric Stevens</t>
  </si>
  <si>
    <t>closet_late-elem_chapter-books (#110)</t>
  </si>
  <si>
    <t>Hour of the Olympics (Magic Tree House, #16)</t>
  </si>
  <si>
    <t>Happy Narwhalidays (Narwhal and Jelly, #5)</t>
  </si>
  <si>
    <t>5x5-picture-books_h (#43)</t>
  </si>
  <si>
    <t>Ocean Animals for Kids: A Junior Scientist's Guide to Whales, Sharks, and Other Marine Life</t>
  </si>
  <si>
    <t>Bethanie Hestermann</t>
  </si>
  <si>
    <t>Hestermann, Bethanie</t>
  </si>
  <si>
    <t>Josh Hestermann</t>
  </si>
  <si>
    <t>Callisto Kids</t>
  </si>
  <si>
    <t>to-read, teacher-grants</t>
  </si>
  <si>
    <t>to-read (#2), teacher-grants (#5)</t>
  </si>
  <si>
    <t>JoJo and BowBow: Candy Kisses (JoJo Siwa)</t>
  </si>
  <si>
    <t>Nickelodeon Publishing</t>
  </si>
  <si>
    <t>There's a Zombie in My Bathtub (Here's Hank #5)</t>
  </si>
  <si>
    <t>Henry Winkler</t>
  </si>
  <si>
    <t>Winkler, Henry</t>
  </si>
  <si>
    <t>Lin Oliver, Scott Garrett</t>
  </si>
  <si>
    <t>closet_3rd-4th-grade-chapter-books (#26), 4-x-4-early-elem-chapter-books_d (#28)</t>
  </si>
  <si>
    <t>Monsters of the Deep</t>
  </si>
  <si>
    <t>Camilla de la Bédoyère</t>
  </si>
  <si>
    <t>Bédoyère, Camilla de la</t>
  </si>
  <si>
    <t>teacher-grants (#20)</t>
  </si>
  <si>
    <t>Everything You Need to Know About Bugs</t>
  </si>
  <si>
    <t>Caroline Bingham</t>
  </si>
  <si>
    <t>Bingham, Caroline</t>
  </si>
  <si>
    <t>Ben Morgan, Matthew Robertson, Mark Beech</t>
  </si>
  <si>
    <t>Dorling Kindsersley</t>
  </si>
  <si>
    <t>teacher-grants (#17)</t>
  </si>
  <si>
    <t>Encyclopedia Britannica Space</t>
  </si>
  <si>
    <t>Encyclopædia Britannica</t>
  </si>
  <si>
    <t>Britannica, Encyclopædia</t>
  </si>
  <si>
    <t>Publications International, Ltd.</t>
  </si>
  <si>
    <t>4x4-picture-books-c (#47)</t>
  </si>
  <si>
    <t>Encyclopaedia Britannica Interactive Science Book: Humans</t>
  </si>
  <si>
    <t>4x4-picture-books-c (#46)</t>
  </si>
  <si>
    <t>Encyclopaedia Britannica Interactive Science Book: Earth</t>
  </si>
  <si>
    <t>4x4-picture-books-c (#37)</t>
  </si>
  <si>
    <t>Encyclopaedia Britannica Interactive Science Book: Under the Sea</t>
  </si>
  <si>
    <t>backpacks_animals (#4), 5x5-picture-books_n (#10)</t>
  </si>
  <si>
    <t>Encyclopaedia Britannica Interactive Science Book: Animals</t>
  </si>
  <si>
    <t>backpacks_animals (#3), 5x5-picture-books-e (#63)</t>
  </si>
  <si>
    <t>Encyclopaedia Britannica Interactive Science Book: Dinosaurs, Reptiles, and Birds</t>
  </si>
  <si>
    <t>backpacks_dinosaurs-dragons (#6)</t>
  </si>
  <si>
    <t>Narwhal's School of Awesomeness (Narwhal and Jelly, #6)</t>
  </si>
  <si>
    <t>5x5-picture-books_h (#42)</t>
  </si>
  <si>
    <t>Kids' U.S. Road Atlas</t>
  </si>
  <si>
    <t>Rand McNally &amp; Company</t>
  </si>
  <si>
    <t>Company, Rand McNally &amp;</t>
  </si>
  <si>
    <t>Rand Mcnally</t>
  </si>
  <si>
    <t>closet_coloring-and-sticker-books (#21)</t>
  </si>
  <si>
    <t>Bo's Magical New Friend (Unicorn Diaries #1)</t>
  </si>
  <si>
    <t>4-x-4-early-elem-chapter-books_j (#30)</t>
  </si>
  <si>
    <t>Diario de una lechuza #2: Eva ve un fantasma (Eva Sees a Ghost): Un libro de la serie Branches</t>
  </si>
  <si>
    <t>4-x-4-early-elem-chapter-books_j (#41)</t>
  </si>
  <si>
    <t>A Woodland Wedding (Owl Diaries, #3)</t>
  </si>
  <si>
    <t>4-x-4-early-elem-chapter-books_j (#40)</t>
  </si>
  <si>
    <t>Eva's Campfire Adventure: Branches Book (Owl Diaries #12)</t>
  </si>
  <si>
    <t>4-x-4-early-elem-chapter-books_j (#32)</t>
  </si>
  <si>
    <t>Bo and the Merbaby (Unicorn Diaries #5)</t>
  </si>
  <si>
    <t>4-x-4-early-elem-chapter-books_j (#27)</t>
  </si>
  <si>
    <t>Baxter is Missing (Owl Diaries, #6)</t>
  </si>
  <si>
    <t>4-x-4-early-elem-chapter-books_j (#37)</t>
  </si>
  <si>
    <t>The Wildwood Bakery (Owl Diaries, #7)</t>
  </si>
  <si>
    <t>4-x-4-early-elem-chapter-books_j (#36)</t>
  </si>
  <si>
    <t>Eva and the Lost Pony: A Branches Book (Owl Diaries #8) (8)</t>
  </si>
  <si>
    <t>4-x-4-early-elem-chapter-books_j (#35)</t>
  </si>
  <si>
    <t>Eva in the Spotlight: A Branches Book (Owl Diaries #13)</t>
  </si>
  <si>
    <t>4-x-4-early-elem-chapter-books_j (#31)</t>
  </si>
  <si>
    <t>Bo and the Dragon-Pup (Unicorn Diaries, #2)</t>
  </si>
  <si>
    <t>4-x-4-early-elem-chapter-books_j (#29)</t>
  </si>
  <si>
    <t>Diario de una Lechuza #10: Eva y Bebé Mo (Owl Diaries #10: Eva and Baby Mo): Un libro de la serie Branches</t>
  </si>
  <si>
    <t>4-x-4-early-elem-chapter-books_j (#1)</t>
  </si>
  <si>
    <t>Diario de un Unicornio #3: Iris el valiente (Bo the Brave): Un libro de la serie Branches</t>
  </si>
  <si>
    <t>white-bookshelf-m (#8)</t>
  </si>
  <si>
    <t>Bo the Brave: A Branches Book (Unicorn Diaries #3)</t>
  </si>
  <si>
    <t>4-x-4-early-elem-chapter-books_j (#28)</t>
  </si>
  <si>
    <t>Robo-Rabbit Boy, Go! (Press Start! #7)</t>
  </si>
  <si>
    <t>Thomas Flintham</t>
  </si>
  <si>
    <t>Flintham, Thomas</t>
  </si>
  <si>
    <t>4-x-4-early-elem-chapter-books_c</t>
  </si>
  <si>
    <t>4-x-4-early-elem-chapter-books_c (#16)</t>
  </si>
  <si>
    <t>Mary Moon is Missing (Adventures of Minnie and Max)</t>
  </si>
  <si>
    <t>Patricia Reilly Giff</t>
  </si>
  <si>
    <t>Giff, Patricia Reilly</t>
  </si>
  <si>
    <t>5x5_middle_chapter_books_j, 5x5</t>
  </si>
  <si>
    <t>5x5_middle_chapter_books_j (#20), 5x5 (#15)</t>
  </si>
  <si>
    <t>Lights, Camera, Girl Power! (LEGO Friends: Chapter Book #2)</t>
  </si>
  <si>
    <t>closet_3rd-4th-grade-chapter-books (#43)</t>
  </si>
  <si>
    <t>Minecraft: Cool Projects for Your Lego Bricks</t>
  </si>
  <si>
    <t>Joachim Klang</t>
  </si>
  <si>
    <t>Klang, Joachim</t>
  </si>
  <si>
    <t>Heel Verlag Gmbh</t>
  </si>
  <si>
    <t>5x5-picture-books-d (#3)</t>
  </si>
  <si>
    <t>All the Things: How to Draw Books for Kids with Cars, Unicorns, Dragons, Cupcakes, and More (How to Draw For Kids Series)</t>
  </si>
  <si>
    <t>Alli Koch</t>
  </si>
  <si>
    <t>Koch, Alli</t>
  </si>
  <si>
    <t>Paige Tate &amp; Co.</t>
  </si>
  <si>
    <t>Paige Tate &amp; Co</t>
  </si>
  <si>
    <t>teacher-grants (#103)</t>
  </si>
  <si>
    <t>Any Way You Slice It (Katie Kazoo, Switcheroo, #9)</t>
  </si>
  <si>
    <t>John &amp; Wendy</t>
  </si>
  <si>
    <t>closet_3rd-4th-grade-chapter-books (#40)</t>
  </si>
  <si>
    <t>Vampires Don't Wear Polka Dots: A Graphix Chapters Book (The Adventures of the Bailey School Kids, #1)</t>
  </si>
  <si>
    <t>Pearl Low</t>
  </si>
  <si>
    <t>Low, Pearl</t>
  </si>
  <si>
    <t>Debbie Dadey, Marcia Thornton Jones</t>
  </si>
  <si>
    <t>white-bookshelf-m, closet_graphic-novels, 4-x-4-early-elem-chapter-books_c</t>
  </si>
  <si>
    <t>white-bookshelf-m (#5), closet_graphic-novels (#24), 4-x-4-early-elem-chapter-books_c (#13)</t>
  </si>
  <si>
    <t>Heroes on the Side (Kung Pow Chicken #4)</t>
  </si>
  <si>
    <t>Cyndi Marko</t>
  </si>
  <si>
    <t>Marko, Cyndi</t>
  </si>
  <si>
    <t>4-x-4-early-elem-chapter-books_j (#21)</t>
  </si>
  <si>
    <t>Scaredy-Pug: A Branches Book (Diary of a Pug #5) (5)</t>
  </si>
  <si>
    <t>Kyla May</t>
  </si>
  <si>
    <t>May, Kyla</t>
  </si>
  <si>
    <t>4-x-4-early-elem-chapter-books_j (#24)</t>
  </si>
  <si>
    <t>Pug's Sleepover: A Branches Book (Diary of a Pug #6) (6)</t>
  </si>
  <si>
    <t>4-x-4-early-elem-chapter-books_j (#23)</t>
  </si>
  <si>
    <t>Pug's Got Talent: A Branches Book (Diary of a Pug #4) (4)</t>
  </si>
  <si>
    <t>4-x-4-early-elem-chapter-books_j (#22)</t>
  </si>
  <si>
    <t>RandMcNally Kids' Road Atlas</t>
  </si>
  <si>
    <t>Kristy McGowan</t>
  </si>
  <si>
    <t>McGowan, Kristy</t>
  </si>
  <si>
    <t>Karen Richards, Chris Reed</t>
  </si>
  <si>
    <t>Rand McNally</t>
  </si>
  <si>
    <t>closet_coloring-and-sticker-books (#22)</t>
  </si>
  <si>
    <t>Esther the Kindness Fairy (Rainbow Magic: The Friendship Fairies, #1)</t>
  </si>
  <si>
    <t>Daisy Meadows</t>
  </si>
  <si>
    <t>Meadows, Daisy</t>
  </si>
  <si>
    <t>George Ripper</t>
  </si>
  <si>
    <t>4-x4-early-elem-chapter-books_b (#6)</t>
  </si>
  <si>
    <t>Rebecca The Rock 'N' Roll Fairy (Rainbow Magic: The Dance Fairies, #3)</t>
  </si>
  <si>
    <t>4-x4-early-elem-chapter-books_b (#5)</t>
  </si>
  <si>
    <t>Shadow (The Puppy Place, #3)</t>
  </si>
  <si>
    <t>closet_3rd-4th-grade-chapter-books (#60), 4-x4-early-elem-chapter-books_b (#9)</t>
  </si>
  <si>
    <t>Snowball (The Puppy Place, #2)</t>
  </si>
  <si>
    <t>closet_3rd-4th-grade-chapter-books (#57), 4-x4-early-elem-chapter-books_b (#12)</t>
  </si>
  <si>
    <t>Patches (The Puppy Place, #8)</t>
  </si>
  <si>
    <t>closet_3rd-4th-grade-chapter-books (#56), 4-x4-early-elem-chapter-books_b (#16)</t>
  </si>
  <si>
    <t>The Magic School Bus Chapter Book #3: The Wild Whale Watch (Magic School Bus)</t>
  </si>
  <si>
    <t>Eva Moore</t>
  </si>
  <si>
    <t>Moore, Eva</t>
  </si>
  <si>
    <t>John Speirs, Joanna Cole, Bruce Degen</t>
  </si>
  <si>
    <t>closet_3rd-4th-grade-chapter-books (#50)</t>
  </si>
  <si>
    <t>Una Momia al Amanecer</t>
  </si>
  <si>
    <t>Salvatore Murdocca, Lectorum Publications</t>
  </si>
  <si>
    <t>Vintage Español</t>
  </si>
  <si>
    <t>to-read (#183), 1-x-4_spanish-picture-books_a (#34)</t>
  </si>
  <si>
    <t>Búfalos antes del desayuno (La casa del árbol #18)</t>
  </si>
  <si>
    <t>Salvatore Murdocca, Marcela Brovelli</t>
  </si>
  <si>
    <t>4-x-4-early-elem-chapter-books_a (#18)</t>
  </si>
  <si>
    <t>Midnight on the Moon (Magic Tree House, #8)</t>
  </si>
  <si>
    <t>closet_3rd-4th-grade-chapter-books (#49)</t>
  </si>
  <si>
    <t>Junie B. Jones and Some Sneaky Peaky Spying (Junie B. Jones, #4)</t>
  </si>
  <si>
    <t>4-x-4-early-elem-chapter-books_d (#7)</t>
  </si>
  <si>
    <t>Color Your Own Stickers: 500 Stickers to Design, Color, and Customize (Pipsticks+Workman)</t>
  </si>
  <si>
    <t>Pipsticks®+Workman®</t>
  </si>
  <si>
    <t>Pipsticks®+Workman®, Pipsticks®+Workman®</t>
  </si>
  <si>
    <t>closet_coloring-and-sticker-books (#7)</t>
  </si>
  <si>
    <t>That's Disgusting!</t>
  </si>
  <si>
    <t>Francesco Pittau</t>
  </si>
  <si>
    <t>Pittau, Francesco</t>
  </si>
  <si>
    <t>Bernadette Gervais</t>
  </si>
  <si>
    <t>4x4-picture-books-n (#2)</t>
  </si>
  <si>
    <t>Curious George Learns the Alphabet</t>
  </si>
  <si>
    <t>backpacks_abc-books (#2)</t>
  </si>
  <si>
    <t>Curious George Flies a Kite</t>
  </si>
  <si>
    <t>5x5-picture-books_l (#17)</t>
  </si>
  <si>
    <t>The Good, the Bad, and the Goofy (Time Warp Trio #3)</t>
  </si>
  <si>
    <t>closet_late-elem_chapter-books (#131)</t>
  </si>
  <si>
    <t>Yertle the Turtle and Other Stories</t>
  </si>
  <si>
    <t>closet_black-bin-dr-seuss (#18), 5x5-picture-books_g (#31)</t>
  </si>
  <si>
    <t>Nate the Great Goes Down in the Dumps</t>
  </si>
  <si>
    <t>4-x-4-early-elem-chapter-books_g (#34)</t>
  </si>
  <si>
    <t>Nate the Great and the Boring Beach Bag</t>
  </si>
  <si>
    <t>4-x-4-early-elem-chapter-books_g (#33)</t>
  </si>
  <si>
    <t>Nate the Great and the Monster Mess</t>
  </si>
  <si>
    <t>Martha Weston</t>
  </si>
  <si>
    <t>4-x-4-early-elem-chapter-books_g (#31)</t>
  </si>
  <si>
    <t>Meet the Bobs and Tweets (Bobs and Tweets #1)</t>
  </si>
  <si>
    <t>5x5_middle_chapter_books_j (#6), 5x5 (#14)</t>
  </si>
  <si>
    <t>Minnie Mouse: Big Dreams (Disney Original Graphic Novel)</t>
  </si>
  <si>
    <t>Artful Doodlers Ltd.</t>
  </si>
  <si>
    <t>closet_3rd-4th-grade-chapter-books, 4-x-4-early-elem-chapter-books_c</t>
  </si>
  <si>
    <t>closet_3rd-4th-grade-chapter-books (#5), 4-x-4-early-elem-chapter-books_c (#18)</t>
  </si>
  <si>
    <t>Mini Mysteries: 20 Tricky Tales to Untangle (American Girl Library)</t>
  </si>
  <si>
    <t>Rick Walton</t>
  </si>
  <si>
    <t>Walton, Rick</t>
  </si>
  <si>
    <t>Trula Magruder, Lauren Scheuer</t>
  </si>
  <si>
    <t>Amer Girl</t>
  </si>
  <si>
    <t>closet_late-elem_chapter-books (#94)</t>
  </si>
  <si>
    <t>Live Good</t>
  </si>
  <si>
    <t>Compendium Inc</t>
  </si>
  <si>
    <t>4x4-picture-books-j (#16)</t>
  </si>
  <si>
    <t>The Great Egyptian Grave Robbery (Flat Stanley's Worldwide Adventures #2)</t>
  </si>
  <si>
    <t>Sara Pennypacker, Macky Pamintuan</t>
  </si>
  <si>
    <t>4-x-4-early-elem-chapter-books_d (#17)</t>
  </si>
  <si>
    <t>Diario de una Lechuza #5: El Día de Corazones Cálidos (Owl Diaries #5: Warm Hearts Day)</t>
  </si>
  <si>
    <t>4-x-4-early-elem-chapter-books_j (#38)</t>
  </si>
  <si>
    <t>Encyclopedia Brown and the Case of the Soccer Scheme</t>
  </si>
  <si>
    <t>Donald J. Sobol</t>
  </si>
  <si>
    <t>Sobol, Donald J.</t>
  </si>
  <si>
    <t>James Bernadin</t>
  </si>
  <si>
    <t>closet_late-elem_chapter-books (#49)</t>
  </si>
  <si>
    <t>Junie B., First Grader: Shipwrecked (Junie B. Jones, #23)</t>
  </si>
  <si>
    <t>Listening Library</t>
  </si>
  <si>
    <t>4-x-4-early-elem-chapter-books_d (#2)</t>
  </si>
  <si>
    <t>Junie B. Jones and That Meanie Jim's Birthday (Junie B. Jones, #6)</t>
  </si>
  <si>
    <t>4-x-4-early-elem-chapter-books_d (#8)</t>
  </si>
  <si>
    <t>Mercy Watson: Something Wonky This Way Comes</t>
  </si>
  <si>
    <t>4-x-4-early-elem-chapter-books_g (#10)</t>
  </si>
  <si>
    <t>Miss Lazar Is Bizarre! (My Weird School, #9)</t>
  </si>
  <si>
    <t>Jim Paillot</t>
  </si>
  <si>
    <t>closet_3rd-4th-grade-chapter-books (#81), 4-x-4-early-elem-chapter-books_e (#18)</t>
  </si>
  <si>
    <t>Junie B., First Grader: Boo...and I Mean It! (Junie B. Jones, #24)</t>
  </si>
  <si>
    <t>4-x-4-early-elem-chapter-books_d (#12)</t>
  </si>
  <si>
    <t>Sophia and Rainbow (Unicorn Academy: Where Magic Happens, #1)</t>
  </si>
  <si>
    <t>Julie Sykes</t>
  </si>
  <si>
    <t>Sykes, Julie</t>
  </si>
  <si>
    <t>Nosy Crow Ltd</t>
  </si>
  <si>
    <t>closet_late-elem_chapter-books (#102)</t>
  </si>
  <si>
    <t>A Smart Girl's Guide to Friendship Troubles: Dealing With Fights, Being Left Out and the  Whole Popularity thing</t>
  </si>
  <si>
    <t>Patti Kelley Criswell</t>
  </si>
  <si>
    <t>Criswell, Patti Kelley</t>
  </si>
  <si>
    <t>Angela Martini</t>
  </si>
  <si>
    <t>Amer Girl Pub</t>
  </si>
  <si>
    <t>4x4-picture-books-p (#20)</t>
  </si>
  <si>
    <t>Cranky Paws (Pet Vet, #1)</t>
  </si>
  <si>
    <t>Darrel Odgers</t>
  </si>
  <si>
    <t>Odgers, Darrel</t>
  </si>
  <si>
    <t>Sally Odgers, Janine Dawson</t>
  </si>
  <si>
    <t>4-x4-early-elem-chapter-books_b (#17)</t>
  </si>
  <si>
    <t>Super Rabbit Boy Powers Up! (Press Start! #2)</t>
  </si>
  <si>
    <t>4-x-4-early-elem-chapter-books_c (#15)</t>
  </si>
  <si>
    <t>The Princess in Black Takes a Vacation (The Princess in Black #4)</t>
  </si>
  <si>
    <t>Dean Hale, LeUyen Pham</t>
  </si>
  <si>
    <t>Candlewick press</t>
  </si>
  <si>
    <t>4-x-4-early-elem-chapter-books_g (#5)</t>
  </si>
  <si>
    <t>Little Leaders: Bold Women in Black History</t>
  </si>
  <si>
    <t>Harrison, Vashti</t>
  </si>
  <si>
    <t>4x4-picture-books-p (#14)</t>
  </si>
  <si>
    <t>Pintores mexicanos de la A a la Z / Mexican Painters from A to Z (Libros Del Alba) (Spanish Edition)</t>
  </si>
  <si>
    <t>Gabriela Olmos</t>
  </si>
  <si>
    <t>Olmos, Gabriela</t>
  </si>
  <si>
    <t>Artes De Mexico Y Del Mundo S.A.</t>
  </si>
  <si>
    <t>4x4-picture-books-o (#28)</t>
  </si>
  <si>
    <t>Junie B., First Grader: Cheater Pants (Junie B. Jones, #21)</t>
  </si>
  <si>
    <t>white-bookshelf-g (#16)</t>
  </si>
  <si>
    <t>The Dark Knight: Batman vs. the Penguin</t>
  </si>
  <si>
    <t>Laurie S. Sutton</t>
  </si>
  <si>
    <t>Sutton, Laurie S.</t>
  </si>
  <si>
    <t>5x5-middle-chapter-books_b</t>
  </si>
  <si>
    <t>5x5-middle-chapter-books_b (#6)</t>
  </si>
  <si>
    <t>Lola Levine y unas vacaciones de ensueño (Lola Levine and the Vacation Dream)</t>
  </si>
  <si>
    <t>Angela  Dominguez</t>
  </si>
  <si>
    <t>Generic</t>
  </si>
  <si>
    <t>white-bookshelf-h, 4-x-4-early-elem-chapter-books_a</t>
  </si>
  <si>
    <t>white-bookshelf-h (#5), 4-x-4-early-elem-chapter-books_a (#16)</t>
  </si>
  <si>
    <t>The Princess in Black and the Perfect Princess Party (The Princess in Black #2)</t>
  </si>
  <si>
    <t>4-x-4-early-elem-chapter-books_g (#3)</t>
  </si>
  <si>
    <t>The Princess in Black (The Princess in Black, #1)</t>
  </si>
  <si>
    <t>closet_3rd-4th-grade-chapter-books (#17), 4-x-4-early-elem-chapter-books_g (#2)</t>
  </si>
  <si>
    <t>Sol-Ray Man and the Freaky Flood (The Escapades of Clint McCool #2)</t>
  </si>
  <si>
    <t>Jane     Kelley</t>
  </si>
  <si>
    <t>Kelley, Jane</t>
  </si>
  <si>
    <t>Jessika von Innerebner</t>
  </si>
  <si>
    <t>closet_middle-school-chapter-books (#27)</t>
  </si>
  <si>
    <t>Junie B. en primer grado es un espectáculo (Junie B. Jones, #22)</t>
  </si>
  <si>
    <t>white-bookshelf-g, 4-x-4-early-elem-chapter-books_d</t>
  </si>
  <si>
    <t>white-bookshelf-g (#23), 4-x-4-early-elem-chapter-books_d (#13)</t>
  </si>
  <si>
    <t>The Wonders Inside The Human Body</t>
  </si>
  <si>
    <t>Jan Stradling</t>
  </si>
  <si>
    <t>Stradling, Jan</t>
  </si>
  <si>
    <t>Silver Dolphin</t>
  </si>
  <si>
    <t>4x4-picture-books-c (#50)</t>
  </si>
  <si>
    <t>El Cascanueces y el Rey de los Ratones (Infantil-Juvenil) (Spanish Edition)</t>
  </si>
  <si>
    <t>E.T.A. Hoffmann</t>
  </si>
  <si>
    <t>Hoffmann, E.T.A.</t>
  </si>
  <si>
    <t>Editorial Verbum</t>
  </si>
  <si>
    <t>white-bookshelf-h (#1), 4-x-4-early-elem-chapter-books_a (#27)</t>
  </si>
  <si>
    <t>Sharks for Kids: A Junior Scientist's Guide to Great Whites, Hammerheads, and Other Sharks in the Sea</t>
  </si>
  <si>
    <t>David McGuire</t>
  </si>
  <si>
    <t>McGuire, David</t>
  </si>
  <si>
    <t>teacher-grants (#19)</t>
  </si>
  <si>
    <t>Baby Animals (Snapshot Picture Library)</t>
  </si>
  <si>
    <t>Snapshot Picture Library</t>
  </si>
  <si>
    <t>Library, Snapshot Picture</t>
  </si>
  <si>
    <t>Fog City Press</t>
  </si>
  <si>
    <t>5x5-picture-books-e (#61)</t>
  </si>
  <si>
    <t>Horrid Henry Robs The Bank (Horrid Henry, #17)</t>
  </si>
  <si>
    <t>Francesca Simon</t>
  </si>
  <si>
    <t>Simon, Francesca</t>
  </si>
  <si>
    <t>Orion</t>
  </si>
  <si>
    <t>4-x4-early-elem-chapter-books_b (#27)</t>
  </si>
  <si>
    <t>Clifford the Big Red Dog: The Movie Graphic Novel</t>
  </si>
  <si>
    <t>Georgia Ball</t>
  </si>
  <si>
    <t>Ball, Georgia</t>
  </si>
  <si>
    <t>Chi Ngo</t>
  </si>
  <si>
    <t>white-bookshelf-i, 4-x-4-early-elem-chapter-books_c</t>
  </si>
  <si>
    <t>white-bookshelf-i (#6), 4-x-4-early-elem-chapter-books_c (#12)</t>
  </si>
  <si>
    <t>Warren &amp; Dragon Volcano Deluxe</t>
  </si>
  <si>
    <t>Mike Malbrough</t>
  </si>
  <si>
    <t>closet_3rd-4th-grade-chapter-books (#64)</t>
  </si>
  <si>
    <t>Pocket Michelle Obama Wisdom: Wise and Inspirational Words from Michelle Obama</t>
  </si>
  <si>
    <t>Hardie Grant Books</t>
  </si>
  <si>
    <t>Books, Hardie Grant</t>
  </si>
  <si>
    <t>Quadrille</t>
  </si>
  <si>
    <t>4x4-picture-books-o (#1)</t>
  </si>
  <si>
    <t>Clifford the Small Red Puppy</t>
  </si>
  <si>
    <t>5x5-picture-books_l (#29)</t>
  </si>
  <si>
    <t>Flat Stanley (Flat Stanley, #1)</t>
  </si>
  <si>
    <t>closet_late-elem_chapter-books (#42)</t>
  </si>
  <si>
    <t>Animals Animals</t>
  </si>
  <si>
    <t>Laura Whipple</t>
  </si>
  <si>
    <t>teacher-grants, white-bookshelf-n, 5x5-picture-books_l</t>
  </si>
  <si>
    <t>teacher-grants (#117), white-bookshelf-n (#11), 5x5-picture-books_l (#38)</t>
  </si>
  <si>
    <t>¡La escuela está viva! (Escuela de Espanto #1)</t>
  </si>
  <si>
    <t>Jack Chabert</t>
  </si>
  <si>
    <t>Chabert, Jack</t>
  </si>
  <si>
    <t>Sam Ricks</t>
  </si>
  <si>
    <t>4-x-4-early-elem-chapter-books_j (#11)</t>
  </si>
  <si>
    <t>¡El casillero se comió a Lucía! (Escuela de Espanto #2)</t>
  </si>
  <si>
    <t>4-x-4-early-elem-chapter-books_j (#18)</t>
  </si>
  <si>
    <t>Daisy the Kitten (Dr. KittyCat, #3)</t>
  </si>
  <si>
    <t>Jane Clarke</t>
  </si>
  <si>
    <t>Clarke, Jane</t>
  </si>
  <si>
    <t>OUP Oxford; edition (2015-07-02)</t>
  </si>
  <si>
    <t>closet_late-elem_chapter-books (#113)</t>
  </si>
  <si>
    <t>Cutest Kittens Ever</t>
  </si>
  <si>
    <t>Harriet Stone</t>
  </si>
  <si>
    <t>QEB Publishing Inc.</t>
  </si>
  <si>
    <t>5x5-picture-books-e (#83)</t>
  </si>
  <si>
    <t>Wonder Woman Jumbo Coloring &amp; Activity Book</t>
  </si>
  <si>
    <t>DC Comics</t>
  </si>
  <si>
    <t>Comics, DC</t>
  </si>
  <si>
    <t>closet_coloring-and-sticker-books (#11)</t>
  </si>
  <si>
    <t>Day of the Night Crawlers (The Notebook of Doom, #2)</t>
  </si>
  <si>
    <t>Troy Cummings</t>
  </si>
  <si>
    <t>Cummings, Troy</t>
  </si>
  <si>
    <t>4-x-4-early-elem-chapter-books_j (#20)</t>
  </si>
  <si>
    <t>Rise of the Balloon Goons (The Notebook of Doom, #1)</t>
  </si>
  <si>
    <t>4-x-4-early-elem-chapter-books_j (#19)</t>
  </si>
  <si>
    <t>The Twits</t>
  </si>
  <si>
    <t>closet_late-elem_chapter-books (#58)</t>
  </si>
  <si>
    <t>Happiest Animals ever</t>
  </si>
  <si>
    <t>Nancy Dickmann</t>
  </si>
  <si>
    <t>Dickmann, Nancy</t>
  </si>
  <si>
    <t>5x5-picture-books-e (#58)</t>
  </si>
  <si>
    <t>X Marks the Spot (Puppy Pirates #2)</t>
  </si>
  <si>
    <t>Erin Soderberg Downing</t>
  </si>
  <si>
    <t>Downing, Erin Soderberg</t>
  </si>
  <si>
    <t>closet_3rd-4th-grade-chapter-books (#22), 4-x4-early-elem-chapter-books_b (#20)</t>
  </si>
  <si>
    <t>Fox &amp; Rabbit Celebrate (Fox  Rabbit Book #3)</t>
  </si>
  <si>
    <t>Beth Ferry</t>
  </si>
  <si>
    <t>Ferry, Beth</t>
  </si>
  <si>
    <t>Gergely Dudas</t>
  </si>
  <si>
    <t>Abrams Fanfare</t>
  </si>
  <si>
    <t>white-bookshelf-g, 4-x-4-early-elem-chapter-books_c</t>
  </si>
  <si>
    <t>white-bookshelf-g (#24), 4-x-4-early-elem-chapter-books_c (#19)</t>
  </si>
  <si>
    <t>Sweet Buttercup: A Branches Book (Silver Pony Ranch #2): A Branches Book (2)</t>
  </si>
  <si>
    <t>D.L. Green</t>
  </si>
  <si>
    <t>Green, D.L.</t>
  </si>
  <si>
    <t>Emily Wallis</t>
  </si>
  <si>
    <t>4-x-4-early-elem-chapter-books_j (#13)</t>
  </si>
  <si>
    <t>Sparkling Jewel (Silver Pony Ranch #1)</t>
  </si>
  <si>
    <t>4-x-4-early-elem-chapter-books_j (#14)</t>
  </si>
  <si>
    <t>Mr. Corbett Is in Orbit! (My Weird School Graphic Novel, #1)</t>
  </si>
  <si>
    <t>HarperAlley</t>
  </si>
  <si>
    <t>4-x-4-early-elem-chapter-books_e</t>
  </si>
  <si>
    <t>4-x-4-early-elem-chapter-books_e (#21)</t>
  </si>
  <si>
    <t>Mrs. Roopy Is Loopy! (My Weird School, #3)</t>
  </si>
  <si>
    <t>4-x-4-early-elem-chapter-books_e (#15)</t>
  </si>
  <si>
    <t>Miss Daisy Is Crazy! (My Weird School, #1)</t>
  </si>
  <si>
    <t>4-x-4-early-elem-chapter-books_e (#8)</t>
  </si>
  <si>
    <t>Ms. Hannah Is Bananas! (My Weird School, #4)</t>
  </si>
  <si>
    <t>closet_3rd-4th-grade-chapter-books (#86), 4-x-4-early-elem-chapter-books_e (#17)</t>
  </si>
  <si>
    <t>Mrs. Kormel Is Not Normal! (My Weird School, #11)</t>
  </si>
  <si>
    <t>closet_3rd-4th-grade-chapter-books (#79), 4-x-4-early-elem-chapter-books_e (#19)</t>
  </si>
  <si>
    <t>The Princess in Black and the Mysterious Playdate (The Princess in Black #5)</t>
  </si>
  <si>
    <t>4-x-4-early-elem-chapter-books_g (#6)</t>
  </si>
  <si>
    <t>The Princess in Black and the Science Fair Scare (The Princess in Black #6)</t>
  </si>
  <si>
    <t>4-x-4-early-elem-chapter-books_g (#1)</t>
  </si>
  <si>
    <t>The Princess in Black and the Hungry Bunny Horde (The Princess in Black, #3)</t>
  </si>
  <si>
    <t>closet_3rd-4th-grade-chapter-books (#87), 4-x-4-early-elem-chapter-books_g (#4)</t>
  </si>
  <si>
    <t>Sign Language for Kids: A Fun &amp; Easy Guide to American Sign Language</t>
  </si>
  <si>
    <t>Lora Heller</t>
  </si>
  <si>
    <t>Heller, Lora</t>
  </si>
  <si>
    <t>teacher-grants (#73)</t>
  </si>
  <si>
    <t>Queen of the World! (Babymouse, #1)</t>
  </si>
  <si>
    <t>Jennifer L. Holm</t>
  </si>
  <si>
    <t>Holm, Jennifer L.</t>
  </si>
  <si>
    <t>Matthew Holm</t>
  </si>
  <si>
    <t>Random House Graphic</t>
  </si>
  <si>
    <t>closet_3rd-4th-grade-chapter-books, 4-x-4-early-elem-chapter-books_a</t>
  </si>
  <si>
    <t>closet_3rd-4th-grade-chapter-books (#20), 4-x-4-early-elem-chapter-books_a (#13)</t>
  </si>
  <si>
    <t>Athena &amp; the Magic Land (Little Goddess Girls #1)</t>
  </si>
  <si>
    <t>Suzanne Williams, Yuyi Chen</t>
  </si>
  <si>
    <t>closet_late-elem_chapter-books (#103)</t>
  </si>
  <si>
    <t>Stranger Things: The Other Side</t>
  </si>
  <si>
    <t>Jody Houser</t>
  </si>
  <si>
    <t>Houser, Jody</t>
  </si>
  <si>
    <t>Stefano Martino, Keith Champagne</t>
  </si>
  <si>
    <t>Dark Horse Books</t>
  </si>
  <si>
    <t>5x5-picture-books-e (#3)</t>
  </si>
  <si>
    <t>Survivors: Inspiring True Stories of Survival</t>
  </si>
  <si>
    <t>Ben Hubbard</t>
  </si>
  <si>
    <t>Hubbard, Ben</t>
  </si>
  <si>
    <t>Welbeck Children's Books</t>
  </si>
  <si>
    <t>closet_middle-school-chapter-books (#43)</t>
  </si>
  <si>
    <t>Mateo's Progress: Tales for Children of All Ages / Jornadas de Mateo: Cuentos para Ninos de Todas las Edades (English and Spanish Edition)</t>
  </si>
  <si>
    <t>Alejandro Lorenzo</t>
  </si>
  <si>
    <t>Lorenzo, Alejandro</t>
  </si>
  <si>
    <t>Kaori</t>
  </si>
  <si>
    <t>Pureplay Pr</t>
  </si>
  <si>
    <t>1-x-4-spanish-picture-books_b (#12)</t>
  </si>
  <si>
    <t>Once Upon a Time/Habia una vez: Traditional Latin American Tales/Cuentos tradicionales latinoamericanos (Bilingual English-Spanish) (Spanish Edition)</t>
  </si>
  <si>
    <t>Rueben Martinez</t>
  </si>
  <si>
    <t>Martinez, Rueben</t>
  </si>
  <si>
    <t>4x4-picture-books-g (#78)</t>
  </si>
  <si>
    <t>Kiki: My Stylish Life (Lotus Lane, #1)</t>
  </si>
  <si>
    <t>4-x-4-early-elem-chapter-books_j (#12)</t>
  </si>
  <si>
    <t>Peach and Plum: Here We Come!</t>
  </si>
  <si>
    <t>Little, Brown Ink</t>
  </si>
  <si>
    <t>5x5-picture-books-d, 4-x-4-early-elem-chapter-books_c</t>
  </si>
  <si>
    <t>5x5-picture-books-d (#4), 4-x-4-early-elem-chapter-books_c (#21)</t>
  </si>
  <si>
    <t>High in the Clouds</t>
  </si>
  <si>
    <t>Paul McCartney</t>
  </si>
  <si>
    <t>McCartney, Paul</t>
  </si>
  <si>
    <t>Geoff Dunbar, Philip Ardagh</t>
  </si>
  <si>
    <t>white-bookshelf-l (#10), 5x5-picture-books-c (#56)</t>
  </si>
  <si>
    <t>Zipper (The Puppy Place, #34)</t>
  </si>
  <si>
    <t>closet_3rd-4th-grade-chapter-books (#59), 4-x4-early-elem-chapter-books_b (#10)</t>
  </si>
  <si>
    <t>Molly (The Puppy Place, #31)</t>
  </si>
  <si>
    <t>closet_3rd-4th-grade-chapter-books (#58), 4-x4-early-elem-chapter-books_b (#13)</t>
  </si>
  <si>
    <t>Perros salvajes a la hora de la cena (La casa del árbol #20)</t>
  </si>
  <si>
    <t>4-x-4-early-elem-chapter-books_a (#17)</t>
  </si>
  <si>
    <t>The Mount Rushmore Calamity (Flat Stanley's Worldwide Adventures, #1)</t>
  </si>
  <si>
    <t>4-x-4-early-elem-chapter-books_d (#15)</t>
  </si>
  <si>
    <t>The Captain Underpants Extra-Crunchy Book o' Fun (Captain Underpants, #13)</t>
  </si>
  <si>
    <t>4-x-4-early-elem-chapter-books_f (#3)</t>
  </si>
  <si>
    <t>Art and How it Works: An Introduction to Art for Children</t>
  </si>
  <si>
    <t>4x4-picture-books-o (#27)</t>
  </si>
  <si>
    <t>The Usborne Internet-linked Complete Book of the Microscope (Complete Books)</t>
  </si>
  <si>
    <t>Kirsteen Rogers</t>
  </si>
  <si>
    <t>Rogers, Kirsteen</t>
  </si>
  <si>
    <t>to-read</t>
  </si>
  <si>
    <t>to-read (#178)</t>
  </si>
  <si>
    <t>Monkey Me and the Pet Show (Monkey Me #2)</t>
  </si>
  <si>
    <t>Timothy Roland</t>
  </si>
  <si>
    <t>Roland, Timothy</t>
  </si>
  <si>
    <t>4-x-4-early-elem-chapter-books_j (#25)</t>
  </si>
  <si>
    <t>Monkey Me and the School Ghost: A Branches Book (Monkey Me #4) (4)</t>
  </si>
  <si>
    <t>4-x-4-early-elem-chapter-books_j (#26)</t>
  </si>
  <si>
    <t>The Deadly Dungeon (A to Z Mysteries, #4)</t>
  </si>
  <si>
    <t>5x5_middle_chapter_books_j (#17), 5x5 (#10)</t>
  </si>
  <si>
    <t>The Falcon's Feathers (A to Z Mysteries, #6)</t>
  </si>
  <si>
    <t>closet_late-elem_chapter-books (#55)</t>
  </si>
  <si>
    <t>The Empty Envelope (A to Z Mysteries, #5)</t>
  </si>
  <si>
    <t>closet_late-elem_chapter-books (#54)</t>
  </si>
  <si>
    <t>The Canary Caper (A to Z Mysteries, #3)</t>
  </si>
  <si>
    <t>closet_late-elem_chapter-books (#66)</t>
  </si>
  <si>
    <t>The Little Prince</t>
  </si>
  <si>
    <t>Antoine de Saint-Exupéry</t>
  </si>
  <si>
    <t>Saint-Exupéry, Antoine de</t>
  </si>
  <si>
    <t>Richard Howard</t>
  </si>
  <si>
    <t>Harcourt, Inc.</t>
  </si>
  <si>
    <t>white-bookshelf-l (#40), 5x5-picture-books-c (#50)</t>
  </si>
  <si>
    <t>Fish Feud! (Squidding Around, #1)</t>
  </si>
  <si>
    <t>Kevin Sherry</t>
  </si>
  <si>
    <t>Sherry, Kevin</t>
  </si>
  <si>
    <t>closet_3rd-4th-grade-chapter-books (#6)</t>
  </si>
  <si>
    <t>The Cosmic Collector (Korgi, #2)</t>
  </si>
  <si>
    <t>Christian Slade</t>
  </si>
  <si>
    <t>Slade, Christian</t>
  </si>
  <si>
    <t>Top Shelf Productions</t>
  </si>
  <si>
    <t>4x4-picture-books-d (#4)</t>
  </si>
  <si>
    <t>Encyclopedia Brown Tracks Them Down (Encyclopedia Brown, #8)</t>
  </si>
  <si>
    <t>Bantam-Skylark</t>
  </si>
  <si>
    <t>closet_late-elem_chapter-books (#53)</t>
  </si>
  <si>
    <t>Encyclopedia Brown Solves Them All (Encyclopedia Brown, #5)</t>
  </si>
  <si>
    <t>Leonard W. Shortall</t>
  </si>
  <si>
    <t>closet_late-elem_chapter-books (#50)</t>
  </si>
  <si>
    <t>A-maze-ing airplanes</t>
  </si>
  <si>
    <t>closet_coloring-and-sticker-books (#2)</t>
  </si>
  <si>
    <t>A-maze-ing cool cars</t>
  </si>
  <si>
    <t>closet_coloring-and-sticker-books (#1)</t>
  </si>
  <si>
    <t>Lost in the Snow</t>
  </si>
  <si>
    <t>Holly Webb</t>
  </si>
  <si>
    <t>Webb, Holly</t>
  </si>
  <si>
    <t>closet_3rd-4th-grade-chapter-books (#19), 4-x4-early-elem-chapter-books_b (#8)</t>
  </si>
  <si>
    <t>El despertar del dragón de tierra / Dragon Masters: Rise of the Earth Dragon (Escuela de dragones) (Spanish Edition)</t>
  </si>
  <si>
    <t>Graham Howells, Scheherezade Surià</t>
  </si>
  <si>
    <t>Molino</t>
  </si>
  <si>
    <t>4-x-4-early-elem-chapter-books_j (#17)</t>
  </si>
  <si>
    <t>El rescate de la dragona del sol / Dragon Masters: Saving the Sun Dragon (Escuela de dragones) (Spanish Edition)</t>
  </si>
  <si>
    <t>4-x-4-early-elem-chapter-books_j (#16)</t>
  </si>
  <si>
    <t>Guarding the Invisible Dragons (Dragon Masters #22)</t>
  </si>
  <si>
    <t>Matt Loveridge</t>
  </si>
  <si>
    <t>4-x-4-early-elem-chapter-books_j (#15)</t>
  </si>
  <si>
    <t>Saving the Sun Dragon (Dragon Masters #2)</t>
  </si>
  <si>
    <t>Graham Howells</t>
  </si>
  <si>
    <t>closet_3rd-4th-grade-chapter-books (#32)</t>
  </si>
  <si>
    <t>Rise of the Earth Dragon (Dragon Masters, #1)</t>
  </si>
  <si>
    <t>closet_3rd-4th-grade-chapter-books (#31)</t>
  </si>
  <si>
    <t>Talent Showdown (Pokémon Chapter Book, #14)</t>
  </si>
  <si>
    <t>closet_late-elem_chapter-books (#31)</t>
  </si>
  <si>
    <t>I Want to Sleep Under the Stars! (Unlimited Squirrels, #3)</t>
  </si>
  <si>
    <t>5x5-picture-books-f (#32)</t>
  </si>
  <si>
    <t>I Lost My Tooth! (Unlimited Squirrels, #1)</t>
  </si>
  <si>
    <t>5x5-picture-books-f (#16)</t>
  </si>
  <si>
    <t>Breathe Like a Bear: 30 Mindful Moments for Kids to Feel Calm and Focused Anytime, Anywhere</t>
  </si>
  <si>
    <t>Kira Willey</t>
  </si>
  <si>
    <t>Willey, Kira</t>
  </si>
  <si>
    <t>Anni Betts</t>
  </si>
  <si>
    <t>Rodale Kids</t>
  </si>
  <si>
    <t>backpacks_emotions (#8)</t>
  </si>
  <si>
    <t>Evette: The River and Me</t>
  </si>
  <si>
    <t>Olivia Duchess</t>
  </si>
  <si>
    <t>American Girl Publishing</t>
  </si>
  <si>
    <t>closet_late-elem_chapter-books (#129)</t>
  </si>
  <si>
    <t>The Family Under the Bridge</t>
  </si>
  <si>
    <t>Natalie Savage Carlson</t>
  </si>
  <si>
    <t>Carlson, Natalie Savage</t>
  </si>
  <si>
    <t>closet_late-elem_chapter-books (#89)</t>
  </si>
  <si>
    <t>Karen's Witch (Baby-Sitters Little Sister, #1)</t>
  </si>
  <si>
    <t>Ann M. Martin</t>
  </si>
  <si>
    <t>Martin, Ann M.</t>
  </si>
  <si>
    <t>4-x-4-early-elem-chapter-books_d (#23)</t>
  </si>
  <si>
    <t>Francine Poulet Meets the Ghost Raccoon</t>
  </si>
  <si>
    <t>4-x-4-early-elem-chapter-books_g (#8)</t>
  </si>
  <si>
    <t>Coloring Book: Jumbo Coloring and Activity Book</t>
  </si>
  <si>
    <t>Boundo Co Publishing</t>
  </si>
  <si>
    <t>closet_coloring-and-sticker-books (#12)</t>
  </si>
  <si>
    <t>¡El recreo es una jungla! (Escuela de Espanto #3)</t>
  </si>
  <si>
    <t>4-x-4-early-elem-chapter-books_j (#10)</t>
  </si>
  <si>
    <t>Mr. Docker Is Off His Rocker! (My Weird School, #10)</t>
  </si>
  <si>
    <t>closet_3rd-4th-grade-chapter-books (#80), 4-x-4-early-elem-chapter-books_e (#10)</t>
  </si>
  <si>
    <t>More Scary Stories to Tell in the Dark</t>
  </si>
  <si>
    <t>5x5-middle-chapter-books_a</t>
  </si>
  <si>
    <t>5x5-middle-chapter-books_a (#4)</t>
  </si>
  <si>
    <t>The Gold of Black Rock Hill: Decodable Chapter Books for Kids with Dyslexia</t>
  </si>
  <si>
    <t>Cigdem Knebel</t>
  </si>
  <si>
    <t>Knebel, Cigdem</t>
  </si>
  <si>
    <t>Simple Words Books</t>
  </si>
  <si>
    <t>teacher-grants (#61)</t>
  </si>
  <si>
    <t>Ms. Leakey Is Freaky! (My Weird School Daze, #12)</t>
  </si>
  <si>
    <t>4-x-4-early-elem-chapter-books_e (#13)</t>
  </si>
  <si>
    <t>King's Ring: Decodable Books for Striving Readers</t>
  </si>
  <si>
    <t>teacher-grants (#62)</t>
  </si>
  <si>
    <t>Fox Hunt: Decodable Chapter Book for Kids with Dyslexia (Kents' Quest)</t>
  </si>
  <si>
    <t>teacher-grants (#60)</t>
  </si>
  <si>
    <t>Sam Is Stuck: Decodable Chapter Book (Kents' Quest)</t>
  </si>
  <si>
    <t>teacher-grants (#59)</t>
  </si>
  <si>
    <t>Ricky Ricotta's Mighty Robot (Ricky Ricotta's Mighty Robot #1)</t>
  </si>
  <si>
    <t>4-x-4-early-elem-chapter-books_g (#24)</t>
  </si>
  <si>
    <t>Camille's Mermaid Tale (American Girl® WellieWishers™)</t>
  </si>
  <si>
    <t>Valerie Tripp</t>
  </si>
  <si>
    <t>Tripp, Valerie</t>
  </si>
  <si>
    <t>Thu Thai</t>
  </si>
  <si>
    <t>closet_late-elem_chapter-books (#118)</t>
  </si>
  <si>
    <t>Who is J.K. Rowling?</t>
  </si>
  <si>
    <t>Pam Pollack</t>
  </si>
  <si>
    <t>Pollack, Pam</t>
  </si>
  <si>
    <t>Meg Belviso, Stephen Marchesi, Nancy Harrison</t>
  </si>
  <si>
    <t>closet_who-was</t>
  </si>
  <si>
    <t>closet_who-was (#17)</t>
  </si>
  <si>
    <t>The Yak Pack: Sight Word Stories: Book 3: Comic Books to Practice Reading Dolch Sight Words (41-60) (The Yak Pack Comics Complete Series)</t>
  </si>
  <si>
    <t>Rumack Resources</t>
  </si>
  <si>
    <t>Resources, Rumack</t>
  </si>
  <si>
    <t>Susan Muscovitch M.Ed, Jalisa Henry</t>
  </si>
  <si>
    <t>teacher-grants (#57)</t>
  </si>
  <si>
    <t>The Tales of Beedle the Bard (Hogwarts Library, #3)</t>
  </si>
  <si>
    <t>Hermione Granger</t>
  </si>
  <si>
    <t>closet_late-elem_chapter-books, 5x5-middle-chapter-books_b, 5x5</t>
  </si>
  <si>
    <t>closet_late-elem_chapter-books (#15), 5x5-middle-chapter-books_b (#8), 5x5 (#2)</t>
  </si>
  <si>
    <t>The Incredible Twisting Arm (Magic Shop Series Book 2)</t>
  </si>
  <si>
    <t>Mike Lane, Eric Wight</t>
  </si>
  <si>
    <t>closet_late-elem_chapter-books (#101)</t>
  </si>
  <si>
    <t>The Yak Pack: Sight Word Stories: Book 1: Comic Books to Practice Reading Dolch Sight Words (1-20) (The Yak Pack Comics Complete Series)</t>
  </si>
  <si>
    <t>Susan Muscovitch M.Ed., Jalisa Henry</t>
  </si>
  <si>
    <t>teacher-grants (#56)</t>
  </si>
  <si>
    <t>The Yak Pack: Sight Word Stories: Book 4: Comic Books to Practice Reading Dolch Sight Words (61-80) (The Yak Pack Comics Complete Series)</t>
  </si>
  <si>
    <t>teacher-grants (#58)</t>
  </si>
  <si>
    <t>The Ultimate Colouring Book for Boys &amp; Girls - Dragons Dinos Robots Ninjas: Fantasy for Children Ages 4 5 6 7 8 9 10 - big, squared format - over 100 pages (The Ultimate Books Series)</t>
  </si>
  <si>
    <t>J.D. Evers</t>
  </si>
  <si>
    <t>Evers, J.D.</t>
  </si>
  <si>
    <t>Boys Colouring Books</t>
  </si>
  <si>
    <t>JD Evers</t>
  </si>
  <si>
    <t>teacher-grants (#104)</t>
  </si>
  <si>
    <t>I Survived the Destruction of Pompeii, AD 79</t>
  </si>
  <si>
    <t>5x5-middle-chapter-books_c (#4), 5x5 (#26)</t>
  </si>
  <si>
    <t>Mrs. Jafee Is Daffy! (My Weird School Daze, #6)</t>
  </si>
  <si>
    <t>4-x-4-early-elem-chapter-books_e (#5)</t>
  </si>
  <si>
    <t>The Trouble With Tink (Tales of Pixie Hollow, #1)</t>
  </si>
  <si>
    <t>Kiki Thorpe</t>
  </si>
  <si>
    <t>Thorpe, Kiki</t>
  </si>
  <si>
    <t>Judith H. Clarke</t>
  </si>
  <si>
    <t>A Stepping Stone Book</t>
  </si>
  <si>
    <t>closet_late-elem_chapter-books (#109)</t>
  </si>
  <si>
    <t>Bad Bunny Coloring Book: Cool Gift For Fans Of Bad Bunny With Flawless And Beautiful High-Quality Illustrations. A Huge Collection Of Bad Bunny For Fans Which Giving Creativity And Imagination.</t>
  </si>
  <si>
    <t>Gavin Moore</t>
  </si>
  <si>
    <t>Moore, Gavin</t>
  </si>
  <si>
    <t>closet_coloring-and-sticker-books (#6)</t>
  </si>
  <si>
    <t>Scary Stories to Tell in the Dark (Scary Stories, #1)</t>
  </si>
  <si>
    <t>5x5-middle-chapter-books_a (#26)</t>
  </si>
  <si>
    <t>Cuentos de Andersen</t>
  </si>
  <si>
    <t>Hans Christian Andersen</t>
  </si>
  <si>
    <t>Andersen, Hans Christian</t>
  </si>
  <si>
    <t>Marta Ponce</t>
  </si>
  <si>
    <t>Editorial Alma</t>
  </si>
  <si>
    <t>white-bookshelf-h (#4), 4-x-4-early-elem-chapter-books_a (#25)</t>
  </si>
  <si>
    <t>Bite, Sting, Kill: The Incredible Science of Toxins, Venom, Fangs, and Stingers (National Geographic Kids)</t>
  </si>
  <si>
    <t>Julie Beer</t>
  </si>
  <si>
    <t>Beer, Julie</t>
  </si>
  <si>
    <t>teacher-grants (#10)</t>
  </si>
  <si>
    <t>The Fran with Four Brains (Franny K. Stein, Mad Scientist, #6)</t>
  </si>
  <si>
    <t>Jim Benton</t>
  </si>
  <si>
    <t>Benton, Jim</t>
  </si>
  <si>
    <t>5x5-picture-books-c, 4-x-4-early-elem-chapter-books_f</t>
  </si>
  <si>
    <t>5x5-picture-books-c (#19), 4-x-4-early-elem-chapter-books_f (#14)</t>
  </si>
  <si>
    <t>Sophie the Hero (Sophie #2) (2)</t>
  </si>
  <si>
    <t>Laura Tallardy</t>
  </si>
  <si>
    <t>closet_late-elem_chapter-books, 5x5_middle_chapter_books_j</t>
  </si>
  <si>
    <t>closet_late-elem_chapter-books (#92), 5x5_middle_chapter_books_j (#12)</t>
  </si>
  <si>
    <t>Who Was Albert Einstein?</t>
  </si>
  <si>
    <t>Jess M. Brallier</t>
  </si>
  <si>
    <t>Brallier, Jess M.</t>
  </si>
  <si>
    <t>Who HQ, Robert Andrew Parker</t>
  </si>
  <si>
    <t>closet_who-was, 5x5-middle-chapter-books_c, 5x5</t>
  </si>
  <si>
    <t>closet_who-was (#5), 5x5-middle-chapter-books_c (#19), 5x5 (#40)</t>
  </si>
  <si>
    <t>Preschool Workbook</t>
  </si>
  <si>
    <t>Wiley Blevins</t>
  </si>
  <si>
    <t>teacher-grants (#116)</t>
  </si>
  <si>
    <t>Time to Sign</t>
  </si>
  <si>
    <t>Margeaux Lucas, Kathryn Clay</t>
  </si>
  <si>
    <t>teacher-grants (#75)</t>
  </si>
  <si>
    <t>Look at Lucy! (Absolutely Lucy, #3)</t>
  </si>
  <si>
    <t>Ilene Cooper</t>
  </si>
  <si>
    <t>Cooper, Ilene</t>
  </si>
  <si>
    <t>David Merrell</t>
  </si>
  <si>
    <t>closet_3rd-4th-grade-chapter-books (#23), 4-x4-early-elem-chapter-books_b (#22)</t>
  </si>
  <si>
    <t>Who Is Bill Gates? (Who Was?)</t>
  </si>
  <si>
    <t>Patricia Brennan Demuth</t>
  </si>
  <si>
    <t>Demuth, Patricia Brennan</t>
  </si>
  <si>
    <t>Ted Hammond, Nancy Harrison</t>
  </si>
  <si>
    <t>closet_who-was (#16), 5x5-middle-chapter-books_c (#32), 5x5 (#52)</t>
  </si>
  <si>
    <t>Who Is Temple Grandin? (Who Was?)</t>
  </si>
  <si>
    <t>Robert Squier</t>
  </si>
  <si>
    <t>closet_who-was, 5x5-middle-chapter-books_c</t>
  </si>
  <si>
    <t>closet_who-was (#9), 5x5-middle-chapter-books_c (#18)</t>
  </si>
  <si>
    <t>Who Was Laura Ingalls Wilder?</t>
  </si>
  <si>
    <t>Who HQ, Tim Foley</t>
  </si>
  <si>
    <t>closet_who-was (#15), 5x5-middle-chapter-books_c (#27), 5x5 (#47)</t>
  </si>
  <si>
    <t>Lost in the Tunnel of Time (Clubhouse Mysteries, #2)</t>
  </si>
  <si>
    <t>Sharon M. Draper</t>
  </si>
  <si>
    <t>Draper, Sharon M.</t>
  </si>
  <si>
    <t>Jesse Joshua Watson</t>
  </si>
  <si>
    <t>Who Was Stan Lee?</t>
  </si>
  <si>
    <t>Geoff Edgers</t>
  </si>
  <si>
    <t>Edgers, Geoff</t>
  </si>
  <si>
    <t>Who HQ, John Hinderliter</t>
  </si>
  <si>
    <t>5x5-middle-chapter-books_c (#16), 5x5 (#38)</t>
  </si>
  <si>
    <t>Who Was Queen Elizabeth I?</t>
  </si>
  <si>
    <t>June Eding</t>
  </si>
  <si>
    <t>Eding, June</t>
  </si>
  <si>
    <t>Who HQ, Nancy Harrison</t>
  </si>
  <si>
    <t>closet_who-was (#12), 5x5-middle-chapter-books_c (#12), 5x5 (#34)</t>
  </si>
  <si>
    <t>What Are Castles and Knights? (What Was?)</t>
  </si>
  <si>
    <t>Sarah Fabiny</t>
  </si>
  <si>
    <t>Fabiny, Sarah</t>
  </si>
  <si>
    <t>Who HQ, Dede Putra</t>
  </si>
  <si>
    <t>medieval, 5x5-middle-chapter-books_c, 5x5</t>
  </si>
  <si>
    <t>medieval (#4), 5x5-middle-chapter-books_c (#20), 5x5 (#41)</t>
  </si>
  <si>
    <t>Who Was Nikola Tesla?</t>
  </si>
  <si>
    <t>Jim Gigliotti</t>
  </si>
  <si>
    <t>Gigliotti, Jim</t>
  </si>
  <si>
    <t>John Hinderliter</t>
  </si>
  <si>
    <t>closet_who-was (#3), 5x5-middle-chapter-books_c (#33), 5x5 (#53)</t>
  </si>
  <si>
    <t>Who Was George Washington Carver?</t>
  </si>
  <si>
    <t>Who HQ, Stephen Marchesi</t>
  </si>
  <si>
    <t>closet_who-was, 5x5, 5x5-middle-chapter-books_c</t>
  </si>
  <si>
    <t>closet_who-was (#2), 5x5 (#48), 5x5-middle-chapter-books_c (#28)</t>
  </si>
  <si>
    <t>Who Was Stephen Hawking?</t>
  </si>
  <si>
    <t>Gregory Copeland</t>
  </si>
  <si>
    <t>closet_who-was (#1), 5x5-middle-chapter-books_c (#29), 5x5 (#49)</t>
  </si>
  <si>
    <t>How to Test a Friendship (The Magnificent Makers #1)</t>
  </si>
  <si>
    <t>Theanne Griffith</t>
  </si>
  <si>
    <t>Griffith, Theanne</t>
  </si>
  <si>
    <t>Reggie Brown</t>
  </si>
  <si>
    <t>closet_math-and-science (#32)</t>
  </si>
  <si>
    <t>Mrs. Lizzy Is Dizzy! (My Weird School Daze, #9)</t>
  </si>
  <si>
    <t>4-x-4-early-elem-chapter-books_e (#9)</t>
  </si>
  <si>
    <t>Miss Laney Is Zany! (My Weird School Daze, #8)</t>
  </si>
  <si>
    <t>4-x-4-early-elem-chapter-books_e (#7)</t>
  </si>
  <si>
    <t>Dr. Brad Has Gone Mad! (My Weird School Daze, #7)</t>
  </si>
  <si>
    <t>4-x-4-early-elem-chapter-books_e (#6)</t>
  </si>
  <si>
    <t>Coach Hyatt Is a Riot! (My Weird School Daze, #4)</t>
  </si>
  <si>
    <t>4-x-4-early-elem-chapter-books_e (#3)</t>
  </si>
  <si>
    <t>Mr. Granite Is from Another Planet! (My Weird School Daze, #3)</t>
  </si>
  <si>
    <t>4-x-4-early-elem-chapter-books_e (#2)</t>
  </si>
  <si>
    <t>Miss Small Is off the Wall! (My Weird School, #5)</t>
  </si>
  <si>
    <t>closet_3rd-4th-grade-chapter-books (#85), 4-x-4-early-elem-chapter-books_e (#4)</t>
  </si>
  <si>
    <t>Mrs. Dole Is Out of Control! (My Weird School Daze, #1)</t>
  </si>
  <si>
    <t>closet_3rd-4th-grade-chapter-books (#84), 4-x-4-early-elem-chapter-books_d (#31)</t>
  </si>
  <si>
    <t>Mr. Tony Is Full of Baloney! (My Weird School Daze, #11)</t>
  </si>
  <si>
    <t>closet_3rd-4th-grade-chapter-books (#83), 4-x-4-early-elem-chapter-books_e (#11)</t>
  </si>
  <si>
    <t>Mrs. Cooney Is Loony! (My Weird School, #7)</t>
  </si>
  <si>
    <t>closet_3rd-4th-grade-chapter-books (#82), 4-x-4-early-elem-chapter-books_e (#16)</t>
  </si>
  <si>
    <t>Mr. Sunny Is Funny! (My Weird School Daze, #2)</t>
  </si>
  <si>
    <t>closet_3rd-4th-grade-chapter-books (#30), 4-x-4-early-elem-chapter-books_e (#1)</t>
  </si>
  <si>
    <t>Officer Spence Makes No Sense! (My Weird School Daze, #5)</t>
  </si>
  <si>
    <t>closet_late-elem_chapter-books, 4-x-4-early-elem-chapter-books_e</t>
  </si>
  <si>
    <t>closet_late-elem_chapter-books (#91), 4-x-4-early-elem-chapter-books_e (#12)</t>
  </si>
  <si>
    <t>Who Was Jim Henson?</t>
  </si>
  <si>
    <t>closet_who-was (#13), 5x5-middle-chapter-books_c (#11), 5x5 (#33)</t>
  </si>
  <si>
    <t>Stranger Things: Science Camp</t>
  </si>
  <si>
    <t>Edgar Salazar, Keith Champagne</t>
  </si>
  <si>
    <t>closet_graphic-novels (#27)</t>
  </si>
  <si>
    <t>Quién fue Amelia Earhart?</t>
  </si>
  <si>
    <t>Kate Boehm Jerome</t>
  </si>
  <si>
    <t>Jerome, Kate Boehm</t>
  </si>
  <si>
    <t>David Cain</t>
  </si>
  <si>
    <t>to-read (#193), 1-x-4_spanish-picture-books_a (#44)</t>
  </si>
  <si>
    <t>Who Were the Navajo Code Talkers? (Who Was?)</t>
  </si>
  <si>
    <t>closet_who-was (#6), 5x5-middle-chapter-books_c (#17), 5x5 (#39)</t>
  </si>
  <si>
    <t>Who Is Dolly Parton? (Who Was?)</t>
  </si>
  <si>
    <t>Kelley, True</t>
  </si>
  <si>
    <t>closet_who-was (#10), 5x5-middle-chapter-books_c (#14), 5x5 (#36)</t>
  </si>
  <si>
    <t>The Astro Outlaw (Ballpark Mysteries, #4)</t>
  </si>
  <si>
    <t>David A. Kelly</t>
  </si>
  <si>
    <t>Kelly, David A.</t>
  </si>
  <si>
    <t>Mark Meyers</t>
  </si>
  <si>
    <t>4-x-4-early-elem-chapter-books_g (#14)</t>
  </si>
  <si>
    <t>The L.A. Dodger (Ballpark Mysteries, #3)</t>
  </si>
  <si>
    <t>4-x-4-early-elem-chapter-books_g (#13)</t>
  </si>
  <si>
    <t>The Fenway Foul-Up (Ballpark Mysteries, #1)</t>
  </si>
  <si>
    <t>to-read, 4-x-4-early-elem-chapter-books_g</t>
  </si>
  <si>
    <t>to-read (#13), 4-x-4-early-elem-chapter-books_g (#11)</t>
  </si>
  <si>
    <t>Ballpark Mysteries: The Dugout boxed set (books 1-4): The Fenway Foul-Up, The Pinstripe Ghost, The L.A. Dodger, The Astro Outlaw</t>
  </si>
  <si>
    <t>closet_3rd-4th-grade-chapter-books (#67)</t>
  </si>
  <si>
    <t>A Squirrelly Situation (Calpurnia Tate, Girl Vet #5)</t>
  </si>
  <si>
    <t>Jacqueline Kelly</t>
  </si>
  <si>
    <t>Kelly, Jacqueline</t>
  </si>
  <si>
    <t>Jennifer L. Meyer</t>
  </si>
  <si>
    <t>closet_late-elem_chapter-books (#96)</t>
  </si>
  <si>
    <t>Karen's Sleepover (Baby-Sitters Little Sister, #9)</t>
  </si>
  <si>
    <t>4-x-4-early-elem-chapter-books_d (#26)</t>
  </si>
  <si>
    <t>Stink: The Incredible Shrinking Kid</t>
  </si>
  <si>
    <t>Megan McDonald</t>
  </si>
  <si>
    <t>McDonald, Megan</t>
  </si>
  <si>
    <t>5x5-picture-books-f, 4-x4-early-elem-chapter-books_b</t>
  </si>
  <si>
    <t>5x5-picture-books-f (#11), 4-x4-early-elem-chapter-books_b (#28)</t>
  </si>
  <si>
    <t>Who Was Sojourner Truth?</t>
  </si>
  <si>
    <t>Yona Zeldis McDonough</t>
  </si>
  <si>
    <t>McDonough, Yona Zeldis</t>
  </si>
  <si>
    <t>Who HQ, Jim Eldridge</t>
  </si>
  <si>
    <t>closet_who-was (#19), 5x5-middle-chapter-books_c (#30), 5x5 (#50)</t>
  </si>
  <si>
    <t>What Was the Underground Railroad?</t>
  </si>
  <si>
    <t>Who HQ, Lauren Mortimer</t>
  </si>
  <si>
    <t>closet_who-was (#14), 5x5-middle-chapter-books_c (#10), 5x5 (#32)</t>
  </si>
  <si>
    <t>Who Was Rosa Parks?</t>
  </si>
  <si>
    <t>closet_who-was (#7), 5x5-middle-chapter-books_c (#21)</t>
  </si>
  <si>
    <t>Trick or Cheat? (The Alien Next Door, #4)</t>
  </si>
  <si>
    <t>A.I. Newton</t>
  </si>
  <si>
    <t>Newton, A.I.</t>
  </si>
  <si>
    <t>Anjan   Sarkar</t>
  </si>
  <si>
    <t>closet_late-elem_chapter-books (#99)</t>
  </si>
  <si>
    <t>The Tree Is Older Than You Are: A Bilingual Gathering of Poems &amp; Stories from Mexico</t>
  </si>
  <si>
    <t>Naomi Shihab Nye</t>
  </si>
  <si>
    <t>Nye, Naomi Shihab</t>
  </si>
  <si>
    <t>4x4-picture-books-e (#43)</t>
  </si>
  <si>
    <t>Nancy Clancy, Secret Admirer</t>
  </si>
  <si>
    <t>4-x-4-early-elem-chapter-books_g (#27)</t>
  </si>
  <si>
    <t>Heart of Gold (Cutiecorns #1)</t>
  </si>
  <si>
    <t>Shannon Penney</t>
  </si>
  <si>
    <t>Penney, Shannon</t>
  </si>
  <si>
    <t>Addy Rivera Sonda</t>
  </si>
  <si>
    <t>4-x4-early-elem-chapter-books_b (#1)</t>
  </si>
  <si>
    <t>Ricky Ricotta's Giant Robot vs. the Voodoo Vultures from Venus (Ricky Ricotta, #3)</t>
  </si>
  <si>
    <t>Martin Ontiveros</t>
  </si>
  <si>
    <t>4-x-4-early-elem-chapter-books_g (#26)</t>
  </si>
  <si>
    <t>Quien Fue Nelson Mandela? (Who Was Nelson Mandela?)</t>
  </si>
  <si>
    <t>Meg Belviso, Stephen Marchesi</t>
  </si>
  <si>
    <t>to-read (#192), 1-x-4_spanish-picture-books_a (#43)</t>
  </si>
  <si>
    <t>Piper Green and the Fairy Tree (Piper Green, #1)</t>
  </si>
  <si>
    <t>Ellen Potter</t>
  </si>
  <si>
    <t>Potter, Ellen</t>
  </si>
  <si>
    <t>Qin Leng</t>
  </si>
  <si>
    <t>4-x-4-early-elem-chapter-books_j (#2)</t>
  </si>
  <si>
    <t>Day of Play Jumbo Coloring &amp; Activity Book</t>
  </si>
  <si>
    <t>Bendon Publishing International, Inc.</t>
  </si>
  <si>
    <t>closet_coloring-and-sticker-books (#18)</t>
  </si>
  <si>
    <t>Who Is Bruce Springsteen? (Who Was?)</t>
  </si>
  <si>
    <t>Stephanie Sabol</t>
  </si>
  <si>
    <t>Sabol, Stephanie</t>
  </si>
  <si>
    <t>Who HQ, Gregory Copeland</t>
  </si>
  <si>
    <t>5x5, 5x5-middle-chapter-books_c</t>
  </si>
  <si>
    <t>5x5 (#45), 5x5-middle-chapter-books_c (#25)</t>
  </si>
  <si>
    <t>Third Grade Angels</t>
  </si>
  <si>
    <t>Jerry Spinelli</t>
  </si>
  <si>
    <t>Spinelli, Jerry</t>
  </si>
  <si>
    <t>closet_late-elem_chapter-books (#122)</t>
  </si>
  <si>
    <t>Who Is Steven Spielberg? (Who Was?)</t>
  </si>
  <si>
    <t>Stephanie Spinner</t>
  </si>
  <si>
    <t>Spinner, Stephanie</t>
  </si>
  <si>
    <t>Who HQ, Daniel Mather</t>
  </si>
  <si>
    <t>closet_who-was (#8), 5x5-middle-chapter-books_c (#26), 5x5 (#46)</t>
  </si>
  <si>
    <t>Who Was Walt Disney?</t>
  </si>
  <si>
    <t>Whitney Stewart</t>
  </si>
  <si>
    <t>Stewart, Whitney</t>
  </si>
  <si>
    <t>Nancy Harrison</t>
  </si>
  <si>
    <t>Grosset&amp;Dunlap</t>
  </si>
  <si>
    <t>closet_who-was (#11), 5x5-middle-chapter-books_c (#15), 5x5 (#37)</t>
  </si>
  <si>
    <t>The Phantom Of The Subway (Geronimo Stilton, #13)</t>
  </si>
  <si>
    <t>Geronimo Stilton</t>
  </si>
  <si>
    <t>Stilton, Geronimo</t>
  </si>
  <si>
    <t>closet_late-elem_chapter-books (#47)</t>
  </si>
  <si>
    <t>Who Is Michelle Obama? (Who Was?)</t>
  </si>
  <si>
    <t>Megan Stine</t>
  </si>
  <si>
    <t>Stine, Megan</t>
  </si>
  <si>
    <t>Who HQ, John O'Brien</t>
  </si>
  <si>
    <t>closet_who-was (#18), 5x5-middle-chapter-books_c (#31), 5x5 (#51)</t>
  </si>
  <si>
    <t>Who Was Sally Ride?</t>
  </si>
  <si>
    <t>Who HQ, Ted Hammond</t>
  </si>
  <si>
    <t>closet_who-was (#4), 5x5-middle-chapter-books_c (#13), 5x5 (#35)</t>
  </si>
  <si>
    <t>I Survived the Sinking of the Titanic, 1912</t>
  </si>
  <si>
    <t>Scott     Dawson, Georgina Ball</t>
  </si>
  <si>
    <t>closet_late-elem_chapter-books, 5x5-middle-chapter-books_c, 5x5</t>
  </si>
  <si>
    <t>closet_late-elem_chapter-books (#36), 5x5-middle-chapter-books_c (#3), 5x5 (#25)</t>
  </si>
  <si>
    <t>I Survived the Japanese Tsunami, 2011</t>
  </si>
  <si>
    <t>5x5-middle-chapter-books_c (#6), 5x5 (#28)</t>
  </si>
  <si>
    <t>What Is a Presidential Election?: The Official Who HQ Election Book</t>
  </si>
  <si>
    <t>Douglas Yacka</t>
  </si>
  <si>
    <t>Yacka, Douglas</t>
  </si>
  <si>
    <t>5x5-middle-chapter-books_c (#23), 5x5 (#43)</t>
  </si>
  <si>
    <t>Night Owl (Upside-Down Magic #8)</t>
  </si>
  <si>
    <t>Emily Jenkins, Lauren Myracle</t>
  </si>
  <si>
    <t>closet_3rd-4th-grade-chapter-books, 5x5-picture-books-d, 4-x-4-early-elem-chapter-books_e</t>
  </si>
  <si>
    <t>closet_3rd-4th-grade-chapter-books (#68), 5x5-picture-books-d (#20), 4-x-4-early-elem-chapter-books_e (#29)</t>
  </si>
  <si>
    <t>Piano Lessons Can Be Murder (Goosebumps, #13)</t>
  </si>
  <si>
    <t>R.L. Stine</t>
  </si>
  <si>
    <t>Stine, R.L.</t>
  </si>
  <si>
    <t>5x5-middle-chapter-books_a (#20)</t>
  </si>
  <si>
    <t>The Wizard of Oz (A Stepping Stone Book)</t>
  </si>
  <si>
    <t>Daisy Alberto</t>
  </si>
  <si>
    <t>Alberto, Daisy</t>
  </si>
  <si>
    <t>W.W. Denslow, L. Frank Baum</t>
  </si>
  <si>
    <t>closet_late-elem_chapter-books (#120)</t>
  </si>
  <si>
    <t>The Pinstripe Ghost (Ballpark Mysteries #2)</t>
  </si>
  <si>
    <t>to-read (#14), 4-x-4-early-elem-chapter-books_g (#12)</t>
  </si>
  <si>
    <t>The Mummy With No Name  (Geronimo Stilton, #26)</t>
  </si>
  <si>
    <t>closet_late-elem_chapter-books (#46)</t>
  </si>
  <si>
    <t>The Blob That Ate Everyone (Goosebumps, #55)</t>
  </si>
  <si>
    <t>5x5-middle-chapter-books_a (#13)</t>
  </si>
  <si>
    <t>Stanley and the Magic Lamp (Flat Stanley, #2)</t>
  </si>
  <si>
    <t>4-x-4-early-elem-chapter-books_d (#4)</t>
  </si>
  <si>
    <t>Unsinkable (Titanic, Book 1)</t>
  </si>
  <si>
    <t>high-school-chapter-books (#30)</t>
  </si>
  <si>
    <t>Blizzard of the Blue Moon (Merlin Missions, #8)</t>
  </si>
  <si>
    <t>Salvatore Murdocca</t>
  </si>
  <si>
    <t>Listening Library (Audio)</t>
  </si>
  <si>
    <t>closet_3rd-4th-grade-chapter-books (#48)</t>
  </si>
  <si>
    <t>Mr. Cooper Is Super! (My Weirdest School #1)</t>
  </si>
  <si>
    <t>closet_3rd-4th-grade-chapter-books (#72), 4-x-4-early-elem-chapter-books_e (#14)</t>
  </si>
  <si>
    <t>The Scarlet Dragon (The Kingdom of Wrenly, #2)</t>
  </si>
  <si>
    <t>Jordan Quinn</t>
  </si>
  <si>
    <t>Quinn, Jordan</t>
  </si>
  <si>
    <t>Robert McPhillips</t>
  </si>
  <si>
    <t>closet_late-elem_chapter-books (#105)</t>
  </si>
  <si>
    <t>Jingle Bells, Batman Smells! (P.S. So Does May.) (Junie B. Jones, #25)</t>
  </si>
  <si>
    <t>Lana Quintal</t>
  </si>
  <si>
    <t>4-x-4-early-elem-chapter-books_d (#30)</t>
  </si>
  <si>
    <t>The Cuckoo Clock of Doom (Goosebumps, #28)</t>
  </si>
  <si>
    <t>5x5-middle-chapter-books_a (#25)</t>
  </si>
  <si>
    <t>My Life Begins!</t>
  </si>
  <si>
    <t>Patricia MacLachlan</t>
  </si>
  <si>
    <t>MacLachlan, Patricia</t>
  </si>
  <si>
    <t>Daniel Miyares</t>
  </si>
  <si>
    <t>Junie B., First Grader: Aloha-ha-ha! (Junie B. Jones, #26)</t>
  </si>
  <si>
    <t>4-x-4-early-elem-chapter-books_d (#1)</t>
  </si>
  <si>
    <t>Ivy and Bean (Ivy &amp; Bean, #1)</t>
  </si>
  <si>
    <t>Annie Barrows</t>
  </si>
  <si>
    <t>Barrows, Annie</t>
  </si>
  <si>
    <t>Sophie  Blackall</t>
  </si>
  <si>
    <t>4-x-4-early-elem-chapter-books_j (#3)</t>
  </si>
  <si>
    <t>I Love Horses and Ponies, Over 50 Breeds</t>
  </si>
  <si>
    <t>white-bookshelf-l, to-read, 5x5-picture-books-e</t>
  </si>
  <si>
    <t>white-bookshelf-l (#38), to-read (#148), 5x5-picture-books-e (#21)</t>
  </si>
  <si>
    <t>Lost Little Leopard (Lily to the Rescue! #5)</t>
  </si>
  <si>
    <t>W. Bruce Cameron</t>
  </si>
  <si>
    <t>Cameron, W. Bruce</t>
  </si>
  <si>
    <t>Jennifer L.  Meyer</t>
  </si>
  <si>
    <t>Odd Dot</t>
  </si>
  <si>
    <t>5x5-picture-books-c, 4-x4-early-elem-chapter-books_b</t>
  </si>
  <si>
    <t>5x5-picture-books-c (#1), 4-x4-early-elem-chapter-books_b (#23)</t>
  </si>
  <si>
    <t>Attack of the Graveyard Ghouls (Goosebumps Series 2000, #11)</t>
  </si>
  <si>
    <t>5x5-middle-chapter-books_a (#12)</t>
  </si>
  <si>
    <t>The Stranger</t>
  </si>
  <si>
    <t>Albert Camus</t>
  </si>
  <si>
    <t>Camus, Albert</t>
  </si>
  <si>
    <t>Matthew  Ward</t>
  </si>
  <si>
    <t>Vintage International</t>
  </si>
  <si>
    <t>high-school-chapter-books (#4)</t>
  </si>
  <si>
    <t>Haunting with the Stars (Goosebumps SlappyWorld, #17)</t>
  </si>
  <si>
    <t>5x5-middle-chapter-books_a (#11)</t>
  </si>
  <si>
    <t>The Adventures of Captain Underpants (Captain Underpants, #1)</t>
  </si>
  <si>
    <t>Scholastic Children's Books</t>
  </si>
  <si>
    <t>to-read (#179), 1-x-4_spanish-picture-books_a (#30)</t>
  </si>
  <si>
    <t>On the Trail (Disney Fairies: The Never Girls, #10)</t>
  </si>
  <si>
    <t>closet_3rd-4th-grade-chapter-books (#73), 4-x4-early-elem-chapter-books_b (#3)</t>
  </si>
  <si>
    <t>Welcome to the Island (Isla of Adventure #1)</t>
  </si>
  <si>
    <t>Dela Costa</t>
  </si>
  <si>
    <t>Costa, Dela</t>
  </si>
  <si>
    <t>Ana Sebastian</t>
  </si>
  <si>
    <t>closet_late-elem_chapter-books (#107)</t>
  </si>
  <si>
    <t>A Is for Elizabeth (A Is for Elizabeth, #1)</t>
  </si>
  <si>
    <t>Rachel Vail</t>
  </si>
  <si>
    <t>Vail, Rachel</t>
  </si>
  <si>
    <t>Paige Keiser</t>
  </si>
  <si>
    <t>closet_late-elem_chapter-books (#125)</t>
  </si>
  <si>
    <t>Blubber</t>
  </si>
  <si>
    <t>closet_late-elem_chapter-books, 5x5-middle-chapter-books_d</t>
  </si>
  <si>
    <t>closet_late-elem_chapter-books (#93), 5x5-middle-chapter-books_d (#20)</t>
  </si>
  <si>
    <t>Kitty and the Tiger Treasure</t>
  </si>
  <si>
    <t>Paula Harrison</t>
  </si>
  <si>
    <t>Harrison, Paula</t>
  </si>
  <si>
    <t>Jenny Løvlie</t>
  </si>
  <si>
    <t>4-x-4-early-elem-chapter-books_g (#18)</t>
  </si>
  <si>
    <t>True Tales of Animal Heroes</t>
  </si>
  <si>
    <t>Allan Zullo</t>
  </si>
  <si>
    <t>Zullo, Allan</t>
  </si>
  <si>
    <t>closet_late-elem_chapter-books (#33)</t>
  </si>
  <si>
    <t>Escándalo En Puerto Angus (Scandal in Port Angus)</t>
  </si>
  <si>
    <t>white-bookshelf-o (#23)</t>
  </si>
  <si>
    <t>Bound to be Bad (Ivy &amp; Bean #5)</t>
  </si>
  <si>
    <t>4-x-4-early-elem-chapter-books_j (#5)</t>
  </si>
  <si>
    <t>A New Friend (Magic Ponies, #1)</t>
  </si>
  <si>
    <t>Sue Bentley</t>
  </si>
  <si>
    <t>Bentley, Sue</t>
  </si>
  <si>
    <t>Angela Swan</t>
  </si>
  <si>
    <t>4-x4-early-elem-chapter-books_b (#15)</t>
  </si>
  <si>
    <t>Spellbound at School (Magic Puppy, #11)</t>
  </si>
  <si>
    <t>closet_3rd-4th-grade-chapter-books (#21), 4-x4-early-elem-chapter-books_b (#21)</t>
  </si>
  <si>
    <t>Sunbeam's Shine (Unicorn Princesses, #1)</t>
  </si>
  <si>
    <t>Emily Bliss</t>
  </si>
  <si>
    <t>Bliss, Emily</t>
  </si>
  <si>
    <t>Sydney Hanson</t>
  </si>
  <si>
    <t>closet_3rd-4th-grade-chapter-books (#65), 4-x4-early-elem-chapter-books_b (#14)</t>
  </si>
  <si>
    <t>Aven Green Music Machine (Aven Green, #3)</t>
  </si>
  <si>
    <t>Dusti Bowling</t>
  </si>
  <si>
    <t>Bowling, Dusti</t>
  </si>
  <si>
    <t>Gina   Perry</t>
  </si>
  <si>
    <t>5x5-picture-books-d (#18)</t>
  </si>
  <si>
    <t>The Chocolate Touch</t>
  </si>
  <si>
    <t>Patrick Skene Catling</t>
  </si>
  <si>
    <t>Catling, Patrick Skene</t>
  </si>
  <si>
    <t>Margot Apple</t>
  </si>
  <si>
    <t>5x5-picture-books-f (#15)</t>
  </si>
  <si>
    <t>The Sleepy Snowy Owl (Zoe's Rescue Zoo, #11)</t>
  </si>
  <si>
    <t>Amelia Cobb</t>
  </si>
  <si>
    <t>Cobb, Amelia</t>
  </si>
  <si>
    <t>Sophy Williams</t>
  </si>
  <si>
    <t>Nosy Crow</t>
  </si>
  <si>
    <t>closet_3rd-4th-grade-chapter-books (#75), 4-x4-early-elem-chapter-books_b (#7)</t>
  </si>
  <si>
    <t>The Pepper Party Double Dare Disguise (The Pepper Party #4) (4)</t>
  </si>
  <si>
    <t>Jay Cooper</t>
  </si>
  <si>
    <t>Cooper, Jay</t>
  </si>
  <si>
    <t>5x5-picture-books-c (#10)</t>
  </si>
  <si>
    <t>A Whale of a Tale (Mermaid Tales, #3)</t>
  </si>
  <si>
    <t>5x5-picture-books_g (#18)</t>
  </si>
  <si>
    <t>Dalen and Gole: Scandal in Port Angus</t>
  </si>
  <si>
    <t>Mike Deas</t>
  </si>
  <si>
    <t>Deas, Mike</t>
  </si>
  <si>
    <t>1-x-4-spanish-picture-books_b (#27)</t>
  </si>
  <si>
    <t>The Tiger Rising</t>
  </si>
  <si>
    <t>closet_late-elem_chapter-books, white-bookshelf-h, 5x5-middle-chapter-books_b, 5x5</t>
  </si>
  <si>
    <t>closet_late-elem_chapter-books (#1), white-bookshelf-h (#15), 5x5-middle-chapter-books_b (#12), 5x5 (#5)</t>
  </si>
  <si>
    <t>Hotdog #2: Party Time</t>
  </si>
  <si>
    <t>Anh Do</t>
  </si>
  <si>
    <t>Do, Anh</t>
  </si>
  <si>
    <t>Dan McGuiness</t>
  </si>
  <si>
    <t>Chemistry: Getting a Big Reaction! (Basher Science)</t>
  </si>
  <si>
    <t>Dan Green</t>
  </si>
  <si>
    <t>Green, Dan</t>
  </si>
  <si>
    <t>Simon Basher</t>
  </si>
  <si>
    <t>4x4-picture-books-c (#32)</t>
  </si>
  <si>
    <t>The Lost Gold (The Rescue Princesses, #7)</t>
  </si>
  <si>
    <t>5x5_middle_chapter_books_j (#2), 5x5 (#11)</t>
  </si>
  <si>
    <t>Kitty and the Moonlight Rescue (Kitty, #1)</t>
  </si>
  <si>
    <t>Jenny Lovlie</t>
  </si>
  <si>
    <t>4-x-4-early-elem-chapter-books_g (#17)</t>
  </si>
  <si>
    <t>Out of Remote Control (The DATA Set #7)</t>
  </si>
  <si>
    <t>Ada Hopper</t>
  </si>
  <si>
    <t>Hopper, Ada</t>
  </si>
  <si>
    <t>Graham Ross</t>
  </si>
  <si>
    <t>4-x4-early-elem-chapter-books_b (#30)</t>
  </si>
  <si>
    <t>Case of the Missing Cake (The Casagrandes Chapter Book #1)</t>
  </si>
  <si>
    <t>4-x-4-early-elem-chapter-books_d (#19)</t>
  </si>
  <si>
    <t>Any Small Goodness: A Novel of the Barrio</t>
  </si>
  <si>
    <t>Tony Johnston</t>
  </si>
  <si>
    <t>Johnston, Tony</t>
  </si>
  <si>
    <t>closet_middle-school-chapter-books (#26)</t>
  </si>
  <si>
    <t>Blizzard Night (Disaster Strikes #3)</t>
  </si>
  <si>
    <t>Marlane Kennedy</t>
  </si>
  <si>
    <t>Kennedy, Marlane</t>
  </si>
  <si>
    <t>Erwin Madrid</t>
  </si>
  <si>
    <t>5x5-picture-books-c (#7)</t>
  </si>
  <si>
    <t>Captain Awesome vs. the Spooky, Scary House (Captain Awesome, #8)</t>
  </si>
  <si>
    <t>Stan Kirby</t>
  </si>
  <si>
    <t>Kirby, Stan</t>
  </si>
  <si>
    <t>George  O'Connor</t>
  </si>
  <si>
    <t>closet_late-elem_chapter-books (#104)</t>
  </si>
  <si>
    <t>Plagues: The Microscopic Battlefield</t>
  </si>
  <si>
    <t>Bryn Barnard</t>
  </si>
  <si>
    <t>4x4-picture-books-c (#53)</t>
  </si>
  <si>
    <t>Super Burp! (George Brown, Class Clown, #1)</t>
  </si>
  <si>
    <t>Aaron Blecha</t>
  </si>
  <si>
    <t>to-read (#176)</t>
  </si>
  <si>
    <t>Catch That Wave (Magic Bone, #2)</t>
  </si>
  <si>
    <t>closet_3rd-4th-grade-chapter-books (#62)</t>
  </si>
  <si>
    <t>The Spy's Secret (Key Hunters, #2)</t>
  </si>
  <si>
    <t>Eric Luper</t>
  </si>
  <si>
    <t>Luper, Eric</t>
  </si>
  <si>
    <t>closet_middle-school-chapter-books (#23)</t>
  </si>
  <si>
    <t>La decisión de Ricardo</t>
  </si>
  <si>
    <t>Vivian Mansour</t>
  </si>
  <si>
    <t>Mansour, Vivian</t>
  </si>
  <si>
    <t>FONDO DE CULTURA ECONOMICA</t>
  </si>
  <si>
    <t>white-bookshelf-g (#18)</t>
  </si>
  <si>
    <t>I Spy Adventure: 4 Picture Riddle Books: I Spy a Butterfly / I Spy a Balloon / I Spy Lightning in the Sky / I Spy an Apple</t>
  </si>
  <si>
    <t>sterling</t>
  </si>
  <si>
    <t>4x4-picture-books-a (#24)</t>
  </si>
  <si>
    <t>Los Casagrandes: El caso del pastel desaparecido (The Casagrandes: Case of the Missing Cake) (Los Casagrandes / The Casagrandes) (Spanish Edition)</t>
  </si>
  <si>
    <t>Daniel Mauleon</t>
  </si>
  <si>
    <t>Mauleon, Daniel</t>
  </si>
  <si>
    <t>4-x-4-early-elem-chapter-books_d (#20)</t>
  </si>
  <si>
    <t>Camping Catastrophe! (Mr. Pants! #4)</t>
  </si>
  <si>
    <t>Scott McCormick</t>
  </si>
  <si>
    <t>McCormick, Scott</t>
  </si>
  <si>
    <t>R.H. Lazzell</t>
  </si>
  <si>
    <t>4-x-4-early-elem-chapter-books_c (#24)</t>
  </si>
  <si>
    <t>Slacks, Camera, Action! (Mr. Pants! #2)</t>
  </si>
  <si>
    <t>4-x-4-early-elem-chapter-books_c (#23)</t>
  </si>
  <si>
    <t>Trick or Feet! (Mr. Pants! #3)</t>
  </si>
  <si>
    <t>4-x-4-early-elem-chapter-books_c (#22)</t>
  </si>
  <si>
    <t>Disney's Tangled the Series: Friends and Enemies (Tales of Rapunzel, #3)</t>
  </si>
  <si>
    <t>Kathy McCullough</t>
  </si>
  <si>
    <t>McCullough, Kathy</t>
  </si>
  <si>
    <t>closet_3rd-4th-grade-chapter-books (#14)</t>
  </si>
  <si>
    <t>Native American Heroes: Osceola, Tecumseh &amp; Cochise</t>
  </si>
  <si>
    <t>Ann McGovern</t>
  </si>
  <si>
    <t>McGovern, Ann</t>
  </si>
  <si>
    <t>closet_late-elem_chapter-books (#32)</t>
  </si>
  <si>
    <t>Boogie Bass, Sign Language Star (After-School Superstars)</t>
  </si>
  <si>
    <t>Claudia Mills</t>
  </si>
  <si>
    <t>Mills, Claudia</t>
  </si>
  <si>
    <t>Grace Zong</t>
  </si>
  <si>
    <t>Margaret Ferguson Books</t>
  </si>
  <si>
    <t>teacher-grants (#79)</t>
  </si>
  <si>
    <t>I Am #12: Lebron James (12)</t>
  </si>
  <si>
    <t>Grace Norwich</t>
  </si>
  <si>
    <t>Norwich, Grace</t>
  </si>
  <si>
    <t>5x5-middle-chapter-books_c (#24), 5x5 (#44)</t>
  </si>
  <si>
    <t>I Am #7: George Lucas (7)</t>
  </si>
  <si>
    <t>5x5-middle-chapter-books_c (#22), 5x5 (#42)</t>
  </si>
  <si>
    <t>High Time for Heroes (Magic Tree House, #51)</t>
  </si>
  <si>
    <t>closet_3rd-4th-grade-chapter-books (#51)</t>
  </si>
  <si>
    <t>Eve of the Emperor Penguin (Magic Tree House, #40)</t>
  </si>
  <si>
    <t>closet_3rd-4th-grade-chapter-books (#18)</t>
  </si>
  <si>
    <t>Hurry Up, Houdini! (Magic Tree House, #50)</t>
  </si>
  <si>
    <t>Ricky Ricotta's Mighty Robot vs. the Mutant Mosquitoes from Mercury (Ricky Ricotta, #2)</t>
  </si>
  <si>
    <t>4-x-4-early-elem-chapter-books_g (#25)</t>
  </si>
  <si>
    <t>Martin Rising: Requiem For a King</t>
  </si>
  <si>
    <t>Andrea Davis Pinkney</t>
  </si>
  <si>
    <t>Pinkney, Andrea Davis</t>
  </si>
  <si>
    <t>Brian Pinkney</t>
  </si>
  <si>
    <t>4x4-picture-books-k (#29)</t>
  </si>
  <si>
    <t>Scary Stories 3: More Tales to Chill Your Bones</t>
  </si>
  <si>
    <t>Harpercoll</t>
  </si>
  <si>
    <t>5x5-middle-chapter-books_a (#5)</t>
  </si>
  <si>
    <t>Ms. Marvel: Stretched Thin - An Original Graphic Novel</t>
  </si>
  <si>
    <t>Nadia Shammas</t>
  </si>
  <si>
    <t>Shammas, Nadia</t>
  </si>
  <si>
    <t>Nabi H. Ali, Geoffo</t>
  </si>
  <si>
    <t>5x5-middle-chapter-books_a (#23)</t>
  </si>
  <si>
    <t>Encyclopedia Brown Saves the Day (Encyclopedia Brown #7)</t>
  </si>
  <si>
    <t>closet_late-elem_chapter-books (#52)</t>
  </si>
  <si>
    <t>Encyclopedia Brown Keeps the Peace (Encyclopedia Brown, #6)</t>
  </si>
  <si>
    <t>closet_late-elem_chapter-books (#51)</t>
  </si>
  <si>
    <t>Grumpy Unicorn Saves the World: A Graphic Novel (2)</t>
  </si>
  <si>
    <t>Joey Spiotto</t>
  </si>
  <si>
    <t>Spiotto, Joey</t>
  </si>
  <si>
    <t>4-x-4-early-elem-chapter-books_c (#11)</t>
  </si>
  <si>
    <t>The Sticky Situation (Geronimo Stilton #75)</t>
  </si>
  <si>
    <t>white-bookshelf-j (#14)</t>
  </si>
  <si>
    <t>Save the White Whale! (Geronimo Stilton, No. 45)</t>
  </si>
  <si>
    <t>closet_late-elem_chapter-books (#48)</t>
  </si>
  <si>
    <t>Magically Maximus (Disney's Horsetail Hollow, Book 1)</t>
  </si>
  <si>
    <t>closet_3rd-4th-grade-chapter-books (#76)</t>
  </si>
  <si>
    <t>Before the Bell (Disney Fairies: The Never Girls, #9)</t>
  </si>
  <si>
    <t>Jana Christy</t>
  </si>
  <si>
    <t>closet_3rd-4th-grade-chapter-books (#42), 4-x4-early-elem-chapter-books_b (#24)</t>
  </si>
  <si>
    <t>No Girls Allowed (Dogs Okay) (Secrets of a Lab Rat, #1)</t>
  </si>
  <si>
    <t>Trudi Trueit</t>
  </si>
  <si>
    <t>Trueit, Trudi</t>
  </si>
  <si>
    <t>5x5_middle_chapter_books_j (#18), 5x5 (#12)</t>
  </si>
  <si>
    <t>Attack of the Deranged Mutant Killer Monster Snow Goons (Calvin and Hobbes, #7)</t>
  </si>
  <si>
    <t>Bill Watterson</t>
  </si>
  <si>
    <t>Watterson, Bill</t>
  </si>
  <si>
    <t>4x4-picture-books-a (#11)</t>
  </si>
  <si>
    <t>Timmy in Trouble</t>
  </si>
  <si>
    <t>Stripes</t>
  </si>
  <si>
    <t>closet_3rd-4th-grade-chapter-books (#45), 4-x4-early-elem-chapter-books_b (#18)</t>
  </si>
  <si>
    <t>Ginger the Stray Kitten</t>
  </si>
  <si>
    <t>closet_3rd-4th-grade-chapter-books (#44), 4-x4-early-elem-chapter-books_b (#19)</t>
  </si>
  <si>
    <t>Mia Mayhem Is a Superhero!</t>
  </si>
  <si>
    <t>Kara West</t>
  </si>
  <si>
    <t>West, Kara</t>
  </si>
  <si>
    <t>Leeza Hernandez</t>
  </si>
  <si>
    <t>closet_3rd-4th-grade-chapter-books (#34), 4-x-4-early-elem-chapter-books_g (#15)</t>
  </si>
  <si>
    <t>Mia Mayhem Learns to Fly!</t>
  </si>
  <si>
    <t>closet_3rd-4th-grade-chapter-books (#33), 4-x-4-early-elem-chapter-books_g (#16)</t>
  </si>
  <si>
    <t>Bookmarks Are People Too! (Here's Hank, #1)</t>
  </si>
  <si>
    <t>closet_3rd-4th-grade-chapter-books (#28)</t>
  </si>
  <si>
    <t>Stop That Frog! (Here's Hank #3)</t>
  </si>
  <si>
    <t>closet_3rd-4th-grade-chapter-books (#27)</t>
  </si>
  <si>
    <t>Nancy Clancy, Soccer Mania</t>
  </si>
  <si>
    <t>4-x-4-early-elem-chapter-books_g (#28)</t>
  </si>
  <si>
    <t>A Mysterious Egg (The Dino Files #1)</t>
  </si>
  <si>
    <t>4-x-4-early-elem-chapter-books_g (#20)</t>
  </si>
  <si>
    <t>Too Big to Hide (The Dino Files #2)</t>
  </si>
  <si>
    <t>4-x-4-early-elem-chapter-books_g (#19)</t>
  </si>
  <si>
    <t>Diary of a Dummy (Goosebumps SlappyWorld, #10)</t>
  </si>
  <si>
    <t>5x5-middle-chapter-books_a (#8)</t>
  </si>
  <si>
    <t>In a Blink (Disney: The Never Girls, #1)</t>
  </si>
  <si>
    <t>4-x4-early-elem-chapter-books_b (#2)</t>
  </si>
  <si>
    <t>Isadora Moon Goes to the Ballet (Isadora Moon #4)</t>
  </si>
  <si>
    <t>Harriet Muncaster</t>
  </si>
  <si>
    <t>Muncaster, Harriet</t>
  </si>
  <si>
    <t>4-x-4-early-elem-chapter-books_a (#15)</t>
  </si>
  <si>
    <t>Miraculous Adventures Vol. 1: Volume 1 The Trash Krakken (Miraculous: Adventures of Ladybug and Cat Noir.)</t>
  </si>
  <si>
    <t>Thomas Astruc</t>
  </si>
  <si>
    <t>Astruc, Thomas</t>
  </si>
  <si>
    <t>Mélanie Duval, Fred Lenoir, Sébastien Thibaudeau, Bryan Seaton, Nicole D'Andria, Brian Hess, Ellen Cerreta, Justin Birch, Darné Lang</t>
  </si>
  <si>
    <t>Action Lab</t>
  </si>
  <si>
    <t>closet_graphic-novels (#26), 4-x-4-early-elem-chapter-books_c (#3)</t>
  </si>
  <si>
    <t>Ivy and Bean Break the Fossil Record (Ivy &amp; Bean #3)</t>
  </si>
  <si>
    <t>4-x-4-early-elem-chapter-books_j (#4)</t>
  </si>
  <si>
    <t>Bone, Vol. 2: The Great Cow Race (Bone, #2)</t>
  </si>
  <si>
    <t>Jeff Smith</t>
  </si>
  <si>
    <t>Smith, Jeff</t>
  </si>
  <si>
    <t>5x5-picture-books-e (#7)</t>
  </si>
  <si>
    <t>The Haunted School (Goosebumps, #59)</t>
  </si>
  <si>
    <t>5x5-middle-chapter-books_a (#21)</t>
  </si>
  <si>
    <t>The Rescuers: Kids Who Risked Everything to Save Others</t>
  </si>
  <si>
    <t>5x5-picture-books-e (#11)</t>
  </si>
  <si>
    <t>The Stress Reduction Workbook for Teens: Mindfulness Skills to Help You Deal with Stress</t>
  </si>
  <si>
    <t>Gina M. Biegel</t>
  </si>
  <si>
    <t>Biegel, Gina M.</t>
  </si>
  <si>
    <t>Instant Help</t>
  </si>
  <si>
    <t>teacher-grants (#105)</t>
  </si>
  <si>
    <t>Un grandioso desorden</t>
  </si>
  <si>
    <t>Javier Peñalosa M.</t>
  </si>
  <si>
    <t>M., Javier Peñalosa</t>
  </si>
  <si>
    <t>Anuska  Allepuz</t>
  </si>
  <si>
    <t>Ediciones Castillo</t>
  </si>
  <si>
    <t>white-bookshelf-g (#22)</t>
  </si>
  <si>
    <t>Colección 100% Daredevil El Hombre Sin Miedo 12. Identidad: IDENTIDAD</t>
  </si>
  <si>
    <t>Charles Soule</t>
  </si>
  <si>
    <t>Soule, Charles</t>
  </si>
  <si>
    <t>Dan Panosian</t>
  </si>
  <si>
    <t>PANINI COMICS</t>
  </si>
  <si>
    <t>white-bookshelf-h</t>
  </si>
  <si>
    <t>white-bookshelf-h (#20)</t>
  </si>
  <si>
    <t>Jessi's Secret Language (The Baby-Sitters Club Graphic Novels #12)</t>
  </si>
  <si>
    <t>Chan Chau</t>
  </si>
  <si>
    <t>Chau, Chan</t>
  </si>
  <si>
    <t>Braden Lamb, Sam Bennett, Ann M. Martin</t>
  </si>
  <si>
    <t>teacher-grants (#30)</t>
  </si>
  <si>
    <t>Bone, Vol. 1: Out from Boneville (Bone, #1)</t>
  </si>
  <si>
    <t>5x5-picture-books-e, closet_graphic-novels</t>
  </si>
  <si>
    <t>5x5-picture-books-e (#8), closet_graphic-novels (#19)</t>
  </si>
  <si>
    <t>Slappy Birthday to You (Goosebumps SlappyWorld, #1)</t>
  </si>
  <si>
    <t>5x5-middle-chapter-books_a (#16)</t>
  </si>
  <si>
    <t>Young Trailblazers: The Book of Black Inventors and Scientists</t>
  </si>
  <si>
    <t>M.J. Fievre</t>
  </si>
  <si>
    <t>Fievre, M.J.</t>
  </si>
  <si>
    <t>Kim Balacuit</t>
  </si>
  <si>
    <t>Dragonfruit</t>
  </si>
  <si>
    <t>teacher-grants (#54)</t>
  </si>
  <si>
    <t>Worse, Worser, Wurst (Princess Pulverizer #2)</t>
  </si>
  <si>
    <t>Ben Balistreri</t>
  </si>
  <si>
    <t>closet_late-elem_chapter-books (#119)</t>
  </si>
  <si>
    <t>The Dummy Meets the Mummy! (Goosebumps SlappyWorld, #8)</t>
  </si>
  <si>
    <t>5x5-middle-chapter-books_a (#14)</t>
  </si>
  <si>
    <t>Luca: The Deluxe Junior Novelization (Disney/Pixar Luca)</t>
  </si>
  <si>
    <t>Steve Behling</t>
  </si>
  <si>
    <t>Behling, Steve</t>
  </si>
  <si>
    <t>The World According to Humphrey</t>
  </si>
  <si>
    <t>Betty G. Birney</t>
  </si>
  <si>
    <t>Birney, Betty G.</t>
  </si>
  <si>
    <t>5x5_middle_chapter_books_j (#19), 5x5 (#13)</t>
  </si>
  <si>
    <t>The World According to Humphrey (According to Humphrey #1)</t>
  </si>
  <si>
    <t>closet_3rd-4th-grade-chapter-books (#88)</t>
  </si>
  <si>
    <t>Los tipos malos en el gran lobo feroz (The Bad Guys in the Big Bad Wolf) (tipos malos, Los) (Spanish Edition)</t>
  </si>
  <si>
    <t>5x5-picture-books-e, 4-x-4-early-elem-chapter-books_i</t>
  </si>
  <si>
    <t>5x5-picture-books-e (#17), 4-x-4-early-elem-chapter-books_i (#3)</t>
  </si>
  <si>
    <t>Los tipos malos</t>
  </si>
  <si>
    <t>white-bookshelf-h, 4-x-4-early-elem-chapter-books_i</t>
  </si>
  <si>
    <t>white-bookshelf-h (#17), 4-x-4-early-elem-chapter-books_i (#4)</t>
  </si>
  <si>
    <t>Tales of a Fourth Grade Nothing (Fudge, #1)</t>
  </si>
  <si>
    <t>Berkley</t>
  </si>
  <si>
    <t>closet_3rd-4th-grade-chapter-books, 5x5-middle-chapter-books_d</t>
  </si>
  <si>
    <t>closet_3rd-4th-grade-chapter-books (#12), 5x5-middle-chapter-books_d (#13)</t>
  </si>
  <si>
    <t>The Art of Eric Carle</t>
  </si>
  <si>
    <t>teacher-grants (#121)</t>
  </si>
  <si>
    <t>The Dark Knight Legend: Junior Novel</t>
  </si>
  <si>
    <t>Stacia Deutsch</t>
  </si>
  <si>
    <t>Deutsch, Stacia</t>
  </si>
  <si>
    <t>5x5-middle-chapter-books_b (#17)</t>
  </si>
  <si>
    <t>Secret Identity (Shredderman, #1)</t>
  </si>
  <si>
    <t>Wendelin Van Draanen</t>
  </si>
  <si>
    <t>Draanen, Wendelin Van</t>
  </si>
  <si>
    <t>closet_late-elem_chapter-books (#60)</t>
  </si>
  <si>
    <t>Mystery Mountain Getaway (Pup Detectives #6)</t>
  </si>
  <si>
    <t>Felix Gumpaw</t>
  </si>
  <si>
    <t>Gumpaw, Felix</t>
  </si>
  <si>
    <t>Glass House Graphics</t>
  </si>
  <si>
    <t>white-bookshelf-l, 4-x-4-early-elem-chapter-books_c</t>
  </si>
  <si>
    <t>white-bookshelf-l (#41), 4-x-4-early-elem-chapter-books_c (#14)</t>
  </si>
  <si>
    <t>It's Halloween, I'm Turning Green (My Weird School Special, #1)</t>
  </si>
  <si>
    <t>closet_late-elem_chapter-books (#41), 4-x-4-early-elem-chapter-books_e (#20)</t>
  </si>
  <si>
    <t>My Bunkmate Hates Puppies (Camp Lil Vills)</t>
  </si>
  <si>
    <t>Sam Hay</t>
  </si>
  <si>
    <t>Hay, Sam</t>
  </si>
  <si>
    <t>Phonics For Adults: Adult Phonics Reading Program</t>
  </si>
  <si>
    <t>Christopher Hintsala</t>
  </si>
  <si>
    <t>Hintsala, Christopher</t>
  </si>
  <si>
    <t>teacher-grants (#70)</t>
  </si>
  <si>
    <t>Cross Fire: An Original Companion Novel (Batman vs. Superman: Dawn of Justice)</t>
  </si>
  <si>
    <t>Michael Kogge</t>
  </si>
  <si>
    <t>Kogge, Michael</t>
  </si>
  <si>
    <t>5x5-middle-chapter-books_b (#18)</t>
  </si>
  <si>
    <t>Green Lantern: Legacy</t>
  </si>
  <si>
    <t>Minh Lê</t>
  </si>
  <si>
    <t>Lê, Minh</t>
  </si>
  <si>
    <t>Andie Tong, Sarah Stern, Ariana Maher</t>
  </si>
  <si>
    <t>100 Days and 99 Nights</t>
  </si>
  <si>
    <t>Alan Madison</t>
  </si>
  <si>
    <t>Madison, Alan</t>
  </si>
  <si>
    <t>closet_middle-school-chapter-books (#5)</t>
  </si>
  <si>
    <t>Phoebe the Moonlight Dragon (Dragon Girls #8)</t>
  </si>
  <si>
    <t>Maddy Mara</t>
  </si>
  <si>
    <t>Mara, Maddy</t>
  </si>
  <si>
    <t>closet_middle-school-chapter-books (#17)</t>
  </si>
  <si>
    <t>Goldie Blox and the Best Friend Fail! (GoldieBlox) (A Stepping Stone Book(TM))</t>
  </si>
  <si>
    <t>closet_3rd-4th-grade-chapter-books (#38)</t>
  </si>
  <si>
    <t>Stink and the World's Worst Super-Stinky Sneakers</t>
  </si>
  <si>
    <t>closet_3rd-4th-grade-chapter-books (#39), 4-x4-early-elem-chapter-books_b (#29)</t>
  </si>
  <si>
    <t>Rescue on the Oregon Trail (Ranger in Time, #1)</t>
  </si>
  <si>
    <t>Kate Messner</t>
  </si>
  <si>
    <t>Messner, Kate</t>
  </si>
  <si>
    <t>Kelley McMorris</t>
  </si>
  <si>
    <t>closet_late-elem_chapter-books (#34)</t>
  </si>
  <si>
    <t>The Lost Jewels of Nabooti (Choose Your Own Adventure, #10)</t>
  </si>
  <si>
    <t>R.A. Montgomery</t>
  </si>
  <si>
    <t>Montgomery, R.A.</t>
  </si>
  <si>
    <t>Vorrarit Pornkerd, Sasiprapa Yaweera, T. Kornmaneeroj, K. Chanchareon, S. Butsingkhon, A. Utahigarn</t>
  </si>
  <si>
    <t>Choose Your Own Adventure</t>
  </si>
  <si>
    <t>high-school-chapter-books (#18)</t>
  </si>
  <si>
    <t>Behind the Wheel (Choose Your Own Adventure #35)(Paperback/Revised)</t>
  </si>
  <si>
    <t>closet_late-elem_chapter-books (#43)</t>
  </si>
  <si>
    <t>Soul: The Junior Novelization (Disney/Pixar Soul)</t>
  </si>
  <si>
    <t>Tenny Nellson</t>
  </si>
  <si>
    <t>Nellson, Tenny</t>
  </si>
  <si>
    <t>closet_late-elem_chapter-books (#128)</t>
  </si>
  <si>
    <t>Captain Underpants and the Invasion of the Incredibly Naughty Cafeteria Ladies from Outer Space and the Subsequent Assault of the Equally Evil Lunchroom Zombie Nerds (Captain Underpants, #3)</t>
  </si>
  <si>
    <t>4-x-4-early-elem-chapter-books_f (#6)</t>
  </si>
  <si>
    <t>39 Clues, The Cahill Files: Operation Trinity (39 Clues: The Cahill Files Book 1)</t>
  </si>
  <si>
    <t>Clifford Riley</t>
  </si>
  <si>
    <t>Riley, Clifford</t>
  </si>
  <si>
    <t>5x5-picture-books-f (#13)</t>
  </si>
  <si>
    <t>White House White-out (A to Z Mysteries: Super Edition, #3)</t>
  </si>
  <si>
    <t>closet_late-elem_chapter-books (#56)</t>
  </si>
  <si>
    <t>Sideways Stories from Wayside School (Wayside School, #1)</t>
  </si>
  <si>
    <t>Louis Sachar</t>
  </si>
  <si>
    <t>Sachar, Louis</t>
  </si>
  <si>
    <t>Adam McCauley</t>
  </si>
  <si>
    <t>Bloomsbury Childrens Books</t>
  </si>
  <si>
    <t>closet_late-elem_chapter-books (#13)</t>
  </si>
  <si>
    <t>Adventuregame Comics: Leviathan (Book 1): An Interactive Graphic Novel</t>
  </si>
  <si>
    <t>Jason Shiga</t>
  </si>
  <si>
    <t>Shiga, Jason</t>
  </si>
  <si>
    <t>5x5-picture-books-c (#14)</t>
  </si>
  <si>
    <t>Horrid Henry's Haunted House (Horrid Henry, #6)</t>
  </si>
  <si>
    <t>Hachette Children'S Group</t>
  </si>
  <si>
    <t>4-x4-early-elem-chapter-books_b (#26)</t>
  </si>
  <si>
    <t>Bone, Vol. 8: Treasure Hunters (Bone, #8)</t>
  </si>
  <si>
    <t>Cartoon Books</t>
  </si>
  <si>
    <t>closet_graphic-novels (#20)</t>
  </si>
  <si>
    <t>Little Camp of Horrors (Mostly Ghostly, #4)</t>
  </si>
  <si>
    <t>Delacorte Books for Young Readers</t>
  </si>
  <si>
    <t>5x5-middle-chapter-books_a (#10)</t>
  </si>
  <si>
    <t>The Haunted Mask (Goosebumps, #11)</t>
  </si>
  <si>
    <t>5x5-middle-chapter-books_a (#24)</t>
  </si>
  <si>
    <t>Deep Trouble (Goosebumps, #19)</t>
  </si>
  <si>
    <t>5x5-middle-chapter-books_a (#17)</t>
  </si>
  <si>
    <t>Night of the Living Dummy III (Goosebumps, #40)</t>
  </si>
  <si>
    <t>5x5-middle-chapter-books_a (#15)</t>
  </si>
  <si>
    <t>Home Court (STAT: Standing Tall and Talented, #1)</t>
  </si>
  <si>
    <t>MST Amar'e Stoudemire</t>
  </si>
  <si>
    <t>Stoudemire, MST Amar'e</t>
  </si>
  <si>
    <t>Tim Jessell</t>
  </si>
  <si>
    <t>closet_late-elem_chapter-books (#25)</t>
  </si>
  <si>
    <t>I Survived the Galveston Hurricane, 1900</t>
  </si>
  <si>
    <t>5x5-picture-books-d (#14)</t>
  </si>
  <si>
    <t>Sobreviví la gran inundación de melaza, 1919 (I Survived the Great Molasses Flood, 1919) (Spanish Edition)</t>
  </si>
  <si>
    <t>5x5-picture-books-d (#6)</t>
  </si>
  <si>
    <t>I Survived the Wellington Avalanche, 1910</t>
  </si>
  <si>
    <t>closet_late-elem_chapter-books, 5x5-middle-chapter-books_c</t>
  </si>
  <si>
    <t>closet_late-elem_chapter-books (#38), 5x5-middle-chapter-books_c (#37)</t>
  </si>
  <si>
    <t>I Survived the Attack of the Grizzlies, 1967</t>
  </si>
  <si>
    <t>closet_late-elem_chapter-books (#37), 5x5-middle-chapter-books_c (#5), 5x5 (#27)</t>
  </si>
  <si>
    <t>Science Rocks!: Unleash the Mad Scientist in You!</t>
  </si>
  <si>
    <t>Robert Winston</t>
  </si>
  <si>
    <t>Winston, Robert</t>
  </si>
  <si>
    <t>4x4-picture-books-c (#45)</t>
  </si>
  <si>
    <t>The Wrath of Mulgarath (The Spiderwick Chronicles, #5)</t>
  </si>
  <si>
    <t>Tony DiTerlizzi</t>
  </si>
  <si>
    <t>DiTerlizzi, Tony</t>
  </si>
  <si>
    <t>Holly Black</t>
  </si>
  <si>
    <t>5x5-picture-books-e (#13)</t>
  </si>
  <si>
    <t>Los tipos malos en Misión improbable (The Bad Guys in Mission Unpluckable) (tipos malos, Los nº 2) (Spanish Edition)</t>
  </si>
  <si>
    <t>4-x-4-early-elem-chapter-books_i</t>
  </si>
  <si>
    <t>4-x-4-early-elem-chapter-books_i (#6)</t>
  </si>
  <si>
    <t>Los tipos malos en el alienígena vs los tipos malos (The Bad Guys in Alien vs Bad Guys) (tipos malos, Los nº 6) (Spanish Edition)</t>
  </si>
  <si>
    <t>5x5-picture-books-e, 4-x-4-early-elem-chapter-books_h</t>
  </si>
  <si>
    <t>5x5-picture-books-e (#15), 4-x-4-early-elem-chapter-books_h (#12)</t>
  </si>
  <si>
    <t>Los tipos malos en combustible intergaláctico (The Bad Guys in Intergalactic Gas) (tipos malos, Los nº 5) (Spanish Edition)</t>
  </si>
  <si>
    <t>5x5-picture-books-e (#14), 4-x-4-early-elem-chapter-books_i (#1)</t>
  </si>
  <si>
    <t>Los tipos malos en el conejillo contraataca (The Bad Guys in the Furball Strikes Back) (tipos malos, Los nº 3) (Spanish Edition)</t>
  </si>
  <si>
    <t>4-x-4-early-elem-chapter-books_i (#5)</t>
  </si>
  <si>
    <t>Ramona Forever (Ramona, #7)</t>
  </si>
  <si>
    <t>Avon Books (Mm)</t>
  </si>
  <si>
    <t>5x5-middle-chapter-books_d</t>
  </si>
  <si>
    <t>5x5-middle-chapter-books_d (#16)</t>
  </si>
  <si>
    <t>Kenny &amp; the Dragon</t>
  </si>
  <si>
    <t>5x5-picture-books-f, 5x5-middle-chapter-books_b, 5x5</t>
  </si>
  <si>
    <t>5x5-picture-books-f (#3), 5x5-middle-chapter-books_b (#15), 5x5 (#9)</t>
  </si>
  <si>
    <t>Siddhartha</t>
  </si>
  <si>
    <t>Hermann Hesse</t>
  </si>
  <si>
    <t>Hesse, Hermann</t>
  </si>
  <si>
    <t>Hilda Rosner</t>
  </si>
  <si>
    <t>Bantam Books</t>
  </si>
  <si>
    <t>high-school-chapter-books (#3)</t>
  </si>
  <si>
    <t>Wayside School Is Falling Down (Wayside School, #2)</t>
  </si>
  <si>
    <t>Avon Camelot</t>
  </si>
  <si>
    <t>closet_late-elem_chapter-books (#14)</t>
  </si>
  <si>
    <t>Who's in Charge (Stella Batts, #5)</t>
  </si>
  <si>
    <t>Courtney Sheinmel</t>
  </si>
  <si>
    <t>Sheinmel, Courtney</t>
  </si>
  <si>
    <t>Jennifer A. Bell</t>
  </si>
  <si>
    <t>closet_3rd-4th-grade-chapter-books (#46)</t>
  </si>
  <si>
    <t>The Purloining of Prince Oleomargarine</t>
  </si>
  <si>
    <t>Mark Twain, Erin E. Stead</t>
  </si>
  <si>
    <t>4x4-picture-books-l (#10)</t>
  </si>
  <si>
    <t>The Secret Science Alliance and the Copycat Crook</t>
  </si>
  <si>
    <t>Eleanor Davis</t>
  </si>
  <si>
    <t>Davis, Eleanor</t>
  </si>
  <si>
    <t>closet_graphic-novels (#5)</t>
  </si>
  <si>
    <t>The Wonderful Wizard of Oz (Oz, #1)</t>
  </si>
  <si>
    <t>L. Frank Baum</t>
  </si>
  <si>
    <t>Baum, L. Frank</t>
  </si>
  <si>
    <t>W.W. Denslow</t>
  </si>
  <si>
    <t>Penguin</t>
  </si>
  <si>
    <t>closet_middle-school-chapter-books (#35)</t>
  </si>
  <si>
    <t>Peter Pan (Peter Pan, #2)</t>
  </si>
  <si>
    <t>J.M. Barrie</t>
  </si>
  <si>
    <t>Barrie, J.M.</t>
  </si>
  <si>
    <t>Michael Hague</t>
  </si>
  <si>
    <t>Henry Huggins (Henry Huggins, #1)</t>
  </si>
  <si>
    <t>Jacqueline Rogers</t>
  </si>
  <si>
    <t>closet_late-elem_chapter-books (#73), 5x5-middle-chapter-books_d (#15)</t>
  </si>
  <si>
    <t>Maid Mary Anne (The Baby-Sitters Club, #66)</t>
  </si>
  <si>
    <t>Apple</t>
  </si>
  <si>
    <t>4-x-4-early-elem-chapter-books_d (#27)</t>
  </si>
  <si>
    <t>Relatos de 3 Minutos Cuentos de Hadas!</t>
  </si>
  <si>
    <t>Publications Intl</t>
  </si>
  <si>
    <t>4x4-picture-books-l (#2)</t>
  </si>
  <si>
    <t>The Secret School</t>
  </si>
  <si>
    <t>Avi</t>
  </si>
  <si>
    <t>Avi, Avi</t>
  </si>
  <si>
    <t>closet_middle-school-chapter-books (#3)</t>
  </si>
  <si>
    <t>Dream On (Whatever After, #4)</t>
  </si>
  <si>
    <t>closet_late-elem_chapter-books (#64)</t>
  </si>
  <si>
    <t>I Survived The Sinking of the Titanic, 1912: The Graphic Novel (I Survived Graphix #1)</t>
  </si>
  <si>
    <t>Haus Studio</t>
  </si>
  <si>
    <t>Studio, Haus</t>
  </si>
  <si>
    <t>closet_late-elem_chapter-books (#127)</t>
  </si>
  <si>
    <t>From the Mixed-up Files of Mrs. Basil E. Frankweiler</t>
  </si>
  <si>
    <t>E.L. Konigsburg</t>
  </si>
  <si>
    <t>Konigsburg, E.L.</t>
  </si>
  <si>
    <t>Gardners Books</t>
  </si>
  <si>
    <t>closet_late-elem_chapter-books (#85)</t>
  </si>
  <si>
    <t>The Underdogs (Underdogs, #1)</t>
  </si>
  <si>
    <t>5x5-picture-books-d (#11)</t>
  </si>
  <si>
    <t>School Days According to Humphrey (According to Humphrey #7)</t>
  </si>
  <si>
    <t>closet_late-elem_chapter-books (#28)</t>
  </si>
  <si>
    <t>Otherwise Known as Sheila the Great (Fudge, #2)</t>
  </si>
  <si>
    <t>5x5-middle-chapter-books_d (#19)</t>
  </si>
  <si>
    <t>Camp Daze (Bad Kitty Chapter Book, #11)</t>
  </si>
  <si>
    <t>Nick Bruel</t>
  </si>
  <si>
    <t>Bruel, Nick</t>
  </si>
  <si>
    <t>closet_graphic-novels (#22)</t>
  </si>
  <si>
    <t>Kristy and the Snobs</t>
  </si>
  <si>
    <t>Ann M. Martin, Braden Lamb</t>
  </si>
  <si>
    <t>teacher-grants (#26)</t>
  </si>
  <si>
    <t>Socks</t>
  </si>
  <si>
    <t>Tracy Dockray</t>
  </si>
  <si>
    <t>5x5-middle-chapter-books_d, 5x5</t>
  </si>
  <si>
    <t>5x5-middle-chapter-books_d (#2), 5x5 (#57)</t>
  </si>
  <si>
    <t>Ramona and Her Father (Ramona, #4)</t>
  </si>
  <si>
    <t>Alan Tiegreen</t>
  </si>
  <si>
    <t>Oxford University Press</t>
  </si>
  <si>
    <t>closet_late-elem_chapter-books, 5x5-picture-books-d, 5x5-middle-chapter-books_d, 5x5</t>
  </si>
  <si>
    <t>closet_late-elem_chapter-books (#80), 5x5-picture-books-d (#10), 5x5-middle-chapter-books_d (#3), 5x5 (#58)</t>
  </si>
  <si>
    <t>Ramona the Brave (Ramona, #3)</t>
  </si>
  <si>
    <t>closet_late-elem_chapter-books (#74)</t>
  </si>
  <si>
    <t>Beezus and Ramona (Ramona, #1)</t>
  </si>
  <si>
    <t>closet_late-elem_chapter-books (#79), 5x5-middle-chapter-books_d (#11)</t>
  </si>
  <si>
    <t>The Jolley-Rogers and the Ghostly Galleon</t>
  </si>
  <si>
    <t>Jonny Duddle</t>
  </si>
  <si>
    <t>Duddle, Jonny</t>
  </si>
  <si>
    <t>Templar</t>
  </si>
  <si>
    <t>5x5-picture-books-f (#14)</t>
  </si>
  <si>
    <t>The Jolley-Rogers and the Cave of Doom</t>
  </si>
  <si>
    <t>The Vanishing Coin (The Magic Shop #1)</t>
  </si>
  <si>
    <t>Eric Wight, Mike Lane, Magician Mike Lane</t>
  </si>
  <si>
    <t>closet_late-elem_chapter-books (#116)</t>
  </si>
  <si>
    <t>Dragons in a Bag (Dragons in a Bag #1)</t>
  </si>
  <si>
    <t>Zetta Elliott</t>
  </si>
  <si>
    <t>Elliott, Zetta</t>
  </si>
  <si>
    <t>white-bookshelf-h (#16)</t>
  </si>
  <si>
    <t>Michael Foreman's Mother Goose</t>
  </si>
  <si>
    <t>white-bookshelf-m (#6), 5x5-picture-books-c (#24)</t>
  </si>
  <si>
    <t>The Tyrell Show: Season One</t>
  </si>
  <si>
    <t>Miles Grose</t>
  </si>
  <si>
    <t>Grose, Miles</t>
  </si>
  <si>
    <t>Shaz Enrico Lym</t>
  </si>
  <si>
    <t>high-school-chapter-books (#10)</t>
  </si>
  <si>
    <t>Dory Fantasmagory: Head in the Clouds</t>
  </si>
  <si>
    <t>Abby Hanlon</t>
  </si>
  <si>
    <t>Hanlon, Abby</t>
  </si>
  <si>
    <t>closet_middle-school-chapter-books (#24)</t>
  </si>
  <si>
    <t>Five Tank Engine Tales (Thomas &amp; Friends) (Step into Reading)</t>
  </si>
  <si>
    <t>Richard Courtney</t>
  </si>
  <si>
    <t>leveled-readers_my-first-reading (#32), leveled-readers_1_sets (#36)</t>
  </si>
  <si>
    <t>Beatrice Zinker, Upside Down Thinker</t>
  </si>
  <si>
    <t>Shelley Johannes</t>
  </si>
  <si>
    <t>Johannes, Shelley</t>
  </si>
  <si>
    <t>Surely Surely Marisol Rainey (Maybe Marisol, #2)</t>
  </si>
  <si>
    <t>Erin Entrada Kelly</t>
  </si>
  <si>
    <t>Kelly, Erin Entrada</t>
  </si>
  <si>
    <t>Kailey (American Girl Today)</t>
  </si>
  <si>
    <t>Amy Goldman Koss</t>
  </si>
  <si>
    <t>Koss, Amy Goldman</t>
  </si>
  <si>
    <t>closet_late-elem_chapter-books (#19)</t>
  </si>
  <si>
    <t>Pippi Longstocking (Pippi Långstrump, #1)</t>
  </si>
  <si>
    <t>Astrid Lindgren</t>
  </si>
  <si>
    <t>Lindgren, Astrid</t>
  </si>
  <si>
    <t>Michael Chesworth, Louis S. Glanzman, Florence Lamborn</t>
  </si>
  <si>
    <t>closet_3rd-4th-grade-chapter-books (#77)</t>
  </si>
  <si>
    <t>Danger in Ancient Rome (Ranger in Time, #2)</t>
  </si>
  <si>
    <t>closet_late-elem_chapter-books (#35)</t>
  </si>
  <si>
    <t>Amelia Bedelia Unleashed (Amelia Bedelia Chapter Books #2)</t>
  </si>
  <si>
    <t>closet_late-elem_chapter-books (#108)</t>
  </si>
  <si>
    <t>Here Lies the Librarian</t>
  </si>
  <si>
    <t>Richard Peck</t>
  </si>
  <si>
    <t>Peck, Richard</t>
  </si>
  <si>
    <t>closet_middle-school-chapter-books (#44)</t>
  </si>
  <si>
    <t>El Capitán Calzoncillos y el perverso plan del profesor Pipicaca (El Capitán Calzoncillos, #4)</t>
  </si>
  <si>
    <t>to-read (#180), 1-x-4_spanish-picture-books_a (#31)</t>
  </si>
  <si>
    <t>Animals: Facts at Your Fingertips (Pocket Genius)</t>
  </si>
  <si>
    <t>closet_math-and-science (#22)</t>
  </si>
  <si>
    <t>Dinosaurs: Facts at Your Fingertips (Pocket Genius)</t>
  </si>
  <si>
    <t>closet_math-and-science (#21)</t>
  </si>
  <si>
    <t>Pocket Genius: Elements</t>
  </si>
  <si>
    <t>DK Publishing (Dorling Kindersley)</t>
  </si>
  <si>
    <t>closet_math-and-science (#20)</t>
  </si>
  <si>
    <t>Estrella en el bosque (Star in the Forest) (Spanish Edition)</t>
  </si>
  <si>
    <t>Laura Resau</t>
  </si>
  <si>
    <t>Resau, Laura</t>
  </si>
  <si>
    <t>white-bookshelf-g (#13)</t>
  </si>
  <si>
    <t>Oz The Great and Powerful: With 8 Pages of Photos From The Movie!</t>
  </si>
  <si>
    <t>Elizabeth Rudnick</t>
  </si>
  <si>
    <t>Rudnick, Elizabeth</t>
  </si>
  <si>
    <t>high-school-chapter-books (#31)</t>
  </si>
  <si>
    <t>The Golden Book of Fairy Tales (Classic Golden Book)</t>
  </si>
  <si>
    <t>Adrienne Segur</t>
  </si>
  <si>
    <t>Segur, Adrienne</t>
  </si>
  <si>
    <t>Marie Ponsot</t>
  </si>
  <si>
    <t>4x4-picture-books-a (#1)</t>
  </si>
  <si>
    <t>Maus: A Survivor's Tale I: My Father Bleeds History (Maus, #1)</t>
  </si>
  <si>
    <t>Art Spiegelman</t>
  </si>
  <si>
    <t>Spiegelman, Art</t>
  </si>
  <si>
    <t>Pantheon</t>
  </si>
  <si>
    <t>teacher-grants (#122)</t>
  </si>
  <si>
    <t>Cody and the Fountain of Happiness</t>
  </si>
  <si>
    <t>Tricia Springstubb</t>
  </si>
  <si>
    <t>Springstubb, Tricia</t>
  </si>
  <si>
    <t>closet_late-elem_chapter-books (#121)</t>
  </si>
  <si>
    <t>Welcome to Dead House (Goosebumps, #1)</t>
  </si>
  <si>
    <t>5x5-middle-chapter-books_a (#22)</t>
  </si>
  <si>
    <t>Stay Out of the Basement  (Goosebumps, #2)</t>
  </si>
  <si>
    <t>5x5-middle-chapter-books_a (#19)</t>
  </si>
  <si>
    <t>The Werewolf of Fever Swamp (Goosebumps, #14)</t>
  </si>
  <si>
    <t>5x5-middle-chapter-books_a (#18)</t>
  </si>
  <si>
    <t>Armadillo and Hare</t>
  </si>
  <si>
    <t>Jeremy Strong</t>
  </si>
  <si>
    <t>Strong, Jeremy</t>
  </si>
  <si>
    <t>Rebecca Bagley</t>
  </si>
  <si>
    <t>David Fickling Books</t>
  </si>
  <si>
    <t>5x5-picture-books-d (#2)</t>
  </si>
  <si>
    <t>The Pug who wanted to be a Pumpkin (The Pug Who Wanted to... Book 4)</t>
  </si>
  <si>
    <t>Bella Swift</t>
  </si>
  <si>
    <t>Swift, Bella</t>
  </si>
  <si>
    <t>closet_middle-school-chapter-books (#18)</t>
  </si>
  <si>
    <t>The Baby-Sitters Club Graphix#03: Mary Anne Saves The Day</t>
  </si>
  <si>
    <t>Raina Telgemeier</t>
  </si>
  <si>
    <t>Telgemeier, Raina</t>
  </si>
  <si>
    <t>Find Your Voice: A Guided Poetry Journal for Your Heart and Your Art</t>
  </si>
  <si>
    <t>Noor Unnahar</t>
  </si>
  <si>
    <t>Unnahar, Noor</t>
  </si>
  <si>
    <t>Clarkson Potter</t>
  </si>
  <si>
    <t>Diary</t>
  </si>
  <si>
    <t>4x4-picture-books-e, did-not-finish</t>
  </si>
  <si>
    <t>4x4-picture-books-e (#51), did-not-finish (#1)</t>
  </si>
  <si>
    <t>Cold As Ice (Whatever After, #6)</t>
  </si>
  <si>
    <t>closet_late-elem_chapter-books (#126)</t>
  </si>
  <si>
    <t>Battle Royale (Who Would Win?)</t>
  </si>
  <si>
    <t>5x5-picture-books-c, 4-x-4-early-elem-chapter-books_a</t>
  </si>
  <si>
    <t>5x5-picture-books-c (#16), 4-x-4-early-elem-chapter-books_a (#1)</t>
  </si>
  <si>
    <t>A Spy on the Home Front: A Molly Mystery (American Girl Mysteries)</t>
  </si>
  <si>
    <t>Alison  Hart</t>
  </si>
  <si>
    <t>Hart, Alison</t>
  </si>
  <si>
    <t>Jean-Paul Tibbles</t>
  </si>
  <si>
    <t>closet_late-elem_chapter-books (#17)</t>
  </si>
  <si>
    <t>Roald Dahl's Mischief and Mayhem</t>
  </si>
  <si>
    <t>closet_late-elem_chapter-books (#59)</t>
  </si>
  <si>
    <t>Good-bye Stacey, Good-bye: A Graphic Novel (The Baby-Sitters Club Graphic Novels #11)</t>
  </si>
  <si>
    <t>Gabriela  Epstein</t>
  </si>
  <si>
    <t>Epstein, Gabriela</t>
  </si>
  <si>
    <t>teacher-grants (#29)</t>
  </si>
  <si>
    <t>Mary Anne Saves the Day (The Baby-Sitters Club, #4)</t>
  </si>
  <si>
    <t>4-x-4-early-elem-chapter-books_d (#25)</t>
  </si>
  <si>
    <t>The Truth About Stacey (The Baby-Sitters Club, #3)</t>
  </si>
  <si>
    <t>4-x-4-early-elem-chapter-books_d (#24)</t>
  </si>
  <si>
    <t>Crews: Gang Members Talk to Maria Hinojosa</t>
  </si>
  <si>
    <t>María Hinojosa</t>
  </si>
  <si>
    <t>Hinojosa, María</t>
  </si>
  <si>
    <t>German Perez</t>
  </si>
  <si>
    <t>high-school-chapter-books (#1)</t>
  </si>
  <si>
    <t>Guatemala - Culture Smart!: the essential guide to customs &amp; culture</t>
  </si>
  <si>
    <t>Lisa  Vaughn</t>
  </si>
  <si>
    <t>Vaughn, Lisa</t>
  </si>
  <si>
    <t>Kuperard</t>
  </si>
  <si>
    <t>teacher-grants (#21)</t>
  </si>
  <si>
    <t>Mary Anne's Bad Luck Mystery: A Graphic Novel (The Baby-Sitters Club Graphic Novels #13)</t>
  </si>
  <si>
    <t>Cynthia Yuan Cheng</t>
  </si>
  <si>
    <t>Cheng, Cynthia Yuan</t>
  </si>
  <si>
    <t>Braden Lamb, Hank Jones, Ann M. Martin</t>
  </si>
  <si>
    <t>teacher-grants (#31)</t>
  </si>
  <si>
    <t>Escape from East Berlin (Escape From, #2)</t>
  </si>
  <si>
    <t>Andy Marino</t>
  </si>
  <si>
    <t>Marino, Andy</t>
  </si>
  <si>
    <t>We Can Sign!: An Essential Illustrated Guide to American Sign Language for Kids</t>
  </si>
  <si>
    <t>Tara Adams</t>
  </si>
  <si>
    <t>Adams, Tara</t>
  </si>
  <si>
    <t>teacher-grants (#76)</t>
  </si>
  <si>
    <t>How to Draw: Easy Techniques and Step-by-Step Drawings for Kids (Drawing Books for Kids Ages 9 to 12)</t>
  </si>
  <si>
    <t>Aaria Baid</t>
  </si>
  <si>
    <t>Baid, Aaria</t>
  </si>
  <si>
    <t>teacher-grants (#101)</t>
  </si>
  <si>
    <t>Charlie y la fábrica de chocolate (Charlie Bucket, #1)</t>
  </si>
  <si>
    <t>closet_middle-school-chapter-books (#29)</t>
  </si>
  <si>
    <t>Las fábulas de Esopo</t>
  </si>
  <si>
    <t>Aesop</t>
  </si>
  <si>
    <t>Aesop, Aesop</t>
  </si>
  <si>
    <t>white-bookshelf-g (#14), 4-x-4-early-elem-chapter-books_a (#28)</t>
  </si>
  <si>
    <t>Bone, Vol. 3: Eyes of the Storm (Bone, #3)</t>
  </si>
  <si>
    <t>5x5-picture-books-e (#4)</t>
  </si>
  <si>
    <t>Runaway Ralph (Ralph S. Mouse, #2)</t>
  </si>
  <si>
    <t>Louis Darling</t>
  </si>
  <si>
    <t>5x5-middle-chapter-books_d (#10)</t>
  </si>
  <si>
    <t>African Icons: Ten People Who Built a Continent</t>
  </si>
  <si>
    <t>Tracey Baptiste</t>
  </si>
  <si>
    <t>Baptiste, Tracey</t>
  </si>
  <si>
    <t>high-school-chapter-books (#11)</t>
  </si>
  <si>
    <t>Ellie McDoodle: Have Pen, Will Travel</t>
  </si>
  <si>
    <t>Ruth McNally Barshaw</t>
  </si>
  <si>
    <t>Barshaw, Ruth McNally</t>
  </si>
  <si>
    <t>closet_middle-school-chapter-books (#30)</t>
  </si>
  <si>
    <t>Los tipos malos en ¡¿ustedes-creen-que-él-saurio?! (The Bad Guys in Do-You-Think-He-Saurus?!) (tipos malos, Los nº 7) (Spanish Edition)</t>
  </si>
  <si>
    <t>5x5-picture-books-e (#16), 4-x-4-early-elem-chapter-books_i (#2)</t>
  </si>
  <si>
    <t>Star Wars: Jedi Academy 2 - Return of the Padawan (Jedi Academy, #2)</t>
  </si>
  <si>
    <t>closet_graphic-novels, 4-x-4-early-elem-chapter-books_a</t>
  </si>
  <si>
    <t>closet_graphic-novels (#10), 4-x-4-early-elem-chapter-books_a (#6)</t>
  </si>
  <si>
    <t>X-Change Students 101 (Marvel Avengers Assembly #3)</t>
  </si>
  <si>
    <t>Preeti Chhibber</t>
  </si>
  <si>
    <t>Chhibber, Preeti</t>
  </si>
  <si>
    <t>James Lancett</t>
  </si>
  <si>
    <t>4-x-4-early-elem-chapter-books_c (#4)</t>
  </si>
  <si>
    <t>James and the Giant Peach</t>
  </si>
  <si>
    <t>closet_late-elem_chapter-books (#57)</t>
  </si>
  <si>
    <t>Claudia and the New Girl (Baby-sitters Club Graphic Novels, #9)</t>
  </si>
  <si>
    <t>teacher-grants (#25)</t>
  </si>
  <si>
    <t>Ghosthunters and the Muddy Monster of Doom! (Ghosthunters, #4)</t>
  </si>
  <si>
    <t>Cornelia Funke</t>
  </si>
  <si>
    <t>Funke, Cornelia</t>
  </si>
  <si>
    <t>Helena Ragg-Kirkby</t>
  </si>
  <si>
    <t>Chicken House</t>
  </si>
  <si>
    <t>5x5-picture-books-e (#12)</t>
  </si>
  <si>
    <t>Logan Likes Mary Anne!</t>
  </si>
  <si>
    <t>Gale Galligan</t>
  </si>
  <si>
    <t>Galligan, Gale</t>
  </si>
  <si>
    <t>Braden Lamb, Ann M. Martin</t>
  </si>
  <si>
    <t>teacher-grants (#24)</t>
  </si>
  <si>
    <t>The Creature of the Pines (The Unicorn Rescue Society, #1)</t>
  </si>
  <si>
    <t>Jesse Casey, Christopher Smith, Hatem Aly</t>
  </si>
  <si>
    <t>5x5_middle_chapter_books_j (#22), 5x5 (#17)</t>
  </si>
  <si>
    <t>Scientists and Their Mind Blowing Experiments</t>
  </si>
  <si>
    <t>Mike Goldsmith</t>
  </si>
  <si>
    <t>Goldsmith, Mike</t>
  </si>
  <si>
    <t>Hippo/Scholastic</t>
  </si>
  <si>
    <t>closet_math-and-science (#17)</t>
  </si>
  <si>
    <t>Capitán América: El ejército fantasma (Captain America: The Ghost Army) (Capitán América / Captain America) (Spanish Edition)</t>
  </si>
  <si>
    <t>Alan Gratz</t>
  </si>
  <si>
    <t>Gratz, Alan</t>
  </si>
  <si>
    <t>Brent Schoonover</t>
  </si>
  <si>
    <t>1-x-4-spanish-picture-books_b (#19)</t>
  </si>
  <si>
    <t>Misty of Chincoteague (Misty, #1)</t>
  </si>
  <si>
    <t>Marguerite Henry</t>
  </si>
  <si>
    <t>Henry, Marguerite</t>
  </si>
  <si>
    <t>Wesley Dennis</t>
  </si>
  <si>
    <t>closet_late-elem_chapter-books (#69)</t>
  </si>
  <si>
    <t>Aphrodite the Beauty (Goddess Girls, #3)</t>
  </si>
  <si>
    <t>Suzanne Williams</t>
  </si>
  <si>
    <t>closet_late-elem_chapter-books (#123)</t>
  </si>
  <si>
    <t>Star Wars: Jedi Academy 7 - Revenge of the Sis (Jedi Academy, #7)</t>
  </si>
  <si>
    <t>Amy Ignatow</t>
  </si>
  <si>
    <t>Ignatow, Amy</t>
  </si>
  <si>
    <t>Jarrett J. Krosoczka</t>
  </si>
  <si>
    <t>closet_graphic-novels (#13), 4-x-4-early-elem-chapter-books_a (#7)</t>
  </si>
  <si>
    <t>Living Ghosts and Mischievous Monsters: Chilling American Indian Stories</t>
  </si>
  <si>
    <t>Dan SaSuWeh Jones</t>
  </si>
  <si>
    <t>Jones, Dan SaSuWeh</t>
  </si>
  <si>
    <t>Weshoyot Alvitre</t>
  </si>
  <si>
    <t>5x5-middle-chapter-books_a (#2)</t>
  </si>
  <si>
    <t>Star Wars: Jedi Academy 5 - The Force Oversleeps (Jedi Academy, #5)</t>
  </si>
  <si>
    <t>Krosoczka, Jarrett J.</t>
  </si>
  <si>
    <t>4-x-4-early-elem-chapter-books_a (#9)</t>
  </si>
  <si>
    <t>Star Wars: Jedi Academy 6 - The Principal Strikes Back (Jedi Academy, #6)</t>
  </si>
  <si>
    <t>closet_graphic-novels (#11), 4-x-4-early-elem-chapter-books_a (#8)</t>
  </si>
  <si>
    <t>At Last, Jedi (Star Wars: Jedi Academy, #9)</t>
  </si>
  <si>
    <t>5x5-picture-books-f, 4-x-4-early-elem-chapter-books_a</t>
  </si>
  <si>
    <t>5x5-picture-books-f (#10), 4-x-4-early-elem-chapter-books_a (#11)</t>
  </si>
  <si>
    <t>Star Wars: Jedi Academy 4 - A New Class (Jedi Academy, #4)</t>
  </si>
  <si>
    <t>closet_graphic-novels (#12), 4-x-4-early-elem-chapter-books_a (#10)</t>
  </si>
  <si>
    <t>Just Dance (Whatever After, #15)</t>
  </si>
  <si>
    <t>closet_late-elem_chapter-books (#63)</t>
  </si>
  <si>
    <t>Two Peas in a Pod (Whatever After, #11)</t>
  </si>
  <si>
    <t>closet_late-elem_chapter-books (#62)</t>
  </si>
  <si>
    <t>El Club de Cómics de Supergatito (Cat Kid Comic Club) (Spanish Edition)</t>
  </si>
  <si>
    <t>5x5-picture-books-d, 4-x-4-early-elem-chapter-books_f</t>
  </si>
  <si>
    <t>5x5-picture-books-d (#15), 4-x-4-early-elem-chapter-books_f (#12)</t>
  </si>
  <si>
    <t>Cat Kid Comic Club (Cat Kid Comic Club #1)</t>
  </si>
  <si>
    <t>4-x-4-early-elem-chapter-books_k (#1)</t>
  </si>
  <si>
    <t>El Capitán Calzoncillos y la ridícula historia de los seres del inodoro morado</t>
  </si>
  <si>
    <t>4-x-4-early-elem-chapter-books_f (#7)</t>
  </si>
  <si>
    <t>Captain Underpants and the Big Bad Battle of the Bionic Booger Boy, Part 2: Revenge of the Ridiculous Robo-Boogers (Captain Underpants, #7)</t>
  </si>
  <si>
    <t>4-x-4-early-elem-chapter-books_f (#5)</t>
  </si>
  <si>
    <t>Captain Underpants and the Wrath of the Wicked Wedgie Woman (Captain Underpants, #5)</t>
  </si>
  <si>
    <t>4-x-4-early-elem-chapter-books_f (#4)</t>
  </si>
  <si>
    <t>Wayside School Gets A Little Stranger (Wayside School, #3)</t>
  </si>
  <si>
    <t>closet_late-elem_chapter-books (#12)</t>
  </si>
  <si>
    <t>Mob School Survivor: The Creeper Diaries, An Unofficial Minecrafter's Novel, Book One</t>
  </si>
  <si>
    <t>Greyson Mann</t>
  </si>
  <si>
    <t>Mann, Greyson</t>
  </si>
  <si>
    <t>Amanda Brack</t>
  </si>
  <si>
    <t>closet_middle-school-chapter-books (#32)</t>
  </si>
  <si>
    <t>Because of Winn-Dixie</t>
  </si>
  <si>
    <t>closet_late-elem_chapter-books, 5x5-picture-books-c</t>
  </si>
  <si>
    <t>closet_late-elem_chapter-books (#3), 5x5-picture-books-c (#11)</t>
  </si>
  <si>
    <t>Sybil Ludington: Revolutionary War Rider (Based on a True Story)</t>
  </si>
  <si>
    <t>E.F. Abbott</t>
  </si>
  <si>
    <t>Abbott, E.F.</t>
  </si>
  <si>
    <t>Karen Romano Young</t>
  </si>
  <si>
    <t>closet_late-elem_chapter-books (#27)</t>
  </si>
  <si>
    <t>Bone, Vol. 7: Ghost Circles (Bone, #7)</t>
  </si>
  <si>
    <t>closet_graphic-novels (#21)</t>
  </si>
  <si>
    <t>Saving Fortress City: An Unofficial Graphic Novel for Minecrafters (Unofficial Battle Station Prime #2)</t>
  </si>
  <si>
    <t>Cara J. Stevens</t>
  </si>
  <si>
    <t>Stevens, Cara J.</t>
  </si>
  <si>
    <t>white-bookshelf-k (#11), 5x5-picture-books-b (#55)</t>
  </si>
  <si>
    <t>The Mouse and the Motorcycle (Ralph S. Mouse, #1)</t>
  </si>
  <si>
    <t>Louis Darling, Tracy Dockray</t>
  </si>
  <si>
    <t>closet_late-elem_chapter-books, 5x5-middle-chapter-books_d, 5x5</t>
  </si>
  <si>
    <t>closet_late-elem_chapter-books (#84), 5x5-middle-chapter-books_d (#5), 5x5 (#60)</t>
  </si>
  <si>
    <t>5-Minute Snuggle Stories (5-Minute Stories)</t>
  </si>
  <si>
    <t>4x4-picture-books-l (#11)</t>
  </si>
  <si>
    <t>Flying Ninja! (Ninja Kid, #2)</t>
  </si>
  <si>
    <t>Jeremy Ley</t>
  </si>
  <si>
    <t>closet_late-elem_chapter-books, closet_middle-school-chapter-books</t>
  </si>
  <si>
    <t>closet_late-elem_chapter-books (#106), closet_middle-school-chapter-books (#22)</t>
  </si>
  <si>
    <t>Dog Breed Guide for Kids: 50 Essential Dog Breeds to Know and Love with Fun Facts and Tips for Care</t>
  </si>
  <si>
    <t>Christine Rohloff Gossinger</t>
  </si>
  <si>
    <t>Gossinger, Christine Rohloff</t>
  </si>
  <si>
    <t>5x5-picture-books-e (#59)</t>
  </si>
  <si>
    <t>Ramona Quimby, Age 8 (Ramona, #6)</t>
  </si>
  <si>
    <t>closet_late-elem_chapter-books (#83), 5x5-middle-chapter-books_d (#8), 5x5 (#63)</t>
  </si>
  <si>
    <t>Bridge to Terabithia</t>
  </si>
  <si>
    <t>Katherine Paterson</t>
  </si>
  <si>
    <t>Paterson, Katherine</t>
  </si>
  <si>
    <t>closet_late-elem_chapter-books (#5)</t>
  </si>
  <si>
    <t>Legend of the Pharaoh's Tomb (Chronicles of the Moon #1)</t>
  </si>
  <si>
    <t>Allan Frewin Jones</t>
  </si>
  <si>
    <t>Jones, Allan Frewin</t>
  </si>
  <si>
    <t>Double Trouble (Twintuition, #2)</t>
  </si>
  <si>
    <t>Tia Mowry</t>
  </si>
  <si>
    <t>Mowry, Tia</t>
  </si>
  <si>
    <t>Tamera Mowry</t>
  </si>
  <si>
    <t>closet_late-elem_chapter-books, 5x5_middle_chapter_books_j, 5x5</t>
  </si>
  <si>
    <t>closet_late-elem_chapter-books (#90), 5x5_middle_chapter_books_j (#5), 5x5 (#18)</t>
  </si>
  <si>
    <t>Superfudge (Fudge, #3)</t>
  </si>
  <si>
    <t>5x5-middle-chapter-books_d (#21)</t>
  </si>
  <si>
    <t>My First Big Book of Coloring</t>
  </si>
  <si>
    <t>Little Bee Books</t>
  </si>
  <si>
    <t>Books, Little Bee</t>
  </si>
  <si>
    <t>closet_coloring-and-sticker-books (#19)</t>
  </si>
  <si>
    <t>Clifford Collection: The Original 6 Stories!</t>
  </si>
  <si>
    <t>white-bookshelf-o (#14), 5x5-picture-books_l (#27)</t>
  </si>
  <si>
    <t>Secrets of the Whales</t>
  </si>
  <si>
    <t>James Cameron</t>
  </si>
  <si>
    <t>Cameron, James</t>
  </si>
  <si>
    <t>Brian Skerry</t>
  </si>
  <si>
    <t>teacher-grants (#2)</t>
  </si>
  <si>
    <t>Five Nights at Freddy's: Fazbear Frights Graphic Novel Collection Vol. 1 (Five Nights at Freddy’s Graphic Novel #4)</t>
  </si>
  <si>
    <t>Scott Cawthon</t>
  </si>
  <si>
    <t>Cawthon, Scott</t>
  </si>
  <si>
    <t>Elley Cooper, Carly Anne West, Didi Esmeralda, Anthony Morris, Andi Santagata, Christopher Hastings</t>
  </si>
  <si>
    <t>closet_graphic-novels (#4)</t>
  </si>
  <si>
    <t>Woman Hollering Creek and Other Stories</t>
  </si>
  <si>
    <t>Vintage</t>
  </si>
  <si>
    <t>5x5-picture-books-c (#2)</t>
  </si>
  <si>
    <t>Ellen Tebbits (Ellen &amp; Otis, #1)</t>
  </si>
  <si>
    <t>HarperTrophy</t>
  </si>
  <si>
    <t>5x5-picture-books-d, 5x5-middle-chapter-books_d, 5x5</t>
  </si>
  <si>
    <t>5x5-picture-books-d (#12), 5x5-middle-chapter-books_d (#4), 5x5 (#59)</t>
  </si>
  <si>
    <t>Henry and Beezus (Henry Huggins, #2)</t>
  </si>
  <si>
    <t>closet_late-elem_chapter-books (#81), 5x5-middle-chapter-books_d (#14)</t>
  </si>
  <si>
    <t>Ramona the Pest (Ramona, #2)</t>
  </si>
  <si>
    <t>closet_late-elem_chapter-books (#78)</t>
  </si>
  <si>
    <t>Ribsy (Henry Huggins, #6)</t>
  </si>
  <si>
    <t>closet_late-elem_chapter-books (#72), 5x5-middle-chapter-books_d (#22)</t>
  </si>
  <si>
    <t>Ralph S. Mouse (Ralph S. Mouse, #3)</t>
  </si>
  <si>
    <t>closet_late-elem_chapter-books (#70), 5x5-middle-chapter-books_d (#12)</t>
  </si>
  <si>
    <t>5-Minute Princess Stories (12 Stories)</t>
  </si>
  <si>
    <t>4x4-picture-books-l (#5)</t>
  </si>
  <si>
    <t>Mary Engelbreit's Nursery and Fairy Tales Collection</t>
  </si>
  <si>
    <t>Engelbreit, Mary</t>
  </si>
  <si>
    <t>4x4-picture-books-l (#4)</t>
  </si>
  <si>
    <t>My Little Pony: Equestria Girls: Rainbow Rocks</t>
  </si>
  <si>
    <t>Perdita Finn</t>
  </si>
  <si>
    <t>Finn, Perdita</t>
  </si>
  <si>
    <t>closet_3rd-4th-grade-chapter-books, 4-x-4-early-elem-chapter-books_f</t>
  </si>
  <si>
    <t>closet_3rd-4th-grade-chapter-books (#16), 4-x-4-early-elem-chapter-books_f (#15)</t>
  </si>
  <si>
    <t>Glitch: A Graphic Novel</t>
  </si>
  <si>
    <t>Sarah Graley</t>
  </si>
  <si>
    <t>Graley, Sarah</t>
  </si>
  <si>
    <t>closet_graphic-novels (#18)</t>
  </si>
  <si>
    <t>This Is Not a Drill</t>
  </si>
  <si>
    <t>K.A. Holt</t>
  </si>
  <si>
    <t>Holt, K.A.</t>
  </si>
  <si>
    <t>closet_late-elem_chapter-books (#67)</t>
  </si>
  <si>
    <t>Trace, Copy, Color and Cut: Early Learning Through Art (Arty Mouse Creativity Books)</t>
  </si>
  <si>
    <t>Susie Linn</t>
  </si>
  <si>
    <t>Linn, Susie</t>
  </si>
  <si>
    <t>Imagine That</t>
  </si>
  <si>
    <t>closet_coloring-and-sticker-books (#4)</t>
  </si>
  <si>
    <t>Conspiracy (The Plot to Kill Hitler, #1)</t>
  </si>
  <si>
    <t>Click (Click #1)</t>
  </si>
  <si>
    <t>Kayla  Miller</t>
  </si>
  <si>
    <t>Miller, Kayla</t>
  </si>
  <si>
    <t>closet_graphic-novels (#17)</t>
  </si>
  <si>
    <t>Upside Down Magic #4: Dragon Overnight</t>
  </si>
  <si>
    <t>Lauren Myracle Sarah Mlynowski</t>
  </si>
  <si>
    <t>Mlynowski, Lauren Myracle Sarah</t>
  </si>
  <si>
    <t>paperback</t>
  </si>
  <si>
    <t>closet_3rd-4th-grade-chapter-books (#35), 4-x-4-early-elem-chapter-books_e (#24)</t>
  </si>
  <si>
    <t>Best Wishes (Best Wishes, #1)</t>
  </si>
  <si>
    <t>closet_3rd-4th-grade-chapter-books (#74)</t>
  </si>
  <si>
    <t>Weather or Not (Upside-Down Magic, #5)</t>
  </si>
  <si>
    <t>closet_3rd-4th-grade-chapter-books (#71), 4-x-4-early-elem-chapter-books_e (#25)</t>
  </si>
  <si>
    <t>Hide and Seek (Upside-Down Magic, #7)</t>
  </si>
  <si>
    <t>closet_3rd-4th-grade-chapter-books (#69), 4-x-4-early-elem-chapter-books_e (#27)</t>
  </si>
  <si>
    <t>Fancy Nancy Storybook Treasury</t>
  </si>
  <si>
    <t>5x5-picture-books_k (#22)</t>
  </si>
  <si>
    <t>Super Dinosaur Encyclopedia: The Biggest, Fastest, Coolest Prehistoric Creatures (DK Super Nature Encyclopedias)</t>
  </si>
  <si>
    <t>teacher-grants (#11)</t>
  </si>
  <si>
    <t>Más Clásicos Ilustrados Para Niños</t>
  </si>
  <si>
    <t>Ronne Randall</t>
  </si>
  <si>
    <t>Randall, Ronne</t>
  </si>
  <si>
    <t>QEB Publishing</t>
  </si>
  <si>
    <t>1-x-4-spanish-picture-books_b (#20)</t>
  </si>
  <si>
    <t>Homeless Bird</t>
  </si>
  <si>
    <t>Gloria Whelan</t>
  </si>
  <si>
    <t>Whelan, Gloria</t>
  </si>
  <si>
    <t>5x5-picture-books-f (#12)</t>
  </si>
  <si>
    <t>Five-Minute Peppa Stories (Peppa Pig)</t>
  </si>
  <si>
    <t>Barbara Winthrop</t>
  </si>
  <si>
    <t>Winthrop, Barbara</t>
  </si>
  <si>
    <t>Scholastic Inc., Eone</t>
  </si>
  <si>
    <t>4x4-picture-books-l (#7)</t>
  </si>
  <si>
    <t>65 Short Mysteries You Solve with Math! (One Minute Mysteries)</t>
  </si>
  <si>
    <t>Eric Yoder</t>
  </si>
  <si>
    <t>Yoder, Eric</t>
  </si>
  <si>
    <t>Natalie Yoder</t>
  </si>
  <si>
    <t>Science Naturally!</t>
  </si>
  <si>
    <t>4x4-picture-books-c (#6)</t>
  </si>
  <si>
    <t>Island of the Blue Dolphins</t>
  </si>
  <si>
    <t>Scott O'Dell</t>
  </si>
  <si>
    <t>O'Dell, Scott</t>
  </si>
  <si>
    <t>closet_late-elem_chapter-books (#88)</t>
  </si>
  <si>
    <t>Upside-Down Magic (Upside-Down Magic, #1)</t>
  </si>
  <si>
    <t>Scholastic Audio Books</t>
  </si>
  <si>
    <t>closet_3rd-4th-grade-chapter-books (#25), 4-x-4-early-elem-chapter-books_e (#22)</t>
  </si>
  <si>
    <t>The Great Big Boom (Hilo #3)</t>
  </si>
  <si>
    <t>Judd Winick</t>
  </si>
  <si>
    <t>Winick, Judd</t>
  </si>
  <si>
    <t>closet_graphic-novels (#9), 4-x-4-early-elem-chapter-books_c (#9)</t>
  </si>
  <si>
    <t>A Treasury of Curious George</t>
  </si>
  <si>
    <t>H.A. Rey, Martha Weston, Vipah Interactive*</t>
  </si>
  <si>
    <t>backpacks_curious-george (#1)</t>
  </si>
  <si>
    <t>Awesome Engineering Activities for Kids: 50+ Exciting STEAM Projects to Design and Build (Awesome STEAM Activities for Kids)</t>
  </si>
  <si>
    <t>Christina Schul</t>
  </si>
  <si>
    <t>Schul, Christina</t>
  </si>
  <si>
    <t>teacher-grants (#124)</t>
  </si>
  <si>
    <t>10 True Tales: Greatest POW Escapes</t>
  </si>
  <si>
    <t>5x5-picture-books-e (#10)</t>
  </si>
  <si>
    <t>When You Reach Me</t>
  </si>
  <si>
    <t>Rebecca Stead</t>
  </si>
  <si>
    <t>Stead, Rebecca</t>
  </si>
  <si>
    <t>Wendy Lamb Books</t>
  </si>
  <si>
    <t>closet_late-elem_chapter-books (#6)</t>
  </si>
  <si>
    <t>How Do Meerkats Order Pizza?: Wild Facts about Animals and the Scientists Who Study Them</t>
  </si>
  <si>
    <t>Brooke Barker</t>
  </si>
  <si>
    <t>Barker, Brooke</t>
  </si>
  <si>
    <t>5x5-picture-books-c (#12)</t>
  </si>
  <si>
    <t>The Lego Ideas Book: Unlock Your Imagination</t>
  </si>
  <si>
    <t>Daniel Lipkowitz</t>
  </si>
  <si>
    <t>Lipkowitz, Daniel</t>
  </si>
  <si>
    <t>white-bookshelf-h (#21)</t>
  </si>
  <si>
    <t>Everest: You Decide How to Survive! (The Worst-Case Scenario Ultimate Adventure, #1)</t>
  </si>
  <si>
    <t>Bill Doyle</t>
  </si>
  <si>
    <t>Doyle, Bill</t>
  </si>
  <si>
    <t>David Borgenicht, Yancey Labat, David Morton</t>
  </si>
  <si>
    <t>closet_late-elem_chapter-books (#44)</t>
  </si>
  <si>
    <t>They Called Us Enemy</t>
  </si>
  <si>
    <t>George Takei</t>
  </si>
  <si>
    <t>Takei, George</t>
  </si>
  <si>
    <t>Justin Eisinger, Steven Scott, Harmony Becker</t>
  </si>
  <si>
    <t>teacher-grants (#123)</t>
  </si>
  <si>
    <t>Kid Presidents: True Tales of Childhood from America's Presidents (Kid Legends)</t>
  </si>
  <si>
    <t>David Stabler</t>
  </si>
  <si>
    <t>Stabler, David</t>
  </si>
  <si>
    <t>Doogie Horner</t>
  </si>
  <si>
    <t>Quirk Books</t>
  </si>
  <si>
    <t>5x5-middle-chapter-books_c</t>
  </si>
  <si>
    <t>5x5-middle-chapter-books_c (#35)</t>
  </si>
  <si>
    <t>Maximilian &amp; the Mystery of the Guardian Angel: A Bilingual Lucha Libre Thriller (Max's Lucha Libre Adventures) (English and Spanish Edition)</t>
  </si>
  <si>
    <t>Xavier Garza</t>
  </si>
  <si>
    <t>Garza, Xavier</t>
  </si>
  <si>
    <t>white-bookshelf-g (#3)</t>
  </si>
  <si>
    <t>Peace, Love and Cupcakes (The Cupcake Club, #1)</t>
  </si>
  <si>
    <t>Sheryl Berk</t>
  </si>
  <si>
    <t>Berk, Sheryl</t>
  </si>
  <si>
    <t>Carrie Berk</t>
  </si>
  <si>
    <t>Sourcebooks, Incorporated</t>
  </si>
  <si>
    <t>Ramona's World (Ramona Quimby, #8)</t>
  </si>
  <si>
    <t>closet_late-elem_chapter-books (#76), 5x5-middle-chapter-books_d (#9)</t>
  </si>
  <si>
    <t>Henry and Ribsy (Henry Huggins, #3)</t>
  </si>
  <si>
    <t>closet_late-elem_chapter-books (#71), 5x5-middle-chapter-books_d (#17)</t>
  </si>
  <si>
    <t>Samantha Spinner and the Super Secret Plans (Samantha Spinner, #1)</t>
  </si>
  <si>
    <t>Russell Ginns</t>
  </si>
  <si>
    <t>Ginns, Russell</t>
  </si>
  <si>
    <t>5x5_middle_chapter_books_j (#10)</t>
  </si>
  <si>
    <t>Invisible</t>
  </si>
  <si>
    <t>Christina Diaz Gonzalez</t>
  </si>
  <si>
    <t>Gonzalez, Christina Diaz</t>
  </si>
  <si>
    <t>closet_3rd-4th-grade-chapter-books (#2)</t>
  </si>
  <si>
    <t>Marcus Makes a Movie</t>
  </si>
  <si>
    <t>Kevin  Hart</t>
  </si>
  <si>
    <t>Hart, Kevin</t>
  </si>
  <si>
    <t>David Cooper</t>
  </si>
  <si>
    <t>5x5_middle_chapter_books_j (#21), 5x5 (#16)</t>
  </si>
  <si>
    <t>Sticks &amp; Stones (Upside-Down Magic, #2)</t>
  </si>
  <si>
    <t>Scholastic Pr</t>
  </si>
  <si>
    <t>closet_3rd-4th-grade-chapter-books (#37)</t>
  </si>
  <si>
    <t>Showing Off (Upside-Down Magic, #3)</t>
  </si>
  <si>
    <t>closet_3rd-4th-grade-chapter-books (#36), 4-x-4-early-elem-chapter-books_e (#23)</t>
  </si>
  <si>
    <t>Breakdown (Stay Alive, #3)</t>
  </si>
  <si>
    <t>Joseph Monninger</t>
  </si>
  <si>
    <t>Monninger, Joseph</t>
  </si>
  <si>
    <t>5x5-middle-chapter-books_c (#1), 5x5 (#23)</t>
  </si>
  <si>
    <t>Flutter: The Story of Four Sisters and an Incredible Journey</t>
  </si>
  <si>
    <t>Erin E. Moulton</t>
  </si>
  <si>
    <t>Moulton, Erin E.</t>
  </si>
  <si>
    <t>closet_middle-school-chapter-books (#7)</t>
  </si>
  <si>
    <t>Captain Underpants and the Sensational Saga of Sir Stinks-A-Lot (Captain Underpants, #12)</t>
  </si>
  <si>
    <t>4-x-4-early-elem-chapter-books_f (#2)</t>
  </si>
  <si>
    <t>Third Grade Mermaid</t>
  </si>
  <si>
    <t>Peter Raymundo</t>
  </si>
  <si>
    <t>Raymundo, Peter</t>
  </si>
  <si>
    <t>closet_3rd-4th-grade-chapter-books (#24), 4-x-4-early-elem-chapter-books_d (#3)</t>
  </si>
  <si>
    <t>Curious George Storybook Collection (CGTV)</t>
  </si>
  <si>
    <t>white-bookshelf-o (#13), 5x5-picture-books_l (#1)</t>
  </si>
  <si>
    <t>Sisters: A Graphic Novel</t>
  </si>
  <si>
    <t>teacher-grants (#34)</t>
  </si>
  <si>
    <t>El ataque de las ranas ninja: Dragonbreath (Dani Bocafuego / Dragonbreath) (Spanish Edition)</t>
  </si>
  <si>
    <t>Ursula Vernon</t>
  </si>
  <si>
    <t>Vernon, Ursula</t>
  </si>
  <si>
    <t>Bruno Diaz</t>
  </si>
  <si>
    <t>La Galera, SAU</t>
  </si>
  <si>
    <t>to-read (#189), 1-x-4_spanish-picture-books_a (#40)</t>
  </si>
  <si>
    <t>The Calvin and Hobbes Tenth Anniversary Book</t>
  </si>
  <si>
    <t>Sphere</t>
  </si>
  <si>
    <t>4x4-picture-books-a (#10)</t>
  </si>
  <si>
    <t>Good Night Stories for Rebel Girls 2</t>
  </si>
  <si>
    <t>Elena Favilli</t>
  </si>
  <si>
    <t>Favilli, Elena</t>
  </si>
  <si>
    <t>Francesca Cavallo, Rebel Girls</t>
  </si>
  <si>
    <t>Timbuktu</t>
  </si>
  <si>
    <t>4x4-picture-books-p (#2)</t>
  </si>
  <si>
    <t>Good Night Stories for Rebel Girls: 100 Tales of Extraordinary Women</t>
  </si>
  <si>
    <t>Timbuktu Labs</t>
  </si>
  <si>
    <t>4x4-picture-books-p (#1)</t>
  </si>
  <si>
    <t>The 39 Clues (IV Beyond The Grave) (Chinese Edition)</t>
  </si>
  <si>
    <t>Judy Watson</t>
  </si>
  <si>
    <t>Watson, Judy</t>
  </si>
  <si>
    <t>Zhejiang Juvenile &amp; Childrens Publishing House</t>
  </si>
  <si>
    <t>The Perks of Being a Wallflower</t>
  </si>
  <si>
    <t>Stephen Chbosky</t>
  </si>
  <si>
    <t>Chbosky, Stephen</t>
  </si>
  <si>
    <t>MTV Books/Pocket Books</t>
  </si>
  <si>
    <t>5x5-picture-books-c (#13)</t>
  </si>
  <si>
    <t>Girl, Stolen (Girl, Stolen #1)</t>
  </si>
  <si>
    <t>April Henry</t>
  </si>
  <si>
    <t>Henry, April</t>
  </si>
  <si>
    <t>high-school-chapter-books (#41)</t>
  </si>
  <si>
    <t>Big Nate: What Could Possibly Go Wrong?: A Nickelodeon Comic Collection with 300+ Funny Strips for Children (Ages 8-12) (Big Nate Comix, 1)</t>
  </si>
  <si>
    <t>Lincoln Peirce</t>
  </si>
  <si>
    <t>Peirce, Lincoln</t>
  </si>
  <si>
    <t>4-x-4-early-elem-chapter-books_c (#5)</t>
  </si>
  <si>
    <t>The Summer Before (The Baby-Sitters Club, #0.5)</t>
  </si>
  <si>
    <t>4-x-4-early-elem-chapter-books_d (#21)</t>
  </si>
  <si>
    <t>Guts (Smile, #3)</t>
  </si>
  <si>
    <t>teacher-grants (#22)</t>
  </si>
  <si>
    <t>Weird But True 10: 350 Outrageous Facts</t>
  </si>
  <si>
    <t>Kids, National Geographic</t>
  </si>
  <si>
    <t>Learn to Sign the Fun Way: Let Your Fingers Do the Talking with Games, Puzzles, and Activities in American Sign Language</t>
  </si>
  <si>
    <t>Penny Warner</t>
  </si>
  <si>
    <t>Warner, Penny</t>
  </si>
  <si>
    <t>Crown</t>
  </si>
  <si>
    <t>teacher-grants (#72)</t>
  </si>
  <si>
    <t>Agent Stitch: A Study in Slime (Agent Stitch #1)</t>
  </si>
  <si>
    <t>Arianna Rhea</t>
  </si>
  <si>
    <t>closet_graphic-novels (#8)</t>
  </si>
  <si>
    <t>Hard Luck (Diary of a Wimpy Kid, #8)</t>
  </si>
  <si>
    <t>4-x-4-early-elem-chapter-books_g (#36)</t>
  </si>
  <si>
    <t>The Long Haul (Diary of a Wimpy Kid, #9)</t>
  </si>
  <si>
    <t>Amulet Books</t>
  </si>
  <si>
    <t>4-x-4-early-elem-chapter-books_h</t>
  </si>
  <si>
    <t>4-x-4-early-elem-chapter-books_h (#8)</t>
  </si>
  <si>
    <t>The Ugly Truth (Diary of a Wimpy Kid, #5)</t>
  </si>
  <si>
    <t>Amulet books</t>
  </si>
  <si>
    <t>4-x-4-early-elem-chapter-books_h (#6)</t>
  </si>
  <si>
    <t>Double Down (Diary of a Wimpy Kid, #11)</t>
  </si>
  <si>
    <t>4-x-4-early-elem-chapter-books_h (#4)</t>
  </si>
  <si>
    <t>Diary of a Wimpy Kid: Diper Överlöde (Book 17)</t>
  </si>
  <si>
    <t>closet_graphic-novels (#2)</t>
  </si>
  <si>
    <t>The Last Straw (Diary of a Wimpy Kid, #3)</t>
  </si>
  <si>
    <t>4-x-4-early-elem-chapter-books_h (#9)</t>
  </si>
  <si>
    <t>Dog Days (Diary of a Wimpy Kid, #4)</t>
  </si>
  <si>
    <t>4-x-4-early-elem-chapter-books_g (#35)</t>
  </si>
  <si>
    <t>Loser</t>
  </si>
  <si>
    <t>closet_late-elem_chapter-books (#20), 5x5-picture-books-c (#5)</t>
  </si>
  <si>
    <t>Phoebe and Her Unicorn (Phoebe and Her Unicorn #1)</t>
  </si>
  <si>
    <t>Dana Simpson</t>
  </si>
  <si>
    <t>Simpson, Dana</t>
  </si>
  <si>
    <t>closet_graphic-novels (#16)</t>
  </si>
  <si>
    <t>Accidental Archaeologists: True Stories of Unexpected Discoveries</t>
  </si>
  <si>
    <t>closet_late-elem_chapter-books (#29)</t>
  </si>
  <si>
    <t>El niño con el pijama de rayas</t>
  </si>
  <si>
    <t>John Boyne</t>
  </si>
  <si>
    <t>Boyne, John</t>
  </si>
  <si>
    <t>Gemma Rovira Ortega</t>
  </si>
  <si>
    <t>Salamandra</t>
  </si>
  <si>
    <t>closet_middle-school-chapter-books (#45)</t>
  </si>
  <si>
    <t>The Girl in the Lake</t>
  </si>
  <si>
    <t>India Hill Brown</t>
  </si>
  <si>
    <t>Brown, India Hill</t>
  </si>
  <si>
    <t>5x5-middle-chapter-books_a (#7)</t>
  </si>
  <si>
    <t>Bella's Story: A Dog's Way Home Tale</t>
  </si>
  <si>
    <t>closet_late-elem_chapter-books (#30)</t>
  </si>
  <si>
    <t>Ramona and Her Mother (Ramona Quimby, #5)</t>
  </si>
  <si>
    <t>closet_late-elem_chapter-books (#77), 5x5-middle-chapter-books_d (#18)</t>
  </si>
  <si>
    <t>The School Story</t>
  </si>
  <si>
    <t>Andrew Clements</t>
  </si>
  <si>
    <t>Clements, Andrew</t>
  </si>
  <si>
    <t>closet_late-elem_chapter-books (#8)</t>
  </si>
  <si>
    <t>Kenny &amp; the Book of Beasts</t>
  </si>
  <si>
    <t>5x5-picture-books-f (#2), 5x5-middle-chapter-books_b (#14), 5x5 (#8)</t>
  </si>
  <si>
    <t>Yolonda's Genius</t>
  </si>
  <si>
    <t>Carol Fenner</t>
  </si>
  <si>
    <t>Fenner, Carol</t>
  </si>
  <si>
    <t>closet_middle-school-chapter-books (#19)</t>
  </si>
  <si>
    <t>Maximilian &amp; the Bingo Rematch (Max's Lucha Libre Adventures #2) / Maximilian &amp; la revancha de la lotería: A Bilingual Lucha Libre Thriller / Una ... y lucha libre (English and Spanish Edition)</t>
  </si>
  <si>
    <t>white-bookshelf-g (#2)</t>
  </si>
  <si>
    <t>Legends of Zita the Spacegirl (Zita the Spacegirl, #2)</t>
  </si>
  <si>
    <t>Ben Hatke</t>
  </si>
  <si>
    <t>Hatke, Ben</t>
  </si>
  <si>
    <t>5x5-picture-books-d (#16), 4-x-4-early-elem-chapter-books_c (#10)</t>
  </si>
  <si>
    <t>Sunny Makes a Splash (Sunny #4)</t>
  </si>
  <si>
    <t>closet_graphic-novels (#15)</t>
  </si>
  <si>
    <t>The Deadliest Fires Then and Now (The Deadliest #3, Scholastic Focus) (3)</t>
  </si>
  <si>
    <t>Scholastic Focus</t>
  </si>
  <si>
    <t>high-school-chapter-books (#16)</t>
  </si>
  <si>
    <t>The Deadliest Diseases Then and Now (The Deadliest #1, Scholastic Focus) (1)</t>
  </si>
  <si>
    <t>high-school-chapter-books (#15)</t>
  </si>
  <si>
    <t>Riding Chance</t>
  </si>
  <si>
    <t>Christine Kendall</t>
  </si>
  <si>
    <t>Kendall, Christine</t>
  </si>
  <si>
    <t>high-school-chapter-books (#46)</t>
  </si>
  <si>
    <t>Diary of an Awesome Friendly Kid: Rowley Jefferson's Journal</t>
  </si>
  <si>
    <t>4-x-4-early-elem-chapter-books_h (#10)</t>
  </si>
  <si>
    <t>Do-It-Yourself Book (Diary of a Wimpy Kid)</t>
  </si>
  <si>
    <t>4-x-4-early-elem-chapter-books_h (#7)</t>
  </si>
  <si>
    <t>Cabin Fever (Diary of a Wimpy Kid, #6)</t>
  </si>
  <si>
    <t>4-x-4-early-elem-chapter-books_h (#5)</t>
  </si>
  <si>
    <t>The Third Wheel (Diary of a Wimpy Kid, #7)</t>
  </si>
  <si>
    <t>4-x-4-early-elem-chapter-books_h (#2)</t>
  </si>
  <si>
    <t>Rowley Jefferson's Awesome Friendly Spooky Stories: From the Creator of Diary of a Wimpy Kid (The Awesome Friendly Kid Series Book 3)</t>
  </si>
  <si>
    <t>5x5-picture-books_m (#12)</t>
  </si>
  <si>
    <t>Positively Izzy (Emmie &amp; Friends #2)</t>
  </si>
  <si>
    <t>Terri Libenson</t>
  </si>
  <si>
    <t>Libenson, Terri</t>
  </si>
  <si>
    <t>Storytide</t>
  </si>
  <si>
    <t>closet_middle-school-chapter-books (#37)</t>
  </si>
  <si>
    <t>Klawde: Evil Alien Warlord Cat (Klawde: Evil Alien Warlord Cat, #1)</t>
  </si>
  <si>
    <t>Johnny Marciano</t>
  </si>
  <si>
    <t>Marciano, Johnny</t>
  </si>
  <si>
    <t>Emily Chenoweth, Robb Mommaerts</t>
  </si>
  <si>
    <t>white-bookshelf-m (#4)</t>
  </si>
  <si>
    <t>The Bull Shark (Dragged from Under #1)</t>
  </si>
  <si>
    <t>closet_late-elem_chapter-books (#21), 5x5-picture-books-c (#8)</t>
  </si>
  <si>
    <t>Somewhere In The Darkness: Un Lugar Entre Las Sombras</t>
  </si>
  <si>
    <t>Walter Dean Myers</t>
  </si>
  <si>
    <t>Myers, Walter Dean</t>
  </si>
  <si>
    <t>Osvaldo Blanco</t>
  </si>
  <si>
    <t>white-bookshelf-h (#6)</t>
  </si>
  <si>
    <t>Same But Different: Teen Life on the Autism Express: Teen Life on the Autism Express</t>
  </si>
  <si>
    <t>Ryan Elizabeth Peete</t>
  </si>
  <si>
    <t>high-school-chapter-books (#42)</t>
  </si>
  <si>
    <t>Big Nate: Destined for Awesomeness (Big Nate TV Series Graphic Novel)</t>
  </si>
  <si>
    <t>4-x-4-early-elem-chapter-books_c (#8)</t>
  </si>
  <si>
    <t>Big Nate Makes the Grade (Volume 4)</t>
  </si>
  <si>
    <t>5x5-picture-books-d (#21), 4-x-4-early-elem-chapter-books_c (#6)</t>
  </si>
  <si>
    <t>El Club de Cómics de Supergatito: Perspectivas (Cat Kid Comic Club: Perspectives) (Spanish Edition)</t>
  </si>
  <si>
    <t>4-x-4-early-elem-chapter-books_k (#3)</t>
  </si>
  <si>
    <t>On Purpose (Cat Kid Comic Club #3)</t>
  </si>
  <si>
    <t>4-x-4-early-elem-chapter-books_k (#2)</t>
  </si>
  <si>
    <t>Brawl of the Wild (Dog Man, #6)</t>
  </si>
  <si>
    <t>4-x-4-early-elem-chapter-books_k (#4)</t>
  </si>
  <si>
    <t>Dog Man Unleashed (Dog Man, #2)</t>
  </si>
  <si>
    <t>4-x-4-early-elem-chapter-books_k (#8)</t>
  </si>
  <si>
    <t>El Capitán Calzoncillos y el diabólico desquite del Inodoro Turbotrón 2000 (Capitán Calzoncillos #11)</t>
  </si>
  <si>
    <t>white-bookshelf-h, 4-x-4-early-elem-chapter-books_f</t>
  </si>
  <si>
    <t>white-bookshelf-h (#11), 4-x-4-early-elem-chapter-books_f (#1)</t>
  </si>
  <si>
    <t>El Capitán Calzoncillos y la asquerosa venganza de los Robocalzones Radioactivos</t>
  </si>
  <si>
    <t>white-bookshelf-g, 4-x-4-early-elem-chapter-books_f</t>
  </si>
  <si>
    <t>white-bookshelf-g (#5), 4-x-4-early-elem-chapter-books_f (#10)</t>
  </si>
  <si>
    <t>The Very Hungry Caterpillar's Very First Encyclopedia (The Very Hungry Caterpillar Encyclopedias)</t>
  </si>
  <si>
    <t>teacher-grants (#118)</t>
  </si>
  <si>
    <t>The Big Book of Search &amp; Find – Hidden Object Picture Puzzle Book for Kids | Seek and Find Activity Book for Boys &amp; Girls | Fun Brain-Boosting Game for Travel, Screen-Free Fun &amp; Relaxation</t>
  </si>
  <si>
    <t>Kidsbooks Publishing</t>
  </si>
  <si>
    <t>Publishing, Kidsbooks</t>
  </si>
  <si>
    <t>4x4-picture-books-a (#2)</t>
  </si>
  <si>
    <t>The Boy Who Failed Show and Tell</t>
  </si>
  <si>
    <t>Jordan Sonnenblick</t>
  </si>
  <si>
    <t>Sonnenblick, Jordan</t>
  </si>
  <si>
    <t>Marta Kissi</t>
  </si>
  <si>
    <t>closet_late-elem_chapter-books (#9)</t>
  </si>
  <si>
    <t>Kid Trailblazers : True Tales of Childhood from Changemakers and Leaders</t>
  </si>
  <si>
    <t>Robin Stevenson</t>
  </si>
  <si>
    <t>Stevenson, Robin</t>
  </si>
  <si>
    <t>Allison Steinfeld</t>
  </si>
  <si>
    <t>5x5-middle-chapter-books_c (#34), 5x5 (#54)</t>
  </si>
  <si>
    <t>Smile: A Graphic Novel</t>
  </si>
  <si>
    <t>teacher-grants (#33)</t>
  </si>
  <si>
    <t>La telaraña de Carlota</t>
  </si>
  <si>
    <t>E.B. White</t>
  </si>
  <si>
    <t>White, E.B.</t>
  </si>
  <si>
    <t>Guillermo Solana, Garth Williams</t>
  </si>
  <si>
    <t>closet_middle-school-chapter-books (#16)</t>
  </si>
  <si>
    <t>Big Shot (Diary of a Wimpy Kid, #16)</t>
  </si>
  <si>
    <t>4-x-4-early-elem-chapter-books_h (#11)</t>
  </si>
  <si>
    <t>Rodrick Rules (Diary of a Wimpy Kid, #2)</t>
  </si>
  <si>
    <t>4-x-4-early-elem-chapter-books_h (#1)</t>
  </si>
  <si>
    <t>Nicholas St. North and the Battle of the Nightmare King (The Guardians, #1)</t>
  </si>
  <si>
    <t>Laura Geringer Bass</t>
  </si>
  <si>
    <t>closet_middle-school-chapter-books (#20)</t>
  </si>
  <si>
    <t>Un sol de tortilla</t>
  </si>
  <si>
    <t>Jennifer Cervantes</t>
  </si>
  <si>
    <t>Cervantes, Jennifer</t>
  </si>
  <si>
    <t>white-bookshelf-h (#9)</t>
  </si>
  <si>
    <t>Dog Man (Dog Man, #1)</t>
  </si>
  <si>
    <t>4-x-4-early-elem-chapter-books_k (#6)</t>
  </si>
  <si>
    <t>The True Confessions of Charlotte Doyle</t>
  </si>
  <si>
    <t>closet_middle-school-chapter-books (#10)</t>
  </si>
  <si>
    <t>Maximilian and the Lucha Libre Club (Max's Lucha Libre Adventures, 3) (English and Spanish Edition)</t>
  </si>
  <si>
    <t>5x5-picture-books-c (#17)</t>
  </si>
  <si>
    <t>Out on the Wire: Uncovering the Secrets of Radio's New Masters of Story with Ira Glass</t>
  </si>
  <si>
    <t>Jessica Abel</t>
  </si>
  <si>
    <t>Abel, Jessica</t>
  </si>
  <si>
    <t>high-school-chapter-books (#7)</t>
  </si>
  <si>
    <t>My Little Pony: Equestria Girls: Through the Mirror</t>
  </si>
  <si>
    <t>G.M. Berrow</t>
  </si>
  <si>
    <t>Berrow, G.M.</t>
  </si>
  <si>
    <t>closet_3rd-4th-grade-chapter-books (#15)</t>
  </si>
  <si>
    <t>Double Fudge (Fudge, #5)</t>
  </si>
  <si>
    <t>5x5-middle-chapter-books_d (#1), 5x5 (#56)</t>
  </si>
  <si>
    <t>Frida, el misterio del pavo real y yo</t>
  </si>
  <si>
    <t>Angela Cervantes</t>
  </si>
  <si>
    <t>Cervantes, Angela</t>
  </si>
  <si>
    <t>Veronika Decides to Die: A Novel of Redemption</t>
  </si>
  <si>
    <t>Paulo Coelho</t>
  </si>
  <si>
    <t>Coelho, Paulo</t>
  </si>
  <si>
    <t>HarperOne</t>
  </si>
  <si>
    <t>My Brother Sam Is Dead</t>
  </si>
  <si>
    <t>James Lincoln Collier</t>
  </si>
  <si>
    <t>Collier, James Lincoln</t>
  </si>
  <si>
    <t>Christopher Collier</t>
  </si>
  <si>
    <t>high-school-chapter-books (#17)</t>
  </si>
  <si>
    <t>Allergic: A Graphic Novel</t>
  </si>
  <si>
    <t>Megan Wagner Lloyd</t>
  </si>
  <si>
    <t>Lloyd, Megan Wagner</t>
  </si>
  <si>
    <t>Michelle Mee Nutter</t>
  </si>
  <si>
    <t>teacher-grants (#27)</t>
  </si>
  <si>
    <t>Chasing Space</t>
  </si>
  <si>
    <t>Leland Melvin</t>
  </si>
  <si>
    <t>Melvin, Leland</t>
  </si>
  <si>
    <t>Amistad Books for Young Readers</t>
  </si>
  <si>
    <t>teacher-grants (#42)</t>
  </si>
  <si>
    <t>Join the Club, Maggie Diaz (Maggie Diaz, #1)</t>
  </si>
  <si>
    <t>Nina Moreno</t>
  </si>
  <si>
    <t>Moreno, Nina</t>
  </si>
  <si>
    <t>Courtney Lovett</t>
  </si>
  <si>
    <t>closet_middle-school-chapter-books (#1)</t>
  </si>
  <si>
    <t>Violet and Jobie in the Wild</t>
  </si>
  <si>
    <t>Lynne Rae Perkins</t>
  </si>
  <si>
    <t>Perkins, Lynne Rae</t>
  </si>
  <si>
    <t>5x5-picture-books-d (#9)</t>
  </si>
  <si>
    <t>For Whom the Ball Rolls (Dog Man, #7)</t>
  </si>
  <si>
    <t>4-x-4-early-elem-chapter-books_k (#10)</t>
  </si>
  <si>
    <t>Grime and Punishment (Dog Man, #9)</t>
  </si>
  <si>
    <t>4-x-4-early-elem-chapter-books_k (#7)</t>
  </si>
  <si>
    <t>Fetch-22 (Dog Man, #8)</t>
  </si>
  <si>
    <t>4-x-4-early-elem-chapter-books_k (#5)</t>
  </si>
  <si>
    <t>La marsopa de un perro</t>
  </si>
  <si>
    <t>M.C. Ross</t>
  </si>
  <si>
    <t>Ross, M.C.</t>
  </si>
  <si>
    <t>white-bookshelf-h (#8)</t>
  </si>
  <si>
    <t>The Moon Within</t>
  </si>
  <si>
    <t>Aida Salazar</t>
  </si>
  <si>
    <t>Salazar, Aida</t>
  </si>
  <si>
    <t>white-bookshelf-h (#7)</t>
  </si>
  <si>
    <t>Hidden Figures</t>
  </si>
  <si>
    <t>Margot Lee Shetterly</t>
  </si>
  <si>
    <t>Shetterly, Margot Lee</t>
  </si>
  <si>
    <t>high-school-chapter-books (#47)</t>
  </si>
  <si>
    <t>Drama</t>
  </si>
  <si>
    <t>teacher-grants (#35)</t>
  </si>
  <si>
    <t>Red Scare: A Graphic Novel</t>
  </si>
  <si>
    <t>Liam Francis Walsh</t>
  </si>
  <si>
    <t>Walsh, Liam Francis</t>
  </si>
  <si>
    <t>4-x-4-early-elem-chapter-books_c (#2)</t>
  </si>
  <si>
    <t>El Deafo</t>
  </si>
  <si>
    <t>Cece Bell</t>
  </si>
  <si>
    <t>Bell, Cece</t>
  </si>
  <si>
    <t>David Lasky</t>
  </si>
  <si>
    <t>teacher-grants (#80)</t>
  </si>
  <si>
    <t>Becoming Naomi León</t>
  </si>
  <si>
    <t>Pam Muñoz Ryan</t>
  </si>
  <si>
    <t>Ryan, Pam Muñoz</t>
  </si>
  <si>
    <t>5x5_middle_chapter_books_j (#1)</t>
  </si>
  <si>
    <t>The Random House Book of Poetry for Children</t>
  </si>
  <si>
    <t>4x4-picture-books-e (#38)</t>
  </si>
  <si>
    <t>The Forgotten Girl</t>
  </si>
  <si>
    <t>5x5-middle-chapter-books_a (#6)</t>
  </si>
  <si>
    <t>Harriet the Invincible (Hamster Princess, #1)</t>
  </si>
  <si>
    <t>white-bookshelf-o (#15), 4-x-4-early-elem-chapter-books_a (#14)</t>
  </si>
  <si>
    <t>Keep Your Paws Off! (Marty Pants #2)</t>
  </si>
  <si>
    <t>Mark Parisi</t>
  </si>
  <si>
    <t>Parisi, Mark</t>
  </si>
  <si>
    <t>5x5_middle_chapter_books_j (#25), 5x5 (#21)</t>
  </si>
  <si>
    <t>The Big Green Book of Beginner Books</t>
  </si>
  <si>
    <t>Theo LeSieg</t>
  </si>
  <si>
    <t>closet_black-bin-dr-seuss (#26), 5x5-picture-books_g (#15)</t>
  </si>
  <si>
    <t>El crossover</t>
  </si>
  <si>
    <t>Juan Felipe Herrera</t>
  </si>
  <si>
    <t>white-bookshelf-h (#18)</t>
  </si>
  <si>
    <t>Peeled</t>
  </si>
  <si>
    <t>Joan Bauer</t>
  </si>
  <si>
    <t>Bauer, Joan</t>
  </si>
  <si>
    <t>closet_middle-school-chapter-books (#4)</t>
  </si>
  <si>
    <t>The Last Kids on Earth (The Last Kids on Earth #1)</t>
  </si>
  <si>
    <t>Max Brallier</t>
  </si>
  <si>
    <t>Brallier, Max</t>
  </si>
  <si>
    <t>Douglas Holgate</t>
  </si>
  <si>
    <t>zombies</t>
  </si>
  <si>
    <t>zombies (#3)</t>
  </si>
  <si>
    <t>Wild Ride</t>
  </si>
  <si>
    <t>Keith Calabrese</t>
  </si>
  <si>
    <t>Calabrese, Keith</t>
  </si>
  <si>
    <t>closet_late-elem_chapter-books (#68)</t>
  </si>
  <si>
    <t>Best Travel Activity Book Ever</t>
  </si>
  <si>
    <t>Level 2 Reader: Katie Fry Private Eye- The Missing Fox</t>
  </si>
  <si>
    <t>Katherine Cox</t>
  </si>
  <si>
    <t>Cox, Katherine</t>
  </si>
  <si>
    <t>Scholastic India</t>
  </si>
  <si>
    <t>leveled-readers-2 (#66)</t>
  </si>
  <si>
    <t>Controlled Burn</t>
  </si>
  <si>
    <t>high-school-chapter-books (#26)</t>
  </si>
  <si>
    <t>The Replacement (Geronimo Stilton)</t>
  </si>
  <si>
    <t>Lindsey Duga</t>
  </si>
  <si>
    <t>Duga, Lindsey</t>
  </si>
  <si>
    <t>5x5-middle-chapter-books_a (#28)</t>
  </si>
  <si>
    <t>Miss Quinces</t>
  </si>
  <si>
    <t>Kat Fajardo</t>
  </si>
  <si>
    <t>Fajardo, Kat</t>
  </si>
  <si>
    <t>5x5-picture-books-c (#15)</t>
  </si>
  <si>
    <t>The 13-Story Treehouse: Monkey Mayhem! (The Treehouse Books, 1)</t>
  </si>
  <si>
    <t>Andy Griffiths</t>
  </si>
  <si>
    <t>Griffiths, Andy</t>
  </si>
  <si>
    <t>Terry Denton</t>
  </si>
  <si>
    <t>4-x-4-early-elem-chapter-books_k (#18)</t>
  </si>
  <si>
    <t>Jumbo Book of Hidden Pictures: Puzzle Activity Book for Kids Packed with More than 200 Hidden Pictures and Funny Seek and Find Challenges for Ages 6 and Up (Highlights Jumbo Books &amp; Pads)</t>
  </si>
  <si>
    <t>Highlights</t>
  </si>
  <si>
    <t>Highlights, Highlights</t>
  </si>
  <si>
    <t>Highlights Press</t>
  </si>
  <si>
    <t>closet_coloring-and-sticker-books (#3)</t>
  </si>
  <si>
    <t>Twins</t>
  </si>
  <si>
    <t>Varian Johnson</t>
  </si>
  <si>
    <t>Johnson, Varian</t>
  </si>
  <si>
    <t>Shannon Wright</t>
  </si>
  <si>
    <t>5x5-picture-books-c (#18)</t>
  </si>
  <si>
    <t>Restart</t>
  </si>
  <si>
    <t>closet_late-elem_chapter-books (#10)</t>
  </si>
  <si>
    <t>Chasing Jaguars (Wild Survival #3) (3)</t>
  </si>
  <si>
    <t>Melissa Cristina Márquez</t>
  </si>
  <si>
    <t>Márquez, Melissa Cristina</t>
  </si>
  <si>
    <t>high-school-chapter-books (#27)</t>
  </si>
  <si>
    <t>Strong Is the New Pretty: A Celebration of Girls Being Themselves</t>
  </si>
  <si>
    <t>Kate T. Parker</t>
  </si>
  <si>
    <t>Parker, Kate T.</t>
  </si>
  <si>
    <t>4x4-picture-books-p (#3)</t>
  </si>
  <si>
    <t>The Brilliant World of Tom Gates (Tom Gates, #1)</t>
  </si>
  <si>
    <t>Liz Pichon</t>
  </si>
  <si>
    <t>Pichon, Liz</t>
  </si>
  <si>
    <t>5x5-picture-books-f (#6)</t>
  </si>
  <si>
    <t>A Tale of Two Kitties (Dog Man, #3)</t>
  </si>
  <si>
    <t>4-x-4-early-elem-chapter-books_k (#9)</t>
  </si>
  <si>
    <t>Captain Superlative</t>
  </si>
  <si>
    <t>J.S. Puller</t>
  </si>
  <si>
    <t>Puller, J.S.</t>
  </si>
  <si>
    <t>The Big Aqua Book of Beginner Books: The Cat in the Hat Comes Back; Oh Say Can You Say?; There's a Wocket in My Pocket!; New Tricks I Can Do!; Please Try to Remember the First of Octember</t>
  </si>
  <si>
    <t>Robert Lopshire, Al Perkins, Art Cumings</t>
  </si>
  <si>
    <t>closet_black-bin-dr-seuss (#25), 5x5-picture-books_g (#13)</t>
  </si>
  <si>
    <t>The Elements of Harmony: The Official Guidebook (My Little Pony: Friendship is Magic)</t>
  </si>
  <si>
    <t>Brandon T. Snider</t>
  </si>
  <si>
    <t>Snider, Brandon T.</t>
  </si>
  <si>
    <t>Lauren Faust, Meghan Mccarthy, Jayson Thiessen</t>
  </si>
  <si>
    <t>4-x-4-early-elem-chapter-books_f (#13)</t>
  </si>
  <si>
    <t>The Boy Who Failed Dodgeball</t>
  </si>
  <si>
    <t>closet_late-elem_chapter-books (#16)</t>
  </si>
  <si>
    <t>Ghosts: A Graphic Novel</t>
  </si>
  <si>
    <t>teacher-grants (#36)</t>
  </si>
  <si>
    <t>Lie to Me</t>
  </si>
  <si>
    <t>Kaitlin Ward</t>
  </si>
  <si>
    <t>Ward, Kaitlin</t>
  </si>
  <si>
    <t>Point</t>
  </si>
  <si>
    <t>5x5-middle-chapter-books_a (#9)</t>
  </si>
  <si>
    <t>Save Me a Seat</t>
  </si>
  <si>
    <t>Sarah Weeks</t>
  </si>
  <si>
    <t>Weeks, Sarah</t>
  </si>
  <si>
    <t>Gita Varadarajan</t>
  </si>
  <si>
    <t>white-bookshelf-h (#14)</t>
  </si>
  <si>
    <t>The Cabinet of Wonders (The Kronos Chronicles, #1)</t>
  </si>
  <si>
    <t>Marie Rutkoski</t>
  </si>
  <si>
    <t>Rutkoski, Marie</t>
  </si>
  <si>
    <t>closet_late-elem_chapter-books (#23)</t>
  </si>
  <si>
    <t>Inside Out &amp; Back Again</t>
  </si>
  <si>
    <t>Thanhhà Lại</t>
  </si>
  <si>
    <t>Lại, Thanhhà</t>
  </si>
  <si>
    <t>closet_late-elem_chapter-books (#7)</t>
  </si>
  <si>
    <t>The Vanishing Girl (Daphne and Velma, #1)</t>
  </si>
  <si>
    <t>5x5-picture-books-e (#9)</t>
  </si>
  <si>
    <t>June's Wild Flight (The Last Kids on Earth #5.5)</t>
  </si>
  <si>
    <t>closet_late-elem_chapter-books, zombies</t>
  </si>
  <si>
    <t>closet_late-elem_chapter-books (#95), zombies (#5)</t>
  </si>
  <si>
    <t>Harry Potter y la piedra filosofal (Harry Potter, #1)</t>
  </si>
  <si>
    <t>Alicia Dellepiane</t>
  </si>
  <si>
    <t>white-bookshelf-h (#10)</t>
  </si>
  <si>
    <t>The Vanished (Shuri: A Black Panther Novel #2)</t>
  </si>
  <si>
    <t>Nic Stone</t>
  </si>
  <si>
    <t>Stone, Nic</t>
  </si>
  <si>
    <t>closet_middle-school-chapter-books (#21)</t>
  </si>
  <si>
    <t>The Last Kids on Earth and the Nightmare King (The Last Kids on Earth #3)</t>
  </si>
  <si>
    <t>closet_late-elem_chapter-books (#40)</t>
  </si>
  <si>
    <t>Three Keys (Front Desk #2)</t>
  </si>
  <si>
    <t>Kelly Yang</t>
  </si>
  <si>
    <t>Yang, Kelly</t>
  </si>
  <si>
    <t>closet_middle-school-chapter-books (#11)</t>
  </si>
  <si>
    <t>Darkroom</t>
  </si>
  <si>
    <t>K.R.  Alexander</t>
  </si>
  <si>
    <t>Alexander, K.R.</t>
  </si>
  <si>
    <t>5x5-middle-chapter-books_a (#27)</t>
  </si>
  <si>
    <t>Willodeen</t>
  </si>
  <si>
    <t>Katherine Applegate</t>
  </si>
  <si>
    <t>Applegate, Katherine</t>
  </si>
  <si>
    <t>5x5-picture-books-e (#5)</t>
  </si>
  <si>
    <t>The Last Kids on Earth and the Cosmic Beyond (The Last Kids on Earth #4)</t>
  </si>
  <si>
    <t>zombies (#1)</t>
  </si>
  <si>
    <t>Marcus Vega Doesn't Speak Spanish</t>
  </si>
  <si>
    <t>Pablo Cartaya</t>
  </si>
  <si>
    <t>Cartaya, Pablo</t>
  </si>
  <si>
    <t>5x5-picture-books-c (#3)</t>
  </si>
  <si>
    <t>Efrén Divided</t>
  </si>
  <si>
    <t>Ernesto Cisneros</t>
  </si>
  <si>
    <t>Cisneros, Ernesto</t>
  </si>
  <si>
    <t>Quill Tree Books</t>
  </si>
  <si>
    <t>5x5-picture-books-d (#13)</t>
  </si>
  <si>
    <t>The Tale of Despereaux</t>
  </si>
  <si>
    <t>Timothy Basil Ering</t>
  </si>
  <si>
    <t>closet_late-elem_chapter-books, 5x5, 5x5-middle-chapter-books_a</t>
  </si>
  <si>
    <t>closet_late-elem_chapter-books (#2), 5x5 (#6), 5x5-middle-chapter-books_a (#29)</t>
  </si>
  <si>
    <t>Crash from Outer Space: Unraveling the Mystery of Flying Saucers, Alien Beings, and Roswell (Scholastic Focus)</t>
  </si>
  <si>
    <t>high-school-chapter-books (#14)</t>
  </si>
  <si>
    <t>The Lost Lands (Rise of the Dragons, #2)</t>
  </si>
  <si>
    <t>Jessica Khoury</t>
  </si>
  <si>
    <t>Khoury, Jessica</t>
  </si>
  <si>
    <t>Bug Boys: Outside and Beyond: (A Graphic Novel)</t>
  </si>
  <si>
    <t>Laura Knetzger</t>
  </si>
  <si>
    <t>Knetzger, Laura</t>
  </si>
  <si>
    <t>teacher-grants (#38)</t>
  </si>
  <si>
    <t>Bug Boys: (A Graphic Novel)</t>
  </si>
  <si>
    <t>teacher-grants (#37)</t>
  </si>
  <si>
    <t>Playing Through the Turnaround</t>
  </si>
  <si>
    <t>Mylisa Larsen</t>
  </si>
  <si>
    <t>Larsen, Mylisa</t>
  </si>
  <si>
    <t>5x5_middle_chapter_books_j (#7)</t>
  </si>
  <si>
    <t>City of Speed (Battle Dragons #2) (2)</t>
  </si>
  <si>
    <t>Alex London</t>
  </si>
  <si>
    <t>London, Alex</t>
  </si>
  <si>
    <t>high-school-chapter-books (#29)</t>
  </si>
  <si>
    <t>City of Thieves (Battle Dragons #1)</t>
  </si>
  <si>
    <t>high-school-chapter-books (#28)</t>
  </si>
  <si>
    <t>Esperanza Renace</t>
  </si>
  <si>
    <t>Nuria Molinero</t>
  </si>
  <si>
    <t>closet_middle-school-chapter-books (#46)</t>
  </si>
  <si>
    <t>Holes (Holes, #1)</t>
  </si>
  <si>
    <t>closet_late-elem_chapter-books (#4)</t>
  </si>
  <si>
    <t>The Okay Witch (The Okay Witch, #1)</t>
  </si>
  <si>
    <t>Emma Steinkellner</t>
  </si>
  <si>
    <t>Steinkellner, Emma</t>
  </si>
  <si>
    <t>5x5-picture-books-d (#17)</t>
  </si>
  <si>
    <t>The Pet War</t>
  </si>
  <si>
    <t>Allan Woodrow</t>
  </si>
  <si>
    <t>Woodrow, Allan</t>
  </si>
  <si>
    <t>white-bookshelf-g (#19)</t>
  </si>
  <si>
    <t>La formasombras (The Shadowshaper Cypher #1)</t>
  </si>
  <si>
    <t>Daniel José Older</t>
  </si>
  <si>
    <t>Older, Daniel José</t>
  </si>
  <si>
    <t>white-bookshelf-g (#17)</t>
  </si>
  <si>
    <t>Pax (Pax, #1)</t>
  </si>
  <si>
    <t>closet_late-elem_chapter-books (#24)</t>
  </si>
  <si>
    <t>Monster: A Story About Crime, Justice, and Life on Trial</t>
  </si>
  <si>
    <t>The Diary of a Young Girl</t>
  </si>
  <si>
    <t>Anne Frank</t>
  </si>
  <si>
    <t>Frank, Anne</t>
  </si>
  <si>
    <t>Eleanor Roosevelt, Susan Massotty, Γιάννης Θωμόπουλος, Barbara Mooyaart-Doubleday, Otto H. Frank, Mirjam Pressler</t>
  </si>
  <si>
    <t>Bantam</t>
  </si>
  <si>
    <t>high-school-chapter-books (#40)</t>
  </si>
  <si>
    <t>The Curse of the Mummy: Uncovering Tutankhamun's Tomb</t>
  </si>
  <si>
    <t>high-school-chapter-books (#24)</t>
  </si>
  <si>
    <t>The Book of Unknown Americans</t>
  </si>
  <si>
    <t>Cristina Henríquez</t>
  </si>
  <si>
    <t>Henríquez, Cristina</t>
  </si>
  <si>
    <t>Knopf</t>
  </si>
  <si>
    <t>5x5-picture-books-c (#4)</t>
  </si>
  <si>
    <t>The Matchstick Castle</t>
  </si>
  <si>
    <t>Keir Graff</t>
  </si>
  <si>
    <t>Graff, Keir</t>
  </si>
  <si>
    <t>5x5-picture-books-f, 5x5_middle_chapter_books_j</t>
  </si>
  <si>
    <t>5x5-picture-books-f (#9), 5x5_middle_chapter_books_j (#13)</t>
  </si>
  <si>
    <t>Amina's Song (Amina's Voice)</t>
  </si>
  <si>
    <t>Hena Khan</t>
  </si>
  <si>
    <t>Khan, Hena</t>
  </si>
  <si>
    <t>closet_middle-school-chapter-books (#42)</t>
  </si>
  <si>
    <t>Bug Boys: Adventures and Daydreams</t>
  </si>
  <si>
    <t>teacher-grants (#23)</t>
  </si>
  <si>
    <t>The Unteachables: A Hilarious Novel About a Class of Misfits and Mayhem for Children (Ages 8–12)</t>
  </si>
  <si>
    <t>5x5_middle_chapter_books_j (#16), 5x5 (#22)</t>
  </si>
  <si>
    <t>Get Me out of Here! (Middle School #2)</t>
  </si>
  <si>
    <t>Chris Tebbetts, Laura Park</t>
  </si>
  <si>
    <t>jimmy patterson</t>
  </si>
  <si>
    <t>5x5_middle_chapter_books_j (#23), 5x5 (#19)</t>
  </si>
  <si>
    <t>Richard Scarry's Best Storybook Ever!</t>
  </si>
  <si>
    <t>4x4-picture-books-l (#3)</t>
  </si>
  <si>
    <t>Hide and Seek (The Lying Game, #4)</t>
  </si>
  <si>
    <t>Sara Shepard</t>
  </si>
  <si>
    <t>Shepard, Sara</t>
  </si>
  <si>
    <t>high-school-chapter-books (#48)</t>
  </si>
  <si>
    <t>Barakah Beats</t>
  </si>
  <si>
    <t>Maleeha Siddiqui</t>
  </si>
  <si>
    <t>Siddiqui, Maleeha</t>
  </si>
  <si>
    <t>closet_middle-school-chapter-books (#41)</t>
  </si>
  <si>
    <t>The Hispanic Condition: The Power of a People – A Pioneering Meditation on Hispanic Civilization and Cultural Heritage in America</t>
  </si>
  <si>
    <t>Ilan Stavans</t>
  </si>
  <si>
    <t>Stavans, Ilan</t>
  </si>
  <si>
    <t>Harper Perennial</t>
  </si>
  <si>
    <t>high-school-chapter-books (#13)</t>
  </si>
  <si>
    <t>Roll of Thunder, Hear My Cry (Logans, #4)</t>
  </si>
  <si>
    <t>Mildred D. Taylor</t>
  </si>
  <si>
    <t>Taylor, Mildred D.</t>
  </si>
  <si>
    <t>closet_middle-school-chapter-books (#36)</t>
  </si>
  <si>
    <t>My Year in the Middle</t>
  </si>
  <si>
    <t>Lila Quintero Weaver</t>
  </si>
  <si>
    <t>Weaver, Lila Quintero</t>
  </si>
  <si>
    <t>5x5-picture-books-f (#7)</t>
  </si>
  <si>
    <t>El increíble viaje de Alexander von Humboldt al corazón de la naturaleza</t>
  </si>
  <si>
    <t>Andrea Wulf</t>
  </si>
  <si>
    <t>Wulf, Andrea</t>
  </si>
  <si>
    <t>Random Cómics</t>
  </si>
  <si>
    <t>4x4-picture-books-c (#41)</t>
  </si>
  <si>
    <t>Crush at First Sight (Pippa Park, #2)</t>
  </si>
  <si>
    <t>Erin Yun</t>
  </si>
  <si>
    <t>Yun, Erin</t>
  </si>
  <si>
    <t>Fabled Films Press</t>
  </si>
  <si>
    <t>5x5_middle_chapter_books_j (#8)</t>
  </si>
  <si>
    <t>Proud: My Fight for an Unlikely American Dream</t>
  </si>
  <si>
    <t>Lori L. Tharps</t>
  </si>
  <si>
    <t>Hachette Books</t>
  </si>
  <si>
    <t>5x5-picture-books-f (#8)</t>
  </si>
  <si>
    <t>Peace, Love, and Baby Ducks</t>
  </si>
  <si>
    <t>Lauren Myracle</t>
  </si>
  <si>
    <t>Myracle, Lauren</t>
  </si>
  <si>
    <t>closet_middle-school-chapter-books (#38)</t>
  </si>
  <si>
    <t>The Switch</t>
  </si>
  <si>
    <t>Roland Smith</t>
  </si>
  <si>
    <t>Smith, Roland</t>
  </si>
  <si>
    <t>high-school-chapter-books (#32)</t>
  </si>
  <si>
    <t>Cuando era puertorriqueña</t>
  </si>
  <si>
    <t>Esmeralda Santiago</t>
  </si>
  <si>
    <t>Santiago, Esmeralda</t>
  </si>
  <si>
    <t>white-bookshelf-h (#2)</t>
  </si>
  <si>
    <t>Front Desk (Front Desk #1)</t>
  </si>
  <si>
    <t>closet_middle-school-chapter-books (#2)</t>
  </si>
  <si>
    <t>The Fear Zone</t>
  </si>
  <si>
    <t>5x5-middle-chapter-books_a (#1)</t>
  </si>
  <si>
    <t>The One and Only Ivan (The One and Only, #1)</t>
  </si>
  <si>
    <t>Patricia Castelao</t>
  </si>
  <si>
    <t>5x5_middle_chapter_books_j, 5x5-middle-chapter-books_b</t>
  </si>
  <si>
    <t>5x5_middle_chapter_books_j (#3), 5x5-middle-chapter-books_b (#11)</t>
  </si>
  <si>
    <t>The Last Kids on Earth and the Midnight Blade (The Last Kids on Earth #5)</t>
  </si>
  <si>
    <t>zombies (#2)</t>
  </si>
  <si>
    <t>The Area 51 Files (The Area 51 Files #1)</t>
  </si>
  <si>
    <t>Julie Buxbaum</t>
  </si>
  <si>
    <t>Buxbaum, Julie</t>
  </si>
  <si>
    <t>Lavanya Naidu</t>
  </si>
  <si>
    <t>closet_graphic-novels (#3)</t>
  </si>
  <si>
    <t>The Everything Sign Language Book: American Sign Language Made Easy... All new photos! (Everything® Series)</t>
  </si>
  <si>
    <t>Irene Duke</t>
  </si>
  <si>
    <t>Duke, Irene</t>
  </si>
  <si>
    <t>Everything</t>
  </si>
  <si>
    <t>teacher-grants (#74)</t>
  </si>
  <si>
    <t>Sweet and Sour</t>
  </si>
  <si>
    <t>Debbi Michiko Florence</t>
  </si>
  <si>
    <t>Florence, Debbi Michiko</t>
  </si>
  <si>
    <t>closet_middle-school-chapter-books (#25)</t>
  </si>
  <si>
    <t>El libro del cementerio</t>
  </si>
  <si>
    <t>Roca Editorial</t>
  </si>
  <si>
    <t>to-read (#191), 1-x-4_spanish-picture-books_a (#42)</t>
  </si>
  <si>
    <t>Lost in the Sun</t>
  </si>
  <si>
    <t>Lisa Graff</t>
  </si>
  <si>
    <t>Graff, Lisa</t>
  </si>
  <si>
    <t>The 143-Story Treehouse: Camping Trip Chaos! (The Treehouse Books, 11)</t>
  </si>
  <si>
    <t>4-x-4-early-elem-chapter-books_l</t>
  </si>
  <si>
    <t>4-x-4-early-elem-chapter-books_l (#2)</t>
  </si>
  <si>
    <t>The Boy Who Harnessed the Wind</t>
  </si>
  <si>
    <t>William Kamkwamba</t>
  </si>
  <si>
    <t>Kamkwamba, William</t>
  </si>
  <si>
    <t>Bryan Mealer, Anna Hymas</t>
  </si>
  <si>
    <t>teacher-grants (#45)</t>
  </si>
  <si>
    <t>National Geographic Animal Encyclopedia: 2,500 Animals with Photos, Maps, and More!</t>
  </si>
  <si>
    <t>to-read (#151), 5x5-picture-books-e (#24)</t>
  </si>
  <si>
    <t>Dreams Come to Life (Bendy and the Ink Machine #1)</t>
  </si>
  <si>
    <t>Adrienne Kress</t>
  </si>
  <si>
    <t>Kress, Adrienne</t>
  </si>
  <si>
    <t>high-school-chapter-books (#9)</t>
  </si>
  <si>
    <t>Proud: Living My American Dream</t>
  </si>
  <si>
    <t>5x5-middle-chapter-books_c (#36), 5x5 (#55)</t>
  </si>
  <si>
    <t>A Pocket Full of Posies</t>
  </si>
  <si>
    <t>Shawn Sarles</t>
  </si>
  <si>
    <t>Sarles, Shawn</t>
  </si>
  <si>
    <t>5x5-middle-chapter-books_a (#3)</t>
  </si>
  <si>
    <t>The Neddiad: How Neddie Took the Train, Went to Hollywood, and Saved Civilization (Neddie &amp; Friends, #1)</t>
  </si>
  <si>
    <t>Daniel Pinkwater</t>
  </si>
  <si>
    <t>Pinkwater, Daniel</t>
  </si>
  <si>
    <t>Calef Brown</t>
  </si>
  <si>
    <t>5x5-picture-books-e (#1)</t>
  </si>
  <si>
    <t>American Chica: Two Worlds, One Childhood</t>
  </si>
  <si>
    <t>Marie Arana</t>
  </si>
  <si>
    <t>Arana, Marie</t>
  </si>
  <si>
    <t>Delta Trade Paperback</t>
  </si>
  <si>
    <t>high-school-chapter-books (#5)</t>
  </si>
  <si>
    <t>Harry Potter and the Sorcerer's Stone (Harry Potter, #1)</t>
  </si>
  <si>
    <t>closet_late-elem_chapter-books (#86)</t>
  </si>
  <si>
    <t>Gregor and the Prophecy of Bane (Underland Chronicles, #2)</t>
  </si>
  <si>
    <t>Suzanne Collins</t>
  </si>
  <si>
    <t>Collins, Suzanne</t>
  </si>
  <si>
    <t>high-school-chapter-books (#44)</t>
  </si>
  <si>
    <t>Disney Bedtime Favorites</t>
  </si>
  <si>
    <t>Annie Auerbach</t>
  </si>
  <si>
    <t>4x4-picture-books-l (#1)</t>
  </si>
  <si>
    <t>The Fault in Our Stars</t>
  </si>
  <si>
    <t>John  Green</t>
  </si>
  <si>
    <t>Green, John</t>
  </si>
  <si>
    <t>Dutton Books</t>
  </si>
  <si>
    <t>closet_middle-school-chapter-books (#9)</t>
  </si>
  <si>
    <t>Liesl &amp; Po</t>
  </si>
  <si>
    <t>Lauren Oliver</t>
  </si>
  <si>
    <t>Oliver, Lauren</t>
  </si>
  <si>
    <t>Kei Acedera</t>
  </si>
  <si>
    <t>closet_middle-school-chapter-books (#6)</t>
  </si>
  <si>
    <t>Wonder (Wonder, #1)</t>
  </si>
  <si>
    <t>R.J. Palacio</t>
  </si>
  <si>
    <t>Palacio, R.J.</t>
  </si>
  <si>
    <t>to-read (#199), 1-x-4_spanish-picture-books_a (#51)</t>
  </si>
  <si>
    <t>Magic Tree House Merlin Missions Books 1-4</t>
  </si>
  <si>
    <t>closet_3rd-4th-grade-chapter-books (#54)</t>
  </si>
  <si>
    <t>The Last Kids on Earth and the Zombie Parade (The Last Kids on Earth #2)</t>
  </si>
  <si>
    <t>closet_late-elem_chapter-books (#39), zombies (#4)</t>
  </si>
  <si>
    <t>This Journal Belongs to Ratchet</t>
  </si>
  <si>
    <t>Nancy J. Cavanaugh</t>
  </si>
  <si>
    <t>Cavanaugh, Nancy J.</t>
  </si>
  <si>
    <t>Sourcebooks Young Readers</t>
  </si>
  <si>
    <t>5x5-picture-books-f (#4)</t>
  </si>
  <si>
    <t>The Last Cuentista</t>
  </si>
  <si>
    <t>Donna Barba Higuera</t>
  </si>
  <si>
    <t>Higuera, Donna Barba</t>
  </si>
  <si>
    <t>Levine Querido</t>
  </si>
  <si>
    <t>high-school-chapter-books (#49)</t>
  </si>
  <si>
    <t>Stand Up, Yumi Chung!</t>
  </si>
  <si>
    <t>Jessica  Kim</t>
  </si>
  <si>
    <t>Kim, Jessica</t>
  </si>
  <si>
    <t>I Funny: A Middle School Story (I Funny, #1)</t>
  </si>
  <si>
    <t>Chris Grabenstein, Laura  Park</t>
  </si>
  <si>
    <t>5x5_middle_chapter_books_j (#15)</t>
  </si>
  <si>
    <t>The Cloud Castle</t>
  </si>
  <si>
    <t>Thea Stilton</t>
  </si>
  <si>
    <t>Stilton, Thea</t>
  </si>
  <si>
    <t>closet_late-elem_chapter-books (#45)</t>
  </si>
  <si>
    <t>An Elephant &amp; Piggie Biggie! Volume 3 (An Elephant and Piggie Book)</t>
  </si>
  <si>
    <t>5x5-picture-books-f (#46)</t>
  </si>
  <si>
    <t>An Elephant &amp; Piggie Biggie Volume 2! (An Elephant and Piggie Book)</t>
  </si>
  <si>
    <t>5x5-picture-books-f (#45)</t>
  </si>
  <si>
    <t>El único destino (The Only Road) (Spanish Edition)</t>
  </si>
  <si>
    <t>Alexandra  Diaz</t>
  </si>
  <si>
    <t>Diaz, Alexandra</t>
  </si>
  <si>
    <t>white-bookshelf-g (#25)</t>
  </si>
  <si>
    <t>Allies</t>
  </si>
  <si>
    <t>high-school-chapter-books (#8)</t>
  </si>
  <si>
    <t>Gregor the Overlander (Underland Chronicles, #1)</t>
  </si>
  <si>
    <t>closet_middle-school-chapter-books (#15)</t>
  </si>
  <si>
    <t>Please Ignore Vera Dietz</t>
  </si>
  <si>
    <t>A.S. King</t>
  </si>
  <si>
    <t>King, A.S.</t>
  </si>
  <si>
    <t>Alfred A. Knopf Books for Young Readers</t>
  </si>
  <si>
    <t>high-school-chapter-books (#2)</t>
  </si>
  <si>
    <t>P.S. I Like You</t>
  </si>
  <si>
    <t>Kasie West</t>
  </si>
  <si>
    <t>West, Kasie</t>
  </si>
  <si>
    <t>high-school-chapter-books (#12)</t>
  </si>
  <si>
    <t>Charlie Hernández and the League of Shadows (Charlie Hernández #1)</t>
  </si>
  <si>
    <t>Ryan Calejo</t>
  </si>
  <si>
    <t>Calejo, Ryan</t>
  </si>
  <si>
    <t>5x5-picture-books-e (#2)</t>
  </si>
  <si>
    <t>Crecer siendo cubano (Coming Up Cuban) (Spanish Edition)</t>
  </si>
  <si>
    <t>Sonia Manzano</t>
  </si>
  <si>
    <t>Manzano, Sonia</t>
  </si>
  <si>
    <t>white-bookshelf-g (#12)</t>
  </si>
  <si>
    <t>Purple Hibiscus</t>
  </si>
  <si>
    <t>Chimamanda Ngozi Adichie</t>
  </si>
  <si>
    <t>Adichie, Chimamanda Ngozi</t>
  </si>
  <si>
    <t>Algonquin Books</t>
  </si>
  <si>
    <t>The Probability of Everything</t>
  </si>
  <si>
    <t>Sarah Everett</t>
  </si>
  <si>
    <t>Everett, Sarah</t>
  </si>
  <si>
    <t>high-school-chapter-books (#45)</t>
  </si>
  <si>
    <t>It's All In The Frijoles: 100 Famous Latinos Share Real Life Stories Time-Tested Dichos, Favorite Folktales, and Inspiring Words of Wisdom</t>
  </si>
  <si>
    <t>Yolanda Nava</t>
  </si>
  <si>
    <t>Nava, Yolanda</t>
  </si>
  <si>
    <t>Touchstone</t>
  </si>
  <si>
    <t>white-bookshelf-g (#26)</t>
  </si>
  <si>
    <t>The Dragonet Prophecy (Wings of Fire, #1)</t>
  </si>
  <si>
    <t>Tui T. Sutherland</t>
  </si>
  <si>
    <t>Sutherland, Tui T.</t>
  </si>
  <si>
    <t>closet_late-elem_chapter-books (#18)</t>
  </si>
  <si>
    <t>Little Bird</t>
  </si>
  <si>
    <t>Cynthia Voigt</t>
  </si>
  <si>
    <t>Voigt, Cynthia</t>
  </si>
  <si>
    <t>closet_middle-school-chapter-books (#28)</t>
  </si>
  <si>
    <t>American Like Me: Reflections on Life Between Cultures</t>
  </si>
  <si>
    <t>America Ferrera</t>
  </si>
  <si>
    <t>Ferrera, America</t>
  </si>
  <si>
    <t>Gallery Books</t>
  </si>
  <si>
    <t>It's a Zoo in Here! (Middle School #14)</t>
  </si>
  <si>
    <t>Jomike Tejido</t>
  </si>
  <si>
    <t>5x5_middle_chapter_books_j (#24), 5x5 (#20)</t>
  </si>
  <si>
    <t>Harry Potter and the Chamber of Secrets (Harry Potter, #2)</t>
  </si>
  <si>
    <t>5x5-middle-chapter-books_b (#3)</t>
  </si>
  <si>
    <t>The One and Only Bob (The One and Only, #2)</t>
  </si>
  <si>
    <t>5x5_middle_chapter_books_j, 5x5-middle-chapter-books_b, 5x5</t>
  </si>
  <si>
    <t>5x5_middle_chapter_books_j (#4), 5x5-middle-chapter-books_b (#10), 5x5 (#4)</t>
  </si>
  <si>
    <t>Gregor and the Marks of Secret (Underland Chronicles, #4)</t>
  </si>
  <si>
    <t>closet_late-elem_chapter-books (#100)</t>
  </si>
  <si>
    <t>The 26-Story Treehouse: Pirate Problems! (The Treehouse Books Book 2)</t>
  </si>
  <si>
    <t>4-x-4-early-elem-chapter-books_k (#17)</t>
  </si>
  <si>
    <t>Growing Up Latino: Memoirs and Stories</t>
  </si>
  <si>
    <t>Harold Augenbraum</t>
  </si>
  <si>
    <t>Augenbraum, Harold</t>
  </si>
  <si>
    <t>Aru Shah and the Tree of Wishes (Pandava, #3)</t>
  </si>
  <si>
    <t>Roshani Chokshi</t>
  </si>
  <si>
    <t>Chokshi, Roshani</t>
  </si>
  <si>
    <t>Rick Riordan Presents</t>
  </si>
  <si>
    <t>5x5-picture-books-f (#1)</t>
  </si>
  <si>
    <t>Cuentos de los hermanos Grimm</t>
  </si>
  <si>
    <t>Jacob Grimm</t>
  </si>
  <si>
    <t>Grimm, Jacob</t>
  </si>
  <si>
    <t>white-bookshelf-h (#3), 4-x-4-early-elem-chapter-books_a (#26)</t>
  </si>
  <si>
    <t>Spy School Secret Service (Spy School, #5)</t>
  </si>
  <si>
    <t>Stuart Gibbs</t>
  </si>
  <si>
    <t>Gibbs, Stuart</t>
  </si>
  <si>
    <t>5x5-picture-books-d (#5)</t>
  </si>
  <si>
    <t>The 39-Story Treehouse (Treehouse, #3)</t>
  </si>
  <si>
    <t>4-x-4-early-elem-chapter-books_k (#16)</t>
  </si>
  <si>
    <t>Miss Peregrine's Home for Peculiar Children (Miss Peregrine's Peculiar Children, #1)</t>
  </si>
  <si>
    <t>Ransom Riggs</t>
  </si>
  <si>
    <t>Riggs, Ransom</t>
  </si>
  <si>
    <t>Quirk</t>
  </si>
  <si>
    <t>closet_middle-school-chapter-books, 5x5-middle-chapter-books_b</t>
  </si>
  <si>
    <t>closet_middle-school-chapter-books (#8), 5x5-middle-chapter-books_b (#1)</t>
  </si>
  <si>
    <t>Merci Suárez Changes Gears (Merci Suárez, #1)</t>
  </si>
  <si>
    <t>closet_middle-school-chapter-books (#33)</t>
  </si>
  <si>
    <t>Gregor and the Curse of the Warmbloods (Underland Chronicles, #3)</t>
  </si>
  <si>
    <t>closet_middle-school-chapter-books (#14)</t>
  </si>
  <si>
    <t>Norbert no tan normal</t>
  </si>
  <si>
    <t>Joey Green, Hatem Aly, Xavier Solsona</t>
  </si>
  <si>
    <t>closet_late-elem_chapter-books (#97)</t>
  </si>
  <si>
    <t>The 91-Story Treehouse: Babysitting Blunders! (The Treehouse Books Book 7)</t>
  </si>
  <si>
    <t>4-x-4-early-elem-chapter-books_l (#1)</t>
  </si>
  <si>
    <t>The Hobbit, or There and Back Again</t>
  </si>
  <si>
    <t>J.R.R. Tolkien</t>
  </si>
  <si>
    <t>Tolkien, J.R.R.</t>
  </si>
  <si>
    <t>Douglas A. Anderson, Michael Hague, Jemima Catlin</t>
  </si>
  <si>
    <t>closet_late-elem_chapter-books, 5x5-middle-chapter-books_b</t>
  </si>
  <si>
    <t>closet_late-elem_chapter-books (#87), 5x5-middle-chapter-books_b (#4)</t>
  </si>
  <si>
    <t>The Last Kids on Earth and the Forbidden Fortress (The Last Kids on Earth #8)</t>
  </si>
  <si>
    <t>zombies (#6)</t>
  </si>
  <si>
    <t>Valentina Salazar Is Not a Monster Hunter</t>
  </si>
  <si>
    <t>Zoraida Córdova</t>
  </si>
  <si>
    <t>Córdova, Zoraida</t>
  </si>
  <si>
    <t>closet_middle-school-chapter-books (#12)</t>
  </si>
  <si>
    <t>Firebug (Firebug, #1)</t>
  </si>
  <si>
    <t>Lish McBride</t>
  </si>
  <si>
    <t>McBride, Lish</t>
  </si>
  <si>
    <t>high-school-chapter-books (#33)</t>
  </si>
  <si>
    <t>The Stolen Chapters (Story Thieves, #2)</t>
  </si>
  <si>
    <t>James  Riley</t>
  </si>
  <si>
    <t>Riley, James</t>
  </si>
  <si>
    <t>high-school-chapter-books (#20)</t>
  </si>
  <si>
    <t>The 52-Story Treehouse: Vegetable Villains! (The Treehouse Books Book 4)</t>
  </si>
  <si>
    <t>4-x-4-early-elem-chapter-books_k (#15)</t>
  </si>
  <si>
    <t>The 78-Story Treehouse: Moo-vie Madness! (The Treehouse Books Book 6)</t>
  </si>
  <si>
    <t>4-x-4-early-elem-chapter-books_k (#13)</t>
  </si>
  <si>
    <t>Big Nate's Greatest Hits (Volume 11)</t>
  </si>
  <si>
    <t>closet_graphic-novels (#25), 4-x-4-early-elem-chapter-books_c (#7)</t>
  </si>
  <si>
    <t>The Hidden Oracle (The Trials of Apollo, #1)</t>
  </si>
  <si>
    <t>Rick Riordan</t>
  </si>
  <si>
    <t>Riordan, Rick</t>
  </si>
  <si>
    <t>Disney-Hyperion Books</t>
  </si>
  <si>
    <t>Story Thieves (Story Thieves, #1)</t>
  </si>
  <si>
    <t>high-school-chapter-books (#21)</t>
  </si>
  <si>
    <t>The Future of Us</t>
  </si>
  <si>
    <t>Jay Asher</t>
  </si>
  <si>
    <t>Asher, Jay</t>
  </si>
  <si>
    <t>Carolyn Mackler</t>
  </si>
  <si>
    <t>The 130-Story Treehouse</t>
  </si>
  <si>
    <t>4-x-4-early-elem-chapter-books_l (#3)</t>
  </si>
  <si>
    <t>Remarkably Ruby (Emmie &amp; Friends #6)</t>
  </si>
  <si>
    <t>closet_graphic-novels (#6)</t>
  </si>
  <si>
    <t>Secret Origins (Story Thieves #3)</t>
  </si>
  <si>
    <t>high-school-chapter-books (#23)</t>
  </si>
  <si>
    <t>Splendors and Glooms</t>
  </si>
  <si>
    <t>Laura Amy Schlitz</t>
  </si>
  <si>
    <t>Schlitz, Laura Amy</t>
  </si>
  <si>
    <t>5x5-middle-chapter-books_b (#16)</t>
  </si>
  <si>
    <t>Pick the Plot (Story Thieves #4)</t>
  </si>
  <si>
    <t>high-school-chapter-books (#19)</t>
  </si>
  <si>
    <t>The Girl Who Drank the Moon</t>
  </si>
  <si>
    <t>Kelly Barnhill</t>
  </si>
  <si>
    <t>Barnhill, Kelly</t>
  </si>
  <si>
    <t>closet_middle-school-chapter-books (#39)</t>
  </si>
  <si>
    <t>Mystery in the Mansion (Case Closed, #1)</t>
  </si>
  <si>
    <t>Lauren Magaziner</t>
  </si>
  <si>
    <t>Magaziner, Lauren</t>
  </si>
  <si>
    <t>closet_late-elem_chapter-books (#26)</t>
  </si>
  <si>
    <t>The Disappearing Spoon: And Other True Tales of Madness, Love, and the History of the World from the Periodic Table of the Elements</t>
  </si>
  <si>
    <t>Sam Kean</t>
  </si>
  <si>
    <t>Kean, Sam</t>
  </si>
  <si>
    <t>high-school-chapter-books (#6)</t>
  </si>
  <si>
    <t>The Outlaws Scarlett and Browne (The Outlaws Scarlett and Browne, #1)</t>
  </si>
  <si>
    <t>Jonathan Stroud</t>
  </si>
  <si>
    <t>Stroud, Jonathan</t>
  </si>
  <si>
    <t>high-school-chapter-books (#36)</t>
  </si>
  <si>
    <t>City of the Plague God (Adventures of Sik Aziz, #1)</t>
  </si>
  <si>
    <t>Sarwat Chadda</t>
  </si>
  <si>
    <t>Chadda, Sarwat</t>
  </si>
  <si>
    <t>5x5-picture-books-e (#6)</t>
  </si>
  <si>
    <t>El verdadero significado del Smekdía</t>
  </si>
  <si>
    <t>Adam Rex</t>
  </si>
  <si>
    <t>Rex, Adam</t>
  </si>
  <si>
    <t>Océano Travesía</t>
  </si>
  <si>
    <t>closet_middle-school-chapter-books (#31)</t>
  </si>
  <si>
    <t>Gregor and the Code of Claw (Underland Chronicles, #5)</t>
  </si>
  <si>
    <t>closet_middle-school-chapter-books (#13)</t>
  </si>
  <si>
    <t>Hollow City (Miss Peregrine's Peculiar Children, #2)</t>
  </si>
  <si>
    <t>5x5-middle-chapter-books_b (#2)</t>
  </si>
  <si>
    <t>Flat Stanley 4 Books in 1!: Flat Stanley, His Original Adventure; Stanley, Flat Again!; Stanley in Space; Stanley and the Magic Lamp – Beloved Tales About a Unique Friend for Children (Ages 6-10)</t>
  </si>
  <si>
    <t>4-x-4-early-elem-chapter-books_d (#16)</t>
  </si>
  <si>
    <t>How to Date a Superhero (And Not Die Trying)</t>
  </si>
  <si>
    <t>Cristina   Fernandez</t>
  </si>
  <si>
    <t>Fernandez, Cristina</t>
  </si>
  <si>
    <t>Katherine Tegan Books</t>
  </si>
  <si>
    <t>The Complete Adventures of Curious George</t>
  </si>
  <si>
    <t>5x5-picture-books_l (#3)</t>
  </si>
  <si>
    <t>The Ice Cream Machine: 6 Deliciously Different Stories with the Same Exact Name!</t>
  </si>
  <si>
    <t>Daniel Salmieri, Charles Santoso, Liniers, Emily Hughes, Nicole  Miles, Seaerra Miller</t>
  </si>
  <si>
    <t>high-school-chapter-books (#38)</t>
  </si>
  <si>
    <t>The Dark Prophecy (The Trials of Apollo, #2)</t>
  </si>
  <si>
    <t>white-bookshelf-h (#13)</t>
  </si>
  <si>
    <t>The 65-Story Treehouse: Time Travel Trouble! (The Treehouse Books Book 5)</t>
  </si>
  <si>
    <t>4-x-4-early-elem-chapter-books_k (#14)</t>
  </si>
  <si>
    <t>This Star Won't Go Out: The Life and Words of Esther Grace Earl</t>
  </si>
  <si>
    <t>Esther Earl</t>
  </si>
  <si>
    <t>Earl, Esther</t>
  </si>
  <si>
    <t>Lori Earl, Wayne Earl, John  Green</t>
  </si>
  <si>
    <t>high-school-chapter-books (#39)</t>
  </si>
  <si>
    <t>Auggie y yo</t>
  </si>
  <si>
    <t>Vintage Espanol</t>
  </si>
  <si>
    <t>white-bookshelf-g (#20)</t>
  </si>
  <si>
    <t>The Burning Maze (The Trials of Apollo, #3)</t>
  </si>
  <si>
    <t>5x5-picture-books-c (#6)</t>
  </si>
  <si>
    <t>Tristan Strong Punches a Hole in the Sky (Tristan Strong, #1)</t>
  </si>
  <si>
    <t>Kwame Mbalia</t>
  </si>
  <si>
    <t>Mbalia, Kwame</t>
  </si>
  <si>
    <t>5x5-picture-books-d (#19)</t>
  </si>
  <si>
    <t>City of Bones (The Mortal Instruments, #1)</t>
  </si>
  <si>
    <t>Cassandra Clare</t>
  </si>
  <si>
    <t>Clare, Cassandra</t>
  </si>
  <si>
    <t>high-school-chapter-books (#34)</t>
  </si>
  <si>
    <t>Keeper of the Lost Cities (Keeper of the Lost Cities, #1)</t>
  </si>
  <si>
    <t>Shannon Messenger</t>
  </si>
  <si>
    <t>Messenger, Shannon</t>
  </si>
  <si>
    <t>high-school-chapter-books (#25)</t>
  </si>
  <si>
    <t>Worlds Apart (Story Thieves #5)</t>
  </si>
  <si>
    <t>high-school-chapter-books (#22)</t>
  </si>
  <si>
    <t>The Son of Neptune (The Heroes of Olympus, #2)</t>
  </si>
  <si>
    <t>high-school-chapter-books (#35)</t>
  </si>
  <si>
    <t>The Invention of Hugo Cabret</t>
  </si>
  <si>
    <t>Brian Selznick</t>
  </si>
  <si>
    <t>Selznick, Brian</t>
  </si>
  <si>
    <t>5x5-middle-chapter-books_b (#7), 5x5 (#1)</t>
  </si>
  <si>
    <t>The Book Thief</t>
  </si>
  <si>
    <t>Markus Zusak</t>
  </si>
  <si>
    <t>Zusak, Markus</t>
  </si>
  <si>
    <t>5x5-picture-books-f (#5)</t>
  </si>
  <si>
    <t>The Memoirs</t>
  </si>
  <si>
    <t>Hector Berlioz</t>
  </si>
  <si>
    <t>Berlioz, Hector</t>
  </si>
  <si>
    <t>David Cairns</t>
  </si>
  <si>
    <t>Everyman's Library</t>
  </si>
  <si>
    <t>4x4-picture-books-f (#41)</t>
  </si>
  <si>
    <t>The Lord of the Rings (The Lord of the Rings, #1-3)</t>
  </si>
  <si>
    <t>Alan Lee</t>
  </si>
  <si>
    <t>high-school-chapter-books (#37)</t>
  </si>
  <si>
    <t>Upside-Down Magic Series Vol. 1-8. Upside-Down Magic, Sticks &amp; Stones, Showing Off, Dragon Overnight, Weather or Not, The Big Shrink, Hide and Seek and Night Owl</t>
  </si>
  <si>
    <t>STEMCOOL</t>
  </si>
  <si>
    <t>4-x-4-early-elem-chapter-books_e (#28)</t>
  </si>
  <si>
    <t>The Baby-sitters Club #1-7 Graphic Novel Box Set</t>
  </si>
  <si>
    <t>Gale Galligan, Ann M. Martin</t>
  </si>
  <si>
    <t>teacher-grants (#28)</t>
  </si>
  <si>
    <t>El Capitan Calzoncillos y La Furia de la Supermujer Macroelastica (Spanish Edition)</t>
  </si>
  <si>
    <t>4-x-4-early-elem-chapter-books_f (#8)</t>
  </si>
  <si>
    <t>Lisa Frank: Giant Coloring and Activity Book - Magical Reflections</t>
  </si>
  <si>
    <t>Modern Publishing</t>
  </si>
  <si>
    <t>closet_coloring-and-sticker-books (#14)</t>
  </si>
  <si>
    <t>Who Goes Out on Halloween?</t>
  </si>
  <si>
    <t>Sue Alexander</t>
  </si>
  <si>
    <t>Alexander, Sue</t>
  </si>
  <si>
    <t>closet-black-bin-holiday (#48)</t>
  </si>
  <si>
    <t>Journey (Journey Trilogy #1)</t>
  </si>
  <si>
    <t>Aaron Becker</t>
  </si>
  <si>
    <t>Becker, Aaron</t>
  </si>
  <si>
    <t>5x5-picture-books-a (#48)</t>
  </si>
  <si>
    <t>Eyes on Nature Bats</t>
  </si>
  <si>
    <t>Celia Bland</t>
  </si>
  <si>
    <t>Bland, Celia</t>
  </si>
  <si>
    <t>backpacks_animals (#7)</t>
  </si>
  <si>
    <t>Polar Bear and the Rainbow (Glitter Books)</t>
  </si>
  <si>
    <t>Moira Butterfield</t>
  </si>
  <si>
    <t>Butterfield, Moira</t>
  </si>
  <si>
    <t>4x4-picture-books-b (#10)</t>
  </si>
  <si>
    <t>AEIOU (Cuentos foneticos #1)</t>
  </si>
  <si>
    <t>foneticos (#2)</t>
  </si>
  <si>
    <t>Happy Cats</t>
  </si>
  <si>
    <t>leveled-readers_my-first-reading (#52)</t>
  </si>
  <si>
    <t>Ramona the Pest (Ramona Quimby)</t>
  </si>
  <si>
    <t>5x5-middle-chapter-books_d (#7), 5x5 (#62)</t>
  </si>
  <si>
    <t>Ramona the Brave</t>
  </si>
  <si>
    <t>Hamish Hamilton Ltd</t>
  </si>
  <si>
    <t>5x5-middle-chapter-books_d (#6), 5x5 (#61)</t>
  </si>
  <si>
    <t>Peter Clover</t>
  </si>
  <si>
    <t>Clover, Peter</t>
  </si>
  <si>
    <t>Robert   Dunn, Jacob Grimm, Wilhelm Grimm</t>
  </si>
  <si>
    <t>4x4-picture-books-f (#28)</t>
  </si>
  <si>
    <t>david-shannon</t>
  </si>
  <si>
    <t>david-shannon, david-shannon</t>
  </si>
  <si>
    <t>4x4-picture-books-d (#15)</t>
  </si>
  <si>
    <t>Pete the Cat: Pete at the Beach</t>
  </si>
  <si>
    <t>Teddy Walsh</t>
  </si>
  <si>
    <t>leveled-readers_my-first-reading (#13)</t>
  </si>
  <si>
    <t>Pete the Cat Underwater Adventure</t>
  </si>
  <si>
    <t>leveled-readers_my-first-reading (#48)</t>
  </si>
  <si>
    <t>Pete the Cats Train Trip</t>
  </si>
  <si>
    <t>Not Avail</t>
  </si>
  <si>
    <t>leveled-readers_my-first-reading (#21)</t>
  </si>
  <si>
    <t>Goodnight Little [child]</t>
  </si>
  <si>
    <t>Jennifer Dewing</t>
  </si>
  <si>
    <t>Dewing, Jennifer</t>
  </si>
  <si>
    <t>poetry (#3)</t>
  </si>
  <si>
    <t>Eva'S Big Sleepover (Owl Diaries #9)</t>
  </si>
  <si>
    <t>4-x-4-early-elem-chapter-books_j (#34)</t>
  </si>
  <si>
    <t>Water Babies</t>
  </si>
  <si>
    <t>leveled-readers-2 (#80)</t>
  </si>
  <si>
    <t>Captain Underpants: The First Epic Movie: Screenplay</t>
  </si>
  <si>
    <t>Antony Erik</t>
  </si>
  <si>
    <t>Erik, Antony</t>
  </si>
  <si>
    <t>4-x-4-early-elem-chapter-books_f (#11)</t>
  </si>
  <si>
    <t>I Wonder Why the Sea Is Salty : And Other Questions About the Oceans</t>
  </si>
  <si>
    <t>4x4-picture-books-c (#49)</t>
  </si>
  <si>
    <t>Sami suma (Cuentos foneticos #4)</t>
  </si>
  <si>
    <t>Erminda Garcia</t>
  </si>
  <si>
    <t>Garcia, Erminda</t>
  </si>
  <si>
    <t>foneticos (#5)</t>
  </si>
  <si>
    <t>Rosita y Conchita: A Rhyming Storybook in English and Spanish</t>
  </si>
  <si>
    <t>Eric Gonzalez</t>
  </si>
  <si>
    <t>Gonzalez, Eric</t>
  </si>
  <si>
    <t>Erich Haeger</t>
  </si>
  <si>
    <t>Muertoons</t>
  </si>
  <si>
    <t>1-x-4-spanish-picture-books_b (#1)</t>
  </si>
  <si>
    <t>Peppa Pig: Mummy Pig's Good Luck</t>
  </si>
  <si>
    <t>Lorraine Gregory</t>
  </si>
  <si>
    <t>Gregory, Lorraine</t>
  </si>
  <si>
    <t>phonics</t>
  </si>
  <si>
    <t>phonics (#1)</t>
  </si>
  <si>
    <t>Grandaddy and Janetta</t>
  </si>
  <si>
    <t>Helen V. Griffith</t>
  </si>
  <si>
    <t>Griffith, Helen V.</t>
  </si>
  <si>
    <t>Greenwillow</t>
  </si>
  <si>
    <t>montclair-high-school-sets (#5)</t>
  </si>
  <si>
    <t>Bedtime for Francis</t>
  </si>
  <si>
    <t>HarperColins Publishers</t>
  </si>
  <si>
    <t>5x5-picture-books-c (#63)</t>
  </si>
  <si>
    <t>Pinkalicious: Puptastic!</t>
  </si>
  <si>
    <t>leveled-readers_1 (#13), leveled-readers_1_sets (#7)</t>
  </si>
  <si>
    <t>Amelia Bedelia Goes Camping</t>
  </si>
  <si>
    <t>Melanie Komar</t>
  </si>
  <si>
    <t>Komar, Melanie</t>
  </si>
  <si>
    <t>S &amp; S Learning Materials</t>
  </si>
  <si>
    <t>leveled-readers-2 (#53)</t>
  </si>
  <si>
    <t>Runaway Ralph: children's books ages 8-10</t>
  </si>
  <si>
    <t>Valerie Lane</t>
  </si>
  <si>
    <t>Lane, Valerie</t>
  </si>
  <si>
    <t>closet_late-elem_chapter-books (#75)</t>
  </si>
  <si>
    <t>Promesas engañosas (Colección Fabulandia)</t>
  </si>
  <si>
    <t>Equipo Editorial LatinBooks</t>
  </si>
  <si>
    <t>LatinBooks, Equipo Editorial</t>
  </si>
  <si>
    <t>latinbooks</t>
  </si>
  <si>
    <t>4x4-picture-books-h (#7)</t>
  </si>
  <si>
    <t>Learn To Read With Planet Earth: Polar Bears</t>
  </si>
  <si>
    <t>5x5-picture-books-e (#74)</t>
  </si>
  <si>
    <t>Hill Of Fire  (I Can Read Level 3)</t>
  </si>
  <si>
    <t>Thomas P. Lewis</t>
  </si>
  <si>
    <t>Lewis, Thomas P.</t>
  </si>
  <si>
    <t>Joan Sandin</t>
  </si>
  <si>
    <t>4x4-picture-books-l (#41)</t>
  </si>
  <si>
    <t>The Orange Horse</t>
  </si>
  <si>
    <t>Hsu-Kung Liu</t>
  </si>
  <si>
    <t>Liu, Hsu-Kung</t>
  </si>
  <si>
    <t>SCHOLASTIC</t>
  </si>
  <si>
    <t>4x4-picture-books-d (#25)</t>
  </si>
  <si>
    <t>Barbie Dreamtopia The Best Birthday</t>
  </si>
  <si>
    <t>Man-Kong, Mary</t>
  </si>
  <si>
    <t>Mary, Man-Kong,</t>
  </si>
  <si>
    <t>leveled-readers-2 (#68)</t>
  </si>
  <si>
    <t>Roaring Rockets</t>
  </si>
  <si>
    <t>Larousse Kingfisher Chambers</t>
  </si>
  <si>
    <t>backpacks_space (#6)</t>
  </si>
  <si>
    <t>Nelson Mandela</t>
  </si>
  <si>
    <t>Nelson, Kadir</t>
  </si>
  <si>
    <t>Katherine Tegen Books</t>
  </si>
  <si>
    <t>4x4-picture-books-k (#4)</t>
  </si>
  <si>
    <t>Laila Tov, Moon</t>
  </si>
  <si>
    <t>Vivian Newman</t>
  </si>
  <si>
    <t>Newman, Vivian</t>
  </si>
  <si>
    <t>PJ Library</t>
  </si>
  <si>
    <t>4x4-picture-books-c (#12)</t>
  </si>
  <si>
    <t>Katherine Otoshi</t>
  </si>
  <si>
    <t>Otoshi, Katherine</t>
  </si>
  <si>
    <t>4x4-picture-books-j (#57)</t>
  </si>
  <si>
    <t>Who Would Win? Collection</t>
  </si>
  <si>
    <t>closet_3rd-4th-grade-chapter-books (#1)</t>
  </si>
  <si>
    <t>Who Would Win? Killer Whale vs. Great White Shark</t>
  </si>
  <si>
    <t>white-bookshelf-l, backpacks-sea-animals, 4-x-4-early-elem-chapter-books_a</t>
  </si>
  <si>
    <t>white-bookshelf-l (#42), backpacks-sea-animals (#6), 4-x-4-early-elem-chapter-books_a (#2)</t>
  </si>
  <si>
    <t>El otoño</t>
  </si>
  <si>
    <t>José María Parramón</t>
  </si>
  <si>
    <t>Parramón, José María</t>
  </si>
  <si>
    <t>Ulises Wensell, Carme Solé Vendrell</t>
  </si>
  <si>
    <t>to-read (#216), 1-x-4_spanish-picture-books_a (#69)</t>
  </si>
  <si>
    <t>Cinderella and the Fairy Dogfather</t>
  </si>
  <si>
    <t>Daphne Pendergrass</t>
  </si>
  <si>
    <t>Pendergrass, Daphne</t>
  </si>
  <si>
    <t>Rémy Simard</t>
  </si>
  <si>
    <t>5x5-picture-books_l (#19)</t>
  </si>
  <si>
    <t>El Lorito Pelon (Spanish Edition) by Hilda Perera (2008-09-01)</t>
  </si>
  <si>
    <t>Hilda Perera</t>
  </si>
  <si>
    <t>Perera, Hilda</t>
  </si>
  <si>
    <t>Lectorum Publications</t>
  </si>
  <si>
    <t>1-x-4-spanish-picture-books_b (#5)</t>
  </si>
  <si>
    <t>Destello el dinosaurio</t>
  </si>
  <si>
    <t>Marcus Pfister</t>
  </si>
  <si>
    <t>Pfister, Marcus</t>
  </si>
  <si>
    <t>José Moreno</t>
  </si>
  <si>
    <t>to-read (#200), 1-x-4_spanish-picture-books_a (#52)</t>
  </si>
  <si>
    <t>La pequena locomotora que si pudo (Little Engine That Could) (Spanish Edition)</t>
  </si>
  <si>
    <t>4x4-picture-books-l (#18)</t>
  </si>
  <si>
    <t>La paloma y la luna (Cuentos foneticos #6)</t>
  </si>
  <si>
    <t>Elise Pritchard</t>
  </si>
  <si>
    <t>Pritchard, Elise</t>
  </si>
  <si>
    <t>Jef Kaminsky</t>
  </si>
  <si>
    <t>foneticos (#6)</t>
  </si>
  <si>
    <t>Bendon Clifford the Big Red Dog Giant Sticker Activity Book</t>
  </si>
  <si>
    <t>Toy</t>
  </si>
  <si>
    <t>closet_coloring-and-sticker-books (#8)</t>
  </si>
  <si>
    <t>Duck: See How They Grow</t>
  </si>
  <si>
    <t>backpacks_animals (#11)</t>
  </si>
  <si>
    <t>Spider-Man: The Amazing Story</t>
  </si>
  <si>
    <t>leveled-readers_1_sets (#43)</t>
  </si>
  <si>
    <t>Ninja Red Riding Hood (Paperback and Read Along CD)</t>
  </si>
  <si>
    <t>Corey Rosen Schwartz</t>
  </si>
  <si>
    <t>Schwartz, Corey Rosen</t>
  </si>
  <si>
    <t>4x4-picture-books-f (#36)</t>
  </si>
  <si>
    <t>Horrid Henry's Underpants (Horrid Henry, #11)</t>
  </si>
  <si>
    <t>Orion Pub Co</t>
  </si>
  <si>
    <t>4-x4-early-elem-chapter-books_b (#25)</t>
  </si>
  <si>
    <t>La gatita del lago (Cuentos foneticos #13)</t>
  </si>
  <si>
    <t>foneticos (#8)</t>
  </si>
  <si>
    <t>Cesar Chavez (Scholastic First Biographies) (Let's Read About...)</t>
  </si>
  <si>
    <t>Jerry Tello</t>
  </si>
  <si>
    <t>Tello, Jerry</t>
  </si>
  <si>
    <t>historical-figures (#2)</t>
  </si>
  <si>
    <t>Shark Attack!</t>
  </si>
  <si>
    <t>Gail Tuchman</t>
  </si>
  <si>
    <t>Tuchman, Gail</t>
  </si>
  <si>
    <t>to-read (#160), 5x5-picture-books-e (#33)</t>
  </si>
  <si>
    <t>Ellray Jakes Rocks the Holidays!</t>
  </si>
  <si>
    <t>Sally Warner</t>
  </si>
  <si>
    <t>Warner, Sally</t>
  </si>
  <si>
    <t>Recorded Books, Inc.</t>
  </si>
  <si>
    <t>5x5-picture-books-c (#9)</t>
  </si>
  <si>
    <t>¡música Para Todo El Mundo!</t>
  </si>
  <si>
    <t>4x4-picture-books-g (#42)</t>
  </si>
  <si>
    <t>Un Sillon Para Mi Mama</t>
  </si>
  <si>
    <t>4x4-picture-books-g (#16)</t>
  </si>
  <si>
    <t>Sneezy the Snowman (CD &amp; Paperback)</t>
  </si>
  <si>
    <t>4x4-picture-books-e (#1)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</si>
</sst>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24" width="17.38"/>
    <col customWidth="1" min="25" max="25" width="33.5"/>
    <col customWidth="1" min="26" max="29" width="1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1">
        <v>1.47925506E8</v>
      </c>
      <c r="B2" s="1" t="s">
        <v>27</v>
      </c>
      <c r="C2" s="1" t="s">
        <v>28</v>
      </c>
      <c r="D2" s="1" t="s">
        <v>29</v>
      </c>
      <c r="F2" s="2" t="str">
        <f t="shared" ref="F2:G2" si="1">""</f>
        <v/>
      </c>
      <c r="G2" s="2" t="str">
        <f t="shared" si="1"/>
        <v/>
      </c>
      <c r="H2" s="1" t="s">
        <v>30</v>
      </c>
      <c r="I2" s="1" t="s">
        <v>31</v>
      </c>
      <c r="J2" s="1">
        <v>0.0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 t="s">
        <v>32</v>
      </c>
      <c r="Y2" s="1" t="s">
        <v>33</v>
      </c>
    </row>
    <row r="3">
      <c r="A3" s="1">
        <v>9.8104486E7</v>
      </c>
      <c r="B3" s="1" t="s">
        <v>34</v>
      </c>
      <c r="C3" s="1" t="s">
        <v>28</v>
      </c>
      <c r="D3" s="1" t="s">
        <v>29</v>
      </c>
      <c r="F3" s="2" t="str">
        <f>"9974772664"</f>
        <v>9974772664</v>
      </c>
      <c r="G3" s="2" t="str">
        <f>"9789974772663"</f>
        <v>9789974772663</v>
      </c>
      <c r="H3" s="1" t="s">
        <v>35</v>
      </c>
      <c r="I3" s="1" t="s">
        <v>36</v>
      </c>
      <c r="J3" s="1">
        <v>0.0</v>
      </c>
      <c r="K3" s="1">
        <v>2003.0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 t="s">
        <v>37</v>
      </c>
      <c r="Y3" s="1" t="s">
        <v>38</v>
      </c>
    </row>
    <row r="4">
      <c r="A4" s="1">
        <v>1.11664552E8</v>
      </c>
      <c r="B4" s="1" t="s">
        <v>39</v>
      </c>
      <c r="C4" s="1" t="s">
        <v>28</v>
      </c>
      <c r="D4" s="1" t="s">
        <v>29</v>
      </c>
      <c r="F4" s="2" t="str">
        <f>"997477263X"</f>
        <v>997477263X</v>
      </c>
      <c r="G4" s="2" t="str">
        <f>"9789974772632"</f>
        <v>9789974772632</v>
      </c>
      <c r="H4" s="1" t="s">
        <v>35</v>
      </c>
      <c r="I4" s="1" t="s">
        <v>36</v>
      </c>
      <c r="J4" s="1">
        <v>0.0</v>
      </c>
      <c r="K4" s="1">
        <v>2003.0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 t="s">
        <v>37</v>
      </c>
      <c r="Y4" s="1" t="s">
        <v>40</v>
      </c>
    </row>
    <row r="5">
      <c r="A5" s="1">
        <v>1.26752906E8</v>
      </c>
      <c r="B5" s="1" t="s">
        <v>41</v>
      </c>
      <c r="C5" s="1" t="s">
        <v>42</v>
      </c>
      <c r="D5" s="1" t="s">
        <v>43</v>
      </c>
      <c r="F5" s="2" t="str">
        <f t="shared" ref="F5:G5" si="2">""</f>
        <v/>
      </c>
      <c r="G5" s="2" t="str">
        <f t="shared" si="2"/>
        <v/>
      </c>
      <c r="H5" s="1" t="s">
        <v>44</v>
      </c>
      <c r="I5" s="1" t="s">
        <v>36</v>
      </c>
      <c r="J5" s="1">
        <v>0.0</v>
      </c>
      <c r="K5" s="1">
        <v>1991.0</v>
      </c>
      <c r="L5" s="1">
        <v>1980.0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 t="s">
        <v>45</v>
      </c>
      <c r="Y5" s="1" t="s">
        <v>46</v>
      </c>
    </row>
    <row r="6">
      <c r="A6" s="1">
        <v>2311105.0</v>
      </c>
      <c r="B6" s="1" t="s">
        <v>47</v>
      </c>
      <c r="C6" s="1" t="s">
        <v>48</v>
      </c>
      <c r="D6" s="1" t="s">
        <v>49</v>
      </c>
      <c r="F6" s="2" t="str">
        <f>"0590999427"</f>
        <v>0590999427</v>
      </c>
      <c r="G6" s="2" t="str">
        <f>"9780590999427"</f>
        <v>9780590999427</v>
      </c>
      <c r="H6" s="1" t="s">
        <v>50</v>
      </c>
      <c r="I6" s="1" t="s">
        <v>36</v>
      </c>
      <c r="J6" s="1">
        <v>0.0</v>
      </c>
      <c r="K6" s="1">
        <v>1997.0</v>
      </c>
      <c r="L6" s="1">
        <v>1997.0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 t="s">
        <v>51</v>
      </c>
      <c r="Y6" s="1" t="s">
        <v>52</v>
      </c>
    </row>
    <row r="7">
      <c r="A7" s="1">
        <v>2.5998626E7</v>
      </c>
      <c r="B7" s="1" t="s">
        <v>53</v>
      </c>
      <c r="C7" s="1" t="s">
        <v>48</v>
      </c>
      <c r="D7" s="1" t="s">
        <v>49</v>
      </c>
      <c r="E7" s="1" t="s">
        <v>54</v>
      </c>
      <c r="F7" s="2" t="str">
        <f>"0590631373"</f>
        <v>0590631373</v>
      </c>
      <c r="G7" s="2" t="str">
        <f>"9780590631372"</f>
        <v>9780590631372</v>
      </c>
      <c r="H7" s="1" t="s">
        <v>50</v>
      </c>
      <c r="I7" s="1" t="s">
        <v>36</v>
      </c>
      <c r="J7" s="1">
        <v>0.0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 t="s">
        <v>55</v>
      </c>
      <c r="Y7" s="1" t="s">
        <v>56</v>
      </c>
    </row>
    <row r="8">
      <c r="A8" s="1">
        <v>4.9985914E7</v>
      </c>
      <c r="B8" s="1" t="s">
        <v>57</v>
      </c>
      <c r="C8" s="1" t="s">
        <v>58</v>
      </c>
      <c r="D8" s="1" t="s">
        <v>59</v>
      </c>
      <c r="F8" s="2" t="str">
        <f>"9870432182"</f>
        <v>9870432182</v>
      </c>
      <c r="G8" s="2" t="str">
        <f>"9789870432180"</f>
        <v>9789870432180</v>
      </c>
      <c r="H8" s="1" t="s">
        <v>60</v>
      </c>
      <c r="I8" s="1" t="s">
        <v>36</v>
      </c>
      <c r="J8" s="1">
        <v>0.0</v>
      </c>
      <c r="K8" s="1">
        <v>2013.0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 t="s">
        <v>61</v>
      </c>
      <c r="Y8" s="1" t="s">
        <v>62</v>
      </c>
    </row>
    <row r="9">
      <c r="A9" s="1">
        <v>1.31226826E8</v>
      </c>
      <c r="B9" s="1" t="s">
        <v>63</v>
      </c>
      <c r="C9" s="1" t="s">
        <v>64</v>
      </c>
      <c r="D9" s="1" t="s">
        <v>65</v>
      </c>
      <c r="F9" s="2" t="str">
        <f t="shared" ref="F9:G9" si="3">""</f>
        <v/>
      </c>
      <c r="G9" s="2" t="str">
        <f t="shared" si="3"/>
        <v/>
      </c>
      <c r="H9" s="1" t="s">
        <v>66</v>
      </c>
      <c r="I9" s="1" t="s">
        <v>67</v>
      </c>
      <c r="J9" s="1">
        <v>0.0</v>
      </c>
      <c r="L9" s="1">
        <v>2001.0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 t="s">
        <v>68</v>
      </c>
      <c r="Y9" s="1" t="s">
        <v>69</v>
      </c>
    </row>
    <row r="10">
      <c r="A10" s="1">
        <v>2.12649518E8</v>
      </c>
      <c r="B10" s="1" t="s">
        <v>70</v>
      </c>
      <c r="C10" s="1" t="s">
        <v>71</v>
      </c>
      <c r="D10" s="1" t="s">
        <v>72</v>
      </c>
      <c r="F10" s="2" t="str">
        <f t="shared" ref="F10:G10" si="4">""</f>
        <v/>
      </c>
      <c r="G10" s="2" t="str">
        <f t="shared" si="4"/>
        <v/>
      </c>
      <c r="H10" s="1" t="s">
        <v>73</v>
      </c>
      <c r="I10" s="1" t="s">
        <v>31</v>
      </c>
      <c r="J10" s="1">
        <v>0.0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 t="s">
        <v>74</v>
      </c>
      <c r="Y10" s="1" t="s">
        <v>75</v>
      </c>
    </row>
    <row r="11">
      <c r="A11" s="1">
        <v>1.22811392E8</v>
      </c>
      <c r="B11" s="1" t="s">
        <v>76</v>
      </c>
      <c r="C11" s="1" t="s">
        <v>71</v>
      </c>
      <c r="D11" s="1" t="s">
        <v>72</v>
      </c>
      <c r="F11" s="2" t="str">
        <f t="shared" ref="F11:G11" si="5">""</f>
        <v/>
      </c>
      <c r="G11" s="2" t="str">
        <f t="shared" si="5"/>
        <v/>
      </c>
      <c r="H11" s="1" t="s">
        <v>77</v>
      </c>
      <c r="I11" s="1" t="s">
        <v>31</v>
      </c>
      <c r="J11" s="1">
        <v>0.0</v>
      </c>
    </row>
    <row r="12">
      <c r="A12" s="1">
        <v>1.95803117E8</v>
      </c>
      <c r="B12" s="1" t="s">
        <v>78</v>
      </c>
      <c r="C12" s="1" t="s">
        <v>71</v>
      </c>
      <c r="D12" s="1" t="s">
        <v>72</v>
      </c>
      <c r="F12" s="2" t="str">
        <f t="shared" ref="F12:G12" si="6">""</f>
        <v/>
      </c>
      <c r="G12" s="2" t="str">
        <f t="shared" si="6"/>
        <v/>
      </c>
      <c r="H12" s="1" t="s">
        <v>79</v>
      </c>
      <c r="I12" s="1" t="s">
        <v>31</v>
      </c>
      <c r="J12" s="1">
        <v>0.0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 t="s">
        <v>80</v>
      </c>
      <c r="Y12" s="1" t="s">
        <v>81</v>
      </c>
    </row>
    <row r="13">
      <c r="A13" s="1">
        <v>1.31505085E8</v>
      </c>
      <c r="B13" s="1" t="s">
        <v>82</v>
      </c>
      <c r="C13" s="1" t="s">
        <v>71</v>
      </c>
      <c r="D13" s="1" t="s">
        <v>72</v>
      </c>
      <c r="F13" s="2" t="str">
        <f t="shared" ref="F13:G13" si="7">""</f>
        <v/>
      </c>
      <c r="G13" s="2" t="str">
        <f t="shared" si="7"/>
        <v/>
      </c>
      <c r="H13" s="1" t="s">
        <v>50</v>
      </c>
      <c r="I13" s="1" t="s">
        <v>31</v>
      </c>
      <c r="J13" s="1">
        <v>0.0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 t="s">
        <v>83</v>
      </c>
      <c r="Y13" s="1" t="s">
        <v>84</v>
      </c>
    </row>
    <row r="14">
      <c r="A14" s="1">
        <v>1.33114507E8</v>
      </c>
      <c r="B14" s="1" t="s">
        <v>85</v>
      </c>
      <c r="C14" s="1" t="s">
        <v>71</v>
      </c>
      <c r="D14" s="1" t="s">
        <v>72</v>
      </c>
      <c r="F14" s="2" t="str">
        <f t="shared" ref="F14:G14" si="8">""</f>
        <v/>
      </c>
      <c r="G14" s="2" t="str">
        <f t="shared" si="8"/>
        <v/>
      </c>
      <c r="H14" s="1" t="s">
        <v>86</v>
      </c>
      <c r="I14" s="1" t="s">
        <v>31</v>
      </c>
      <c r="J14" s="1">
        <v>0.0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 t="s">
        <v>87</v>
      </c>
      <c r="Y14" s="1" t="s">
        <v>88</v>
      </c>
    </row>
    <row r="15">
      <c r="A15" s="1">
        <v>1.44125636E8</v>
      </c>
      <c r="B15" s="1" t="s">
        <v>89</v>
      </c>
      <c r="C15" s="1" t="s">
        <v>71</v>
      </c>
      <c r="D15" s="1" t="s">
        <v>72</v>
      </c>
      <c r="F15" s="2" t="str">
        <f t="shared" ref="F15:G15" si="9">""</f>
        <v/>
      </c>
      <c r="G15" s="2" t="str">
        <f t="shared" si="9"/>
        <v/>
      </c>
      <c r="H15" s="1" t="s">
        <v>90</v>
      </c>
      <c r="I15" s="1" t="s">
        <v>91</v>
      </c>
      <c r="J15" s="1">
        <v>0.0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 t="s">
        <v>92</v>
      </c>
      <c r="Y15" s="1" t="s">
        <v>93</v>
      </c>
    </row>
    <row r="16">
      <c r="A16" s="1">
        <v>1.36491409E8</v>
      </c>
      <c r="B16" s="1" t="s">
        <v>94</v>
      </c>
      <c r="C16" s="1" t="s">
        <v>71</v>
      </c>
      <c r="D16" s="1" t="s">
        <v>72</v>
      </c>
      <c r="F16" s="2" t="str">
        <f t="shared" ref="F16:G16" si="10">""</f>
        <v/>
      </c>
      <c r="G16" s="2" t="str">
        <f t="shared" si="10"/>
        <v/>
      </c>
      <c r="H16" s="1" t="s">
        <v>95</v>
      </c>
      <c r="I16" s="1" t="s">
        <v>36</v>
      </c>
      <c r="J16" s="1">
        <v>0.0</v>
      </c>
      <c r="K16" s="1">
        <v>2014.0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 t="s">
        <v>96</v>
      </c>
      <c r="Y16" s="1" t="s">
        <v>97</v>
      </c>
    </row>
    <row r="17">
      <c r="A17" s="1">
        <v>1.28650698E8</v>
      </c>
      <c r="B17" s="1" t="s">
        <v>98</v>
      </c>
      <c r="C17" s="1" t="s">
        <v>71</v>
      </c>
      <c r="D17" s="1" t="s">
        <v>72</v>
      </c>
      <c r="F17" s="2" t="str">
        <f t="shared" ref="F17:G17" si="11">""</f>
        <v/>
      </c>
      <c r="G17" s="2" t="str">
        <f t="shared" si="11"/>
        <v/>
      </c>
      <c r="H17" s="1" t="s">
        <v>99</v>
      </c>
      <c r="I17" s="1" t="s">
        <v>36</v>
      </c>
      <c r="J17" s="1">
        <v>0.0</v>
      </c>
      <c r="K17" s="1">
        <v>1730.0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 t="s">
        <v>37</v>
      </c>
      <c r="Y17" s="1" t="s">
        <v>100</v>
      </c>
    </row>
    <row r="18">
      <c r="A18" s="1">
        <v>9.2001607E7</v>
      </c>
      <c r="B18" s="1" t="s">
        <v>101</v>
      </c>
      <c r="C18" s="1" t="s">
        <v>71</v>
      </c>
      <c r="D18" s="1" t="s">
        <v>72</v>
      </c>
      <c r="F18" s="2" t="str">
        <f>"8881487152"</f>
        <v>8881487152</v>
      </c>
      <c r="G18" s="2" t="str">
        <f>"9788881487158"</f>
        <v>9788881487158</v>
      </c>
      <c r="H18" s="1" t="s">
        <v>102</v>
      </c>
      <c r="I18" s="1" t="s">
        <v>36</v>
      </c>
      <c r="J18" s="1">
        <v>0.0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 t="s">
        <v>61</v>
      </c>
      <c r="Y18" s="1" t="s">
        <v>103</v>
      </c>
    </row>
    <row r="19">
      <c r="A19" s="1">
        <v>1.3636146E8</v>
      </c>
      <c r="B19" s="1" t="s">
        <v>104</v>
      </c>
      <c r="C19" s="1" t="s">
        <v>71</v>
      </c>
      <c r="D19" s="1" t="s">
        <v>72</v>
      </c>
      <c r="F19" s="2" t="str">
        <f t="shared" ref="F19:G19" si="12">""</f>
        <v/>
      </c>
      <c r="G19" s="2" t="str">
        <f t="shared" si="12"/>
        <v/>
      </c>
      <c r="I19" s="1" t="s">
        <v>36</v>
      </c>
      <c r="J19" s="1">
        <v>0.0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 t="s">
        <v>83</v>
      </c>
      <c r="Y19" s="1" t="s">
        <v>105</v>
      </c>
    </row>
    <row r="20">
      <c r="A20" s="1">
        <v>1.74268411E8</v>
      </c>
      <c r="B20" s="1" t="s">
        <v>106</v>
      </c>
      <c r="C20" s="1" t="s">
        <v>71</v>
      </c>
      <c r="D20" s="1" t="s">
        <v>72</v>
      </c>
      <c r="F20" s="2" t="str">
        <f t="shared" ref="F20:G20" si="13">""</f>
        <v/>
      </c>
      <c r="G20" s="2" t="str">
        <f t="shared" si="13"/>
        <v/>
      </c>
      <c r="H20" s="1" t="s">
        <v>107</v>
      </c>
      <c r="I20" s="1" t="s">
        <v>108</v>
      </c>
      <c r="J20" s="1">
        <v>0.0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 t="s">
        <v>109</v>
      </c>
      <c r="Y20" s="1" t="s">
        <v>110</v>
      </c>
    </row>
    <row r="21">
      <c r="A21" s="1">
        <v>1.23787264E8</v>
      </c>
      <c r="B21" s="1" t="s">
        <v>111</v>
      </c>
      <c r="C21" s="1" t="s">
        <v>71</v>
      </c>
      <c r="D21" s="1" t="s">
        <v>72</v>
      </c>
      <c r="F21" s="2" t="str">
        <f t="shared" ref="F21:G21" si="14">""</f>
        <v/>
      </c>
      <c r="G21" s="2" t="str">
        <f t="shared" si="14"/>
        <v/>
      </c>
      <c r="H21" s="1" t="s">
        <v>112</v>
      </c>
      <c r="I21" s="1" t="s">
        <v>108</v>
      </c>
      <c r="J21" s="1">
        <v>0.0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 t="s">
        <v>113</v>
      </c>
      <c r="Y21" s="1" t="s">
        <v>114</v>
      </c>
    </row>
    <row r="22">
      <c r="A22" s="1">
        <v>1.35346178E8</v>
      </c>
      <c r="B22" s="1" t="s">
        <v>115</v>
      </c>
      <c r="C22" s="1" t="s">
        <v>71</v>
      </c>
      <c r="D22" s="1" t="s">
        <v>72</v>
      </c>
      <c r="F22" s="2" t="str">
        <f t="shared" ref="F22:G22" si="15">""</f>
        <v/>
      </c>
      <c r="G22" s="2" t="str">
        <f t="shared" si="15"/>
        <v/>
      </c>
      <c r="H22" s="1" t="s">
        <v>50</v>
      </c>
      <c r="I22" s="1" t="s">
        <v>108</v>
      </c>
      <c r="J22" s="1">
        <v>0.0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 t="s">
        <v>116</v>
      </c>
      <c r="Y22" s="1" t="s">
        <v>117</v>
      </c>
    </row>
    <row r="23">
      <c r="A23" s="1">
        <v>2.0638553E7</v>
      </c>
      <c r="B23" s="1" t="s">
        <v>118</v>
      </c>
      <c r="C23" s="1" t="s">
        <v>119</v>
      </c>
      <c r="D23" s="1" t="s">
        <v>120</v>
      </c>
      <c r="E23" s="1" t="s">
        <v>121</v>
      </c>
      <c r="F23" s="2" t="str">
        <f>"0439410290"</f>
        <v>0439410290</v>
      </c>
      <c r="G23" s="2" t="str">
        <f>"9780439410298"</f>
        <v>9780439410298</v>
      </c>
      <c r="H23" s="1" t="s">
        <v>50</v>
      </c>
      <c r="I23" s="1" t="s">
        <v>36</v>
      </c>
      <c r="J23" s="1">
        <v>0.0</v>
      </c>
      <c r="K23" s="1">
        <v>2002.0</v>
      </c>
      <c r="L23" s="1">
        <v>1998.0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 t="s">
        <v>61</v>
      </c>
      <c r="Y23" s="1" t="s">
        <v>122</v>
      </c>
    </row>
    <row r="24">
      <c r="A24" s="1">
        <v>1.1609372E8</v>
      </c>
      <c r="B24" s="1" t="s">
        <v>123</v>
      </c>
      <c r="C24" s="1" t="s">
        <v>124</v>
      </c>
      <c r="D24" s="1" t="s">
        <v>125</v>
      </c>
      <c r="F24" s="2" t="str">
        <f>"0590470914"</f>
        <v>0590470914</v>
      </c>
      <c r="G24" s="2" t="str">
        <f>"9780590470919"</f>
        <v>9780590470919</v>
      </c>
      <c r="H24" s="1" t="s">
        <v>50</v>
      </c>
      <c r="I24" s="1" t="s">
        <v>108</v>
      </c>
      <c r="J24" s="1">
        <v>0.0</v>
      </c>
      <c r="L24" s="1">
        <v>1984.0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 t="s">
        <v>61</v>
      </c>
      <c r="Y24" s="1" t="s">
        <v>126</v>
      </c>
    </row>
    <row r="25">
      <c r="A25" s="1">
        <v>1.34533899E8</v>
      </c>
      <c r="B25" s="1" t="s">
        <v>127</v>
      </c>
      <c r="C25" s="1" t="s">
        <v>128</v>
      </c>
      <c r="D25" s="1" t="s">
        <v>129</v>
      </c>
      <c r="F25" s="2" t="str">
        <f t="shared" ref="F25:G25" si="16">""</f>
        <v/>
      </c>
      <c r="G25" s="2" t="str">
        <f t="shared" si="16"/>
        <v/>
      </c>
      <c r="H25" s="1" t="s">
        <v>130</v>
      </c>
      <c r="I25" s="1" t="s">
        <v>36</v>
      </c>
      <c r="J25" s="1">
        <v>0.0</v>
      </c>
      <c r="L25" s="1">
        <v>1985.0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 t="s">
        <v>131</v>
      </c>
      <c r="Y25" s="1" t="s">
        <v>132</v>
      </c>
    </row>
    <row r="26">
      <c r="A26" s="1">
        <v>4.2280473E7</v>
      </c>
      <c r="B26" s="1" t="s">
        <v>133</v>
      </c>
      <c r="C26" s="1" t="s">
        <v>134</v>
      </c>
      <c r="D26" s="1" t="s">
        <v>135</v>
      </c>
      <c r="F26" s="2" t="str">
        <f>"0545741335"</f>
        <v>0545741335</v>
      </c>
      <c r="G26" s="2" t="str">
        <f>"9780545741330"</f>
        <v>9780545741330</v>
      </c>
      <c r="H26" s="1" t="s">
        <v>50</v>
      </c>
      <c r="I26" s="1" t="s">
        <v>36</v>
      </c>
      <c r="J26" s="1">
        <v>0.0</v>
      </c>
      <c r="K26" s="1">
        <v>2014.0</v>
      </c>
      <c r="L26" s="1">
        <v>1996.0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 t="s">
        <v>116</v>
      </c>
      <c r="Y26" s="1" t="s">
        <v>136</v>
      </c>
    </row>
    <row r="27">
      <c r="A27" s="1">
        <v>7.8897209E7</v>
      </c>
      <c r="B27" s="1" t="s">
        <v>137</v>
      </c>
      <c r="C27" s="1" t="s">
        <v>138</v>
      </c>
      <c r="D27" s="1" t="s">
        <v>139</v>
      </c>
      <c r="F27" s="2" t="str">
        <f>"1338193406"</f>
        <v>1338193406</v>
      </c>
      <c r="G27" s="2" t="str">
        <f>"9781338193404"</f>
        <v>9781338193404</v>
      </c>
      <c r="H27" s="1" t="s">
        <v>140</v>
      </c>
      <c r="I27" s="1" t="s">
        <v>36</v>
      </c>
      <c r="J27" s="1">
        <v>0.0</v>
      </c>
      <c r="K27" s="1">
        <v>2017.0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 t="s">
        <v>61</v>
      </c>
      <c r="Y27" s="1" t="s">
        <v>141</v>
      </c>
    </row>
    <row r="28">
      <c r="A28" s="1">
        <v>1.51239772E8</v>
      </c>
      <c r="B28" s="1" t="s">
        <v>142</v>
      </c>
      <c r="C28" s="1" t="s">
        <v>143</v>
      </c>
      <c r="D28" s="1" t="s">
        <v>144</v>
      </c>
      <c r="F28" s="2" t="str">
        <f t="shared" ref="F28:G28" si="17">""</f>
        <v/>
      </c>
      <c r="G28" s="2" t="str">
        <f t="shared" si="17"/>
        <v/>
      </c>
      <c r="H28" s="1" t="s">
        <v>145</v>
      </c>
      <c r="I28" s="1" t="s">
        <v>108</v>
      </c>
      <c r="J28" s="1">
        <v>0.0</v>
      </c>
      <c r="L28" s="1">
        <v>1986.0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 t="s">
        <v>146</v>
      </c>
      <c r="Y28" s="1" t="s">
        <v>147</v>
      </c>
    </row>
    <row r="29">
      <c r="A29" s="1">
        <v>2773864.0</v>
      </c>
      <c r="B29" s="1" t="s">
        <v>148</v>
      </c>
      <c r="C29" s="1" t="s">
        <v>149</v>
      </c>
      <c r="D29" s="1" t="s">
        <v>150</v>
      </c>
      <c r="E29" s="1" t="s">
        <v>151</v>
      </c>
      <c r="F29" s="2" t="str">
        <f>"0439773695"</f>
        <v>0439773695</v>
      </c>
      <c r="G29" s="2" t="str">
        <f>"9780439773690"</f>
        <v>9780439773690</v>
      </c>
      <c r="H29" s="1" t="s">
        <v>50</v>
      </c>
      <c r="I29" s="1" t="s">
        <v>36</v>
      </c>
      <c r="J29" s="1">
        <v>0.0</v>
      </c>
      <c r="K29" s="1">
        <v>2005.0</v>
      </c>
      <c r="L29" s="1">
        <v>2005.0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 t="s">
        <v>96</v>
      </c>
      <c r="Y29" s="1" t="s">
        <v>152</v>
      </c>
    </row>
    <row r="30">
      <c r="A30" s="1">
        <v>1.62023252E8</v>
      </c>
      <c r="B30" s="1" t="s">
        <v>153</v>
      </c>
      <c r="C30" s="1" t="s">
        <v>154</v>
      </c>
      <c r="D30" s="1" t="s">
        <v>155</v>
      </c>
      <c r="F30" s="2" t="str">
        <f t="shared" ref="F30:G30" si="18">""</f>
        <v/>
      </c>
      <c r="G30" s="2" t="str">
        <f t="shared" si="18"/>
        <v/>
      </c>
      <c r="H30" s="1" t="s">
        <v>156</v>
      </c>
      <c r="I30" s="1" t="s">
        <v>108</v>
      </c>
      <c r="J30" s="1">
        <v>0.0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 t="s">
        <v>83</v>
      </c>
      <c r="Y30" s="1" t="s">
        <v>157</v>
      </c>
    </row>
    <row r="31">
      <c r="A31" s="1">
        <v>5.9650195E7</v>
      </c>
      <c r="B31" s="1" t="s">
        <v>158</v>
      </c>
      <c r="C31" s="1" t="s">
        <v>159</v>
      </c>
      <c r="D31" s="1" t="s">
        <v>160</v>
      </c>
      <c r="F31" s="2" t="str">
        <f>"9124153877"</f>
        <v>9124153877</v>
      </c>
      <c r="G31" s="2" t="str">
        <f>"9789124153878"</f>
        <v>9789124153878</v>
      </c>
      <c r="I31" s="1" t="s">
        <v>36</v>
      </c>
      <c r="J31" s="1">
        <v>0.0</v>
      </c>
      <c r="K31" s="1">
        <v>2021.0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 t="s">
        <v>161</v>
      </c>
      <c r="Y31" s="1" t="s">
        <v>162</v>
      </c>
    </row>
    <row r="32">
      <c r="A32" s="1">
        <v>1.00319455E8</v>
      </c>
      <c r="B32" s="1" t="s">
        <v>163</v>
      </c>
      <c r="C32" s="1" t="s">
        <v>164</v>
      </c>
      <c r="D32" s="1" t="s">
        <v>165</v>
      </c>
      <c r="F32" s="2" t="str">
        <f>"8496500543"</f>
        <v>8496500543</v>
      </c>
      <c r="G32" s="2" t="str">
        <f>"9788496500549"</f>
        <v>9788496500549</v>
      </c>
      <c r="H32" s="1" t="s">
        <v>166</v>
      </c>
      <c r="I32" s="1" t="s">
        <v>36</v>
      </c>
      <c r="J32" s="1">
        <v>0.0</v>
      </c>
      <c r="K32" s="1">
        <v>2006.0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 t="s">
        <v>167</v>
      </c>
      <c r="Y32" s="1" t="s">
        <v>168</v>
      </c>
    </row>
    <row r="33">
      <c r="A33" s="1">
        <v>3.44598E7</v>
      </c>
      <c r="B33" s="1" t="s">
        <v>169</v>
      </c>
      <c r="C33" s="1" t="s">
        <v>170</v>
      </c>
      <c r="D33" s="1" t="s">
        <v>171</v>
      </c>
      <c r="E33" s="1" t="s">
        <v>172</v>
      </c>
      <c r="F33" s="2" t="str">
        <f>"054564898X"</f>
        <v>054564898X</v>
      </c>
      <c r="G33" s="2" t="str">
        <f>"9780545648981"</f>
        <v>9780545648981</v>
      </c>
      <c r="H33" s="1" t="s">
        <v>173</v>
      </c>
      <c r="I33" s="1" t="s">
        <v>36</v>
      </c>
      <c r="J33" s="1">
        <v>0.0</v>
      </c>
      <c r="K33" s="1">
        <v>2014.0</v>
      </c>
      <c r="L33" s="1">
        <v>2012.0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 t="s">
        <v>61</v>
      </c>
      <c r="Y33" s="1" t="s">
        <v>174</v>
      </c>
    </row>
    <row r="34">
      <c r="A34" s="1">
        <v>4.3733875E7</v>
      </c>
      <c r="B34" s="1" t="s">
        <v>175</v>
      </c>
      <c r="C34" s="1" t="s">
        <v>176</v>
      </c>
      <c r="D34" s="1" t="s">
        <v>177</v>
      </c>
      <c r="E34" s="1" t="s">
        <v>178</v>
      </c>
      <c r="F34" s="2" t="str">
        <f>"1338350153"</f>
        <v>1338350153</v>
      </c>
      <c r="G34" s="2" t="str">
        <f>"9781338350159"</f>
        <v>9781338350159</v>
      </c>
      <c r="H34" s="1" t="s">
        <v>179</v>
      </c>
      <c r="I34" s="1" t="s">
        <v>36</v>
      </c>
      <c r="J34" s="1">
        <v>0.0</v>
      </c>
      <c r="K34" s="1">
        <v>2018.0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 t="s">
        <v>180</v>
      </c>
      <c r="Y34" s="1" t="s">
        <v>181</v>
      </c>
    </row>
    <row r="35">
      <c r="A35" s="1">
        <v>1.34011242E8</v>
      </c>
      <c r="B35" s="1" t="s">
        <v>182</v>
      </c>
      <c r="C35" s="1" t="s">
        <v>183</v>
      </c>
      <c r="D35" s="1" t="s">
        <v>184</v>
      </c>
      <c r="F35" s="2" t="str">
        <f t="shared" ref="F35:G35" si="19">""</f>
        <v/>
      </c>
      <c r="G35" s="2" t="str">
        <f t="shared" si="19"/>
        <v/>
      </c>
      <c r="H35" s="1" t="s">
        <v>185</v>
      </c>
      <c r="I35" s="1" t="s">
        <v>31</v>
      </c>
      <c r="J35" s="1">
        <v>0.0</v>
      </c>
      <c r="L35" s="1">
        <v>2007.0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 t="s">
        <v>68</v>
      </c>
      <c r="Y35" s="1" t="s">
        <v>186</v>
      </c>
    </row>
    <row r="36">
      <c r="A36" s="1">
        <v>2247010.0</v>
      </c>
      <c r="B36" s="1" t="s">
        <v>187</v>
      </c>
      <c r="C36" s="1" t="s">
        <v>188</v>
      </c>
      <c r="D36" s="1" t="s">
        <v>189</v>
      </c>
      <c r="E36" s="1" t="s">
        <v>190</v>
      </c>
      <c r="F36" s="2" t="str">
        <f>"1880507641"</f>
        <v>1880507641</v>
      </c>
      <c r="G36" s="2" t="str">
        <f>"9781880507643"</f>
        <v>9781880507643</v>
      </c>
      <c r="H36" s="1" t="s">
        <v>191</v>
      </c>
      <c r="I36" s="1" t="s">
        <v>36</v>
      </c>
      <c r="J36" s="1">
        <v>0.0</v>
      </c>
      <c r="K36" s="1">
        <v>2000.0</v>
      </c>
      <c r="L36" s="1">
        <v>1994.0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 t="s">
        <v>109</v>
      </c>
      <c r="Y36" s="1" t="s">
        <v>192</v>
      </c>
    </row>
    <row r="37">
      <c r="A37" s="1">
        <v>1.49329646E8</v>
      </c>
      <c r="B37" s="1" t="s">
        <v>193</v>
      </c>
      <c r="C37" s="1" t="s">
        <v>194</v>
      </c>
      <c r="D37" s="1" t="s">
        <v>195</v>
      </c>
      <c r="F37" s="2" t="str">
        <f t="shared" ref="F37:G37" si="20">""</f>
        <v/>
      </c>
      <c r="G37" s="2" t="str">
        <f t="shared" si="20"/>
        <v/>
      </c>
      <c r="H37" s="1" t="s">
        <v>196</v>
      </c>
      <c r="I37" s="1" t="s">
        <v>31</v>
      </c>
      <c r="J37" s="1">
        <v>0.0</v>
      </c>
      <c r="K37" s="1">
        <v>2004.0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 t="s">
        <v>109</v>
      </c>
      <c r="Y37" s="1" t="s">
        <v>197</v>
      </c>
    </row>
    <row r="38">
      <c r="A38" s="1">
        <v>2.5998469E7</v>
      </c>
      <c r="B38" s="1" t="s">
        <v>198</v>
      </c>
      <c r="C38" s="1" t="s">
        <v>199</v>
      </c>
      <c r="D38" s="1" t="s">
        <v>200</v>
      </c>
      <c r="E38" s="1" t="s">
        <v>201</v>
      </c>
      <c r="F38" s="2" t="str">
        <f>"0590629115"</f>
        <v>0590629115</v>
      </c>
      <c r="G38" s="2" t="str">
        <f>"9780590629119"</f>
        <v>9780590629119</v>
      </c>
      <c r="H38" s="1" t="s">
        <v>50</v>
      </c>
      <c r="I38" s="1" t="s">
        <v>36</v>
      </c>
      <c r="J38" s="1">
        <v>0.0</v>
      </c>
      <c r="K38" s="1">
        <v>1998.0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 t="s">
        <v>55</v>
      </c>
      <c r="Y38" s="1" t="s">
        <v>202</v>
      </c>
    </row>
    <row r="39">
      <c r="A39" s="1">
        <v>1.3115307E7</v>
      </c>
      <c r="B39" s="1" t="s">
        <v>203</v>
      </c>
      <c r="C39" s="1" t="s">
        <v>204</v>
      </c>
      <c r="D39" s="1" t="s">
        <v>205</v>
      </c>
      <c r="E39" s="1" t="s">
        <v>206</v>
      </c>
      <c r="F39" s="2" t="str">
        <f>"0545020883"</f>
        <v>0545020883</v>
      </c>
      <c r="G39" s="2" t="str">
        <f>"9780545020886"</f>
        <v>9780545020886</v>
      </c>
      <c r="H39" s="1" t="s">
        <v>50</v>
      </c>
      <c r="I39" s="1" t="s">
        <v>36</v>
      </c>
      <c r="J39" s="1">
        <v>0.0</v>
      </c>
      <c r="K39" s="1">
        <v>2007.0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 t="s">
        <v>51</v>
      </c>
      <c r="Y39" s="1" t="s">
        <v>207</v>
      </c>
    </row>
    <row r="40">
      <c r="A40" s="1">
        <v>6239972.0</v>
      </c>
      <c r="B40" s="1" t="s">
        <v>208</v>
      </c>
      <c r="C40" s="1" t="s">
        <v>209</v>
      </c>
      <c r="D40" s="1" t="s">
        <v>210</v>
      </c>
      <c r="E40" s="1" t="s">
        <v>211</v>
      </c>
      <c r="F40" s="2" t="str">
        <f>"0545060591"</f>
        <v>0545060591</v>
      </c>
      <c r="G40" s="2" t="str">
        <f>"9780545060592"</f>
        <v>9780545060592</v>
      </c>
      <c r="H40" s="1" t="s">
        <v>50</v>
      </c>
      <c r="I40" s="1" t="s">
        <v>36</v>
      </c>
      <c r="J40" s="1">
        <v>0.0</v>
      </c>
      <c r="K40" s="1">
        <v>2009.0</v>
      </c>
      <c r="L40" s="1">
        <v>2009.0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 t="s">
        <v>212</v>
      </c>
      <c r="Y40" s="1" t="s">
        <v>213</v>
      </c>
    </row>
    <row r="41">
      <c r="A41" s="1">
        <v>3.2908987E7</v>
      </c>
      <c r="B41" s="1" t="s">
        <v>214</v>
      </c>
      <c r="C41" s="1" t="s">
        <v>215</v>
      </c>
      <c r="D41" s="1" t="s">
        <v>216</v>
      </c>
      <c r="F41" s="2" t="str">
        <f>"061836000X"</f>
        <v>061836000X</v>
      </c>
      <c r="G41" s="2" t="str">
        <f>"9780618360000"</f>
        <v>9780618360000</v>
      </c>
      <c r="H41" s="1" t="s">
        <v>217</v>
      </c>
      <c r="I41" s="1" t="s">
        <v>31</v>
      </c>
      <c r="J41" s="1">
        <v>0.0</v>
      </c>
      <c r="K41" s="1">
        <v>2003.0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 t="s">
        <v>51</v>
      </c>
      <c r="Y41" s="1" t="s">
        <v>218</v>
      </c>
    </row>
    <row r="42">
      <c r="A42" s="1">
        <v>725768.0</v>
      </c>
      <c r="B42" s="1" t="s">
        <v>219</v>
      </c>
      <c r="C42" s="1" t="s">
        <v>220</v>
      </c>
      <c r="D42" s="1" t="s">
        <v>221</v>
      </c>
      <c r="F42" s="2" t="str">
        <f>"0385301960"</f>
        <v>0385301960</v>
      </c>
      <c r="G42" s="2" t="str">
        <f>"9780385301961"</f>
        <v>9780385301961</v>
      </c>
      <c r="H42" s="1" t="s">
        <v>222</v>
      </c>
      <c r="I42" s="1" t="s">
        <v>31</v>
      </c>
      <c r="J42" s="1">
        <v>0.0</v>
      </c>
      <c r="K42" s="1">
        <v>1990.0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 t="s">
        <v>51</v>
      </c>
      <c r="Y42" s="1" t="s">
        <v>223</v>
      </c>
    </row>
    <row r="43">
      <c r="A43" s="1">
        <v>5.319568E7</v>
      </c>
      <c r="B43" s="1" t="s">
        <v>224</v>
      </c>
      <c r="C43" s="1" t="s">
        <v>225</v>
      </c>
      <c r="D43" s="1" t="s">
        <v>226</v>
      </c>
      <c r="F43" s="2" t="str">
        <f>"912436942X"</f>
        <v>912436942X</v>
      </c>
      <c r="G43" s="2" t="str">
        <f>"9789124369422"</f>
        <v>9789124369422</v>
      </c>
      <c r="H43" s="1" t="s">
        <v>227</v>
      </c>
      <c r="I43" s="1" t="s">
        <v>36</v>
      </c>
      <c r="J43" s="1">
        <v>0.0</v>
      </c>
      <c r="K43" s="1">
        <v>2019.0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 t="s">
        <v>228</v>
      </c>
      <c r="Y43" s="1" t="s">
        <v>229</v>
      </c>
    </row>
    <row r="44">
      <c r="A44" s="1">
        <v>3.5144361E7</v>
      </c>
      <c r="B44" s="1" t="s">
        <v>230</v>
      </c>
      <c r="C44" s="1" t="s">
        <v>231</v>
      </c>
      <c r="D44" s="1" t="s">
        <v>232</v>
      </c>
      <c r="F44" s="2" t="str">
        <f>"1681512777"</f>
        <v>1681512777</v>
      </c>
      <c r="G44" s="2" t="str">
        <f>"9781681512778"</f>
        <v>9781681512778</v>
      </c>
      <c r="H44" s="1" t="s">
        <v>233</v>
      </c>
      <c r="I44" s="1" t="s">
        <v>91</v>
      </c>
      <c r="J44" s="1">
        <v>0.0</v>
      </c>
      <c r="K44" s="1">
        <v>2017.0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 t="s">
        <v>92</v>
      </c>
      <c r="Y44" s="1" t="s">
        <v>234</v>
      </c>
    </row>
    <row r="45">
      <c r="A45" s="1">
        <v>4.1953816E7</v>
      </c>
      <c r="B45" s="1" t="s">
        <v>235</v>
      </c>
      <c r="C45" s="1" t="s">
        <v>236</v>
      </c>
      <c r="D45" s="1" t="s">
        <v>237</v>
      </c>
      <c r="F45" s="2" t="str">
        <f t="shared" ref="F45:G45" si="21">""</f>
        <v/>
      </c>
      <c r="G45" s="2" t="str">
        <f t="shared" si="21"/>
        <v/>
      </c>
      <c r="I45" s="1" t="s">
        <v>238</v>
      </c>
      <c r="J45" s="1">
        <v>0.0</v>
      </c>
      <c r="K45" s="1">
        <v>2018.0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 t="s">
        <v>239</v>
      </c>
      <c r="Y45" s="1" t="s">
        <v>240</v>
      </c>
    </row>
    <row r="46">
      <c r="A46" s="1">
        <v>1.49223571E8</v>
      </c>
      <c r="B46" s="1" t="s">
        <v>241</v>
      </c>
      <c r="C46" s="1" t="s">
        <v>242</v>
      </c>
      <c r="D46" s="1" t="s">
        <v>243</v>
      </c>
      <c r="F46" s="2" t="str">
        <f t="shared" ref="F46:G46" si="22">""</f>
        <v/>
      </c>
      <c r="G46" s="2" t="str">
        <f t="shared" si="22"/>
        <v/>
      </c>
      <c r="H46" s="1" t="s">
        <v>244</v>
      </c>
      <c r="I46" s="1" t="s">
        <v>91</v>
      </c>
      <c r="J46" s="1">
        <v>0.0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 t="s">
        <v>245</v>
      </c>
      <c r="Y46" s="1" t="s">
        <v>246</v>
      </c>
    </row>
    <row r="47">
      <c r="A47" s="1">
        <v>2.00906047E8</v>
      </c>
      <c r="B47" s="1" t="s">
        <v>247</v>
      </c>
      <c r="C47" s="1" t="s">
        <v>248</v>
      </c>
      <c r="D47" s="1" t="s">
        <v>249</v>
      </c>
      <c r="F47" s="2" t="str">
        <f>"9389823609"</f>
        <v>9389823609</v>
      </c>
      <c r="G47" s="2" t="str">
        <f>"9789389823608"</f>
        <v>9789389823608</v>
      </c>
      <c r="I47" s="1" t="s">
        <v>36</v>
      </c>
      <c r="J47" s="1">
        <v>0.0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 t="s">
        <v>250</v>
      </c>
      <c r="Y47" s="1" t="s">
        <v>251</v>
      </c>
    </row>
    <row r="48">
      <c r="A48" s="1">
        <v>1.22935616E8</v>
      </c>
      <c r="B48" s="1" t="s">
        <v>252</v>
      </c>
      <c r="C48" s="1" t="s">
        <v>248</v>
      </c>
      <c r="D48" s="1" t="s">
        <v>249</v>
      </c>
      <c r="F48" s="2" t="str">
        <f t="shared" ref="F48:G48" si="23">""</f>
        <v/>
      </c>
      <c r="G48" s="2" t="str">
        <f t="shared" si="23"/>
        <v/>
      </c>
      <c r="H48" s="1" t="s">
        <v>253</v>
      </c>
      <c r="I48" s="1" t="s">
        <v>108</v>
      </c>
      <c r="J48" s="1">
        <v>0.0</v>
      </c>
      <c r="K48" s="1">
        <v>2016.0</v>
      </c>
      <c r="L48" s="1">
        <v>2016.0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 t="s">
        <v>250</v>
      </c>
      <c r="Y48" s="1" t="s">
        <v>254</v>
      </c>
    </row>
    <row r="49">
      <c r="A49" s="1">
        <v>4.0800677E7</v>
      </c>
      <c r="B49" s="1" t="s">
        <v>255</v>
      </c>
      <c r="C49" s="1" t="s">
        <v>256</v>
      </c>
      <c r="D49" s="1" t="s">
        <v>257</v>
      </c>
      <c r="F49" s="2" t="str">
        <f>"0439725275"</f>
        <v>0439725275</v>
      </c>
      <c r="G49" s="2" t="str">
        <f>"9780439725279"</f>
        <v>9780439725279</v>
      </c>
      <c r="H49" s="1" t="s">
        <v>258</v>
      </c>
      <c r="I49" s="1" t="s">
        <v>108</v>
      </c>
      <c r="J49" s="1">
        <v>0.0</v>
      </c>
      <c r="K49" s="1">
        <v>2004.0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 t="s">
        <v>83</v>
      </c>
      <c r="Y49" s="1" t="s">
        <v>259</v>
      </c>
    </row>
    <row r="50">
      <c r="A50" s="1">
        <v>3.1439474E7</v>
      </c>
      <c r="B50" s="1" t="s">
        <v>260</v>
      </c>
      <c r="C50" s="1" t="s">
        <v>261</v>
      </c>
      <c r="D50" s="1" t="s">
        <v>262</v>
      </c>
      <c r="F50" s="2" t="str">
        <f>"0673800954"</f>
        <v>0673800954</v>
      </c>
      <c r="G50" s="2" t="str">
        <f>"9780673800954"</f>
        <v>9780673800954</v>
      </c>
      <c r="H50" s="1" t="s">
        <v>263</v>
      </c>
      <c r="I50" s="1" t="s">
        <v>36</v>
      </c>
      <c r="J50" s="1">
        <v>0.0</v>
      </c>
      <c r="K50" s="1">
        <v>1998.0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 t="s">
        <v>264</v>
      </c>
      <c r="Y50" s="1" t="s">
        <v>265</v>
      </c>
    </row>
    <row r="51">
      <c r="A51" s="1">
        <v>5.5164035E7</v>
      </c>
      <c r="B51" s="1" t="s">
        <v>266</v>
      </c>
      <c r="C51" s="1" t="s">
        <v>267</v>
      </c>
      <c r="D51" s="1" t="s">
        <v>268</v>
      </c>
      <c r="F51" s="2" t="str">
        <f>"0545418682"</f>
        <v>0545418682</v>
      </c>
      <c r="G51" s="2" t="str">
        <f>"9780545418683"</f>
        <v>9780545418683</v>
      </c>
      <c r="H51" s="1" t="s">
        <v>269</v>
      </c>
      <c r="I51" s="1" t="s">
        <v>36</v>
      </c>
      <c r="J51" s="1">
        <v>0.0</v>
      </c>
      <c r="K51" s="1">
        <v>2009.0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 t="s">
        <v>83</v>
      </c>
      <c r="Y51" s="1" t="s">
        <v>270</v>
      </c>
    </row>
    <row r="52">
      <c r="A52" s="1">
        <v>1.5280055E7</v>
      </c>
      <c r="B52" s="1" t="s">
        <v>271</v>
      </c>
      <c r="C52" s="1" t="s">
        <v>272</v>
      </c>
      <c r="D52" s="1" t="s">
        <v>273</v>
      </c>
      <c r="F52" s="2" t="str">
        <f>"0606133631"</f>
        <v>0606133631</v>
      </c>
      <c r="G52" s="2" t="str">
        <f>"9780606133630"</f>
        <v>9780606133630</v>
      </c>
      <c r="H52" s="1" t="s">
        <v>274</v>
      </c>
      <c r="I52" s="1" t="s">
        <v>36</v>
      </c>
      <c r="J52" s="1">
        <v>0.0</v>
      </c>
      <c r="K52" s="1">
        <v>1998.0</v>
      </c>
      <c r="L52" s="1">
        <v>1991.0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 t="s">
        <v>245</v>
      </c>
      <c r="Y52" s="1" t="s">
        <v>275</v>
      </c>
    </row>
    <row r="53">
      <c r="A53" s="1">
        <v>9.5424675E7</v>
      </c>
      <c r="B53" s="1" t="s">
        <v>276</v>
      </c>
      <c r="C53" s="1" t="s">
        <v>277</v>
      </c>
      <c r="D53" s="1" t="s">
        <v>278</v>
      </c>
      <c r="F53" s="2" t="str">
        <f>"2764332874"</f>
        <v>2764332874</v>
      </c>
      <c r="G53" s="2" t="str">
        <f>"9782764332870"</f>
        <v>9782764332870</v>
      </c>
      <c r="H53" s="1" t="s">
        <v>279</v>
      </c>
      <c r="I53" s="1" t="s">
        <v>108</v>
      </c>
      <c r="J53" s="1">
        <v>0.0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 t="s">
        <v>83</v>
      </c>
      <c r="Y53" s="1" t="s">
        <v>280</v>
      </c>
    </row>
    <row r="54">
      <c r="A54" s="1">
        <v>1.41747365E8</v>
      </c>
      <c r="B54" s="1" t="s">
        <v>281</v>
      </c>
      <c r="C54" s="1" t="s">
        <v>282</v>
      </c>
      <c r="D54" s="1" t="s">
        <v>283</v>
      </c>
      <c r="F54" s="2" t="str">
        <f t="shared" ref="F54:G54" si="24">""</f>
        <v/>
      </c>
      <c r="G54" s="2" t="str">
        <f t="shared" si="24"/>
        <v/>
      </c>
      <c r="H54" s="1" t="s">
        <v>284</v>
      </c>
      <c r="I54" s="1" t="s">
        <v>36</v>
      </c>
      <c r="J54" s="1">
        <v>0.0</v>
      </c>
      <c r="K54" s="1">
        <v>2021.0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 t="s">
        <v>285</v>
      </c>
      <c r="Y54" s="1" t="s">
        <v>286</v>
      </c>
    </row>
    <row r="55">
      <c r="A55" s="1">
        <v>1.40010347E8</v>
      </c>
      <c r="B55" s="1" t="s">
        <v>287</v>
      </c>
      <c r="C55" s="1" t="s">
        <v>288</v>
      </c>
      <c r="D55" s="1" t="s">
        <v>289</v>
      </c>
      <c r="F55" s="2" t="str">
        <f t="shared" ref="F55:G55" si="25">""</f>
        <v/>
      </c>
      <c r="G55" s="2" t="str">
        <f t="shared" si="25"/>
        <v/>
      </c>
      <c r="H55" s="1" t="s">
        <v>290</v>
      </c>
      <c r="I55" s="1" t="s">
        <v>108</v>
      </c>
      <c r="J55" s="1">
        <v>0.0</v>
      </c>
      <c r="L55" s="1">
        <v>2013.0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 t="s">
        <v>291</v>
      </c>
      <c r="Y55" s="1" t="s">
        <v>292</v>
      </c>
    </row>
    <row r="56">
      <c r="A56" s="1">
        <v>4.2733736E7</v>
      </c>
      <c r="B56" s="1" t="s">
        <v>293</v>
      </c>
      <c r="C56" s="1" t="s">
        <v>294</v>
      </c>
      <c r="D56" s="1" t="s">
        <v>295</v>
      </c>
      <c r="F56" s="2" t="str">
        <f>"1338355155"</f>
        <v>1338355155</v>
      </c>
      <c r="G56" s="2" t="str">
        <f>"9781338355154"</f>
        <v>9781338355154</v>
      </c>
      <c r="H56" s="1" t="s">
        <v>296</v>
      </c>
      <c r="I56" s="1" t="s">
        <v>36</v>
      </c>
      <c r="J56" s="1">
        <v>0.0</v>
      </c>
      <c r="K56" s="1">
        <v>2018.0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 t="s">
        <v>297</v>
      </c>
      <c r="Y56" s="1" t="s">
        <v>298</v>
      </c>
    </row>
    <row r="57">
      <c r="A57" s="1">
        <v>1.70506859E8</v>
      </c>
      <c r="B57" s="1" t="s">
        <v>299</v>
      </c>
      <c r="C57" s="1" t="s">
        <v>300</v>
      </c>
      <c r="D57" s="1" t="s">
        <v>301</v>
      </c>
      <c r="F57" s="2" t="str">
        <f t="shared" ref="F57:G57" si="26">""</f>
        <v/>
      </c>
      <c r="G57" s="2" t="str">
        <f t="shared" si="26"/>
        <v/>
      </c>
      <c r="H57" s="1" t="s">
        <v>50</v>
      </c>
      <c r="I57" s="1" t="s">
        <v>36</v>
      </c>
      <c r="J57" s="1">
        <v>0.0</v>
      </c>
      <c r="K57" s="1">
        <v>2016.0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 t="s">
        <v>302</v>
      </c>
      <c r="Y57" s="1" t="s">
        <v>303</v>
      </c>
    </row>
    <row r="58">
      <c r="A58" s="1">
        <v>3213338.0</v>
      </c>
      <c r="B58" s="1" t="s">
        <v>304</v>
      </c>
      <c r="C58" s="1" t="s">
        <v>300</v>
      </c>
      <c r="D58" s="1" t="s">
        <v>301</v>
      </c>
      <c r="F58" s="2" t="str">
        <f>"0606332316"</f>
        <v>0606332316</v>
      </c>
      <c r="G58" s="2" t="str">
        <f>"9780606332316"</f>
        <v>9780606332316</v>
      </c>
      <c r="H58" s="1" t="s">
        <v>274</v>
      </c>
      <c r="I58" s="1" t="s">
        <v>36</v>
      </c>
      <c r="J58" s="1">
        <v>0.0</v>
      </c>
      <c r="K58" s="1">
        <v>2005.0</v>
      </c>
      <c r="L58" s="1">
        <v>2005.0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 t="s">
        <v>305</v>
      </c>
      <c r="Y58" s="1" t="s">
        <v>306</v>
      </c>
    </row>
    <row r="59">
      <c r="A59" s="1">
        <v>1.68307671E8</v>
      </c>
      <c r="B59" s="1" t="s">
        <v>307</v>
      </c>
      <c r="C59" s="1" t="s">
        <v>308</v>
      </c>
      <c r="D59" s="1" t="s">
        <v>309</v>
      </c>
      <c r="F59" s="2" t="str">
        <f t="shared" ref="F59:G59" si="27">""</f>
        <v/>
      </c>
      <c r="G59" s="2" t="str">
        <f t="shared" si="27"/>
        <v/>
      </c>
      <c r="H59" s="1" t="s">
        <v>310</v>
      </c>
      <c r="I59" s="1" t="s">
        <v>311</v>
      </c>
      <c r="J59" s="1">
        <v>0.0</v>
      </c>
      <c r="L59" s="1">
        <v>2012.0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 t="s">
        <v>245</v>
      </c>
      <c r="Y59" s="1" t="s">
        <v>312</v>
      </c>
    </row>
    <row r="60">
      <c r="A60" s="1">
        <v>1.44093949E8</v>
      </c>
      <c r="B60" s="1" t="s">
        <v>313</v>
      </c>
      <c r="C60" s="1" t="s">
        <v>314</v>
      </c>
      <c r="D60" s="1" t="s">
        <v>315</v>
      </c>
      <c r="F60" s="2" t="str">
        <f t="shared" ref="F60:G60" si="28">""</f>
        <v/>
      </c>
      <c r="G60" s="2" t="str">
        <f t="shared" si="28"/>
        <v/>
      </c>
      <c r="H60" s="1" t="s">
        <v>316</v>
      </c>
      <c r="I60" s="1" t="s">
        <v>36</v>
      </c>
      <c r="J60" s="1">
        <v>0.0</v>
      </c>
      <c r="K60" s="1">
        <v>2012.0</v>
      </c>
      <c r="L60" s="1">
        <v>2011.0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 t="s">
        <v>317</v>
      </c>
      <c r="Y60" s="1" t="s">
        <v>318</v>
      </c>
    </row>
    <row r="61">
      <c r="A61" s="1">
        <v>7.5909756E7</v>
      </c>
      <c r="B61" s="1" t="s">
        <v>319</v>
      </c>
      <c r="C61" s="1" t="s">
        <v>320</v>
      </c>
      <c r="D61" s="1" t="s">
        <v>321</v>
      </c>
      <c r="F61" s="2" t="str">
        <f>"054516544X"</f>
        <v>054516544X</v>
      </c>
      <c r="G61" s="2" t="str">
        <f>"9780545165440"</f>
        <v>9780545165440</v>
      </c>
      <c r="H61" s="1" t="s">
        <v>322</v>
      </c>
      <c r="I61" s="1" t="s">
        <v>36</v>
      </c>
      <c r="J61" s="1">
        <v>0.0</v>
      </c>
      <c r="K61" s="1">
        <v>2009.0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 t="s">
        <v>323</v>
      </c>
      <c r="Y61" s="1" t="s">
        <v>324</v>
      </c>
    </row>
    <row r="62">
      <c r="A62" s="1">
        <v>1.8599884E7</v>
      </c>
      <c r="B62" s="1" t="s">
        <v>325</v>
      </c>
      <c r="C62" s="1" t="s">
        <v>326</v>
      </c>
      <c r="D62" s="1" t="s">
        <v>327</v>
      </c>
      <c r="F62" s="2" t="str">
        <f>"0062324292"</f>
        <v>0062324292</v>
      </c>
      <c r="G62" s="2" t="str">
        <f>"9780062324290"</f>
        <v>9780062324290</v>
      </c>
      <c r="H62" s="1" t="s">
        <v>290</v>
      </c>
      <c r="I62" s="1" t="s">
        <v>328</v>
      </c>
      <c r="J62" s="1">
        <v>0.0</v>
      </c>
      <c r="K62" s="1">
        <v>2014.0</v>
      </c>
      <c r="L62" s="1">
        <v>2014.0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 t="s">
        <v>329</v>
      </c>
      <c r="Y62" s="1" t="s">
        <v>330</v>
      </c>
    </row>
    <row r="63">
      <c r="A63" s="1">
        <v>5.147386E7</v>
      </c>
      <c r="B63" s="1" t="s">
        <v>331</v>
      </c>
      <c r="C63" s="1" t="s">
        <v>332</v>
      </c>
      <c r="D63" s="1" t="s">
        <v>333</v>
      </c>
      <c r="F63" s="2" t="str">
        <f>"0241396646"</f>
        <v>0241396646</v>
      </c>
      <c r="G63" s="2" t="str">
        <f>"9780241396643"</f>
        <v>9780241396643</v>
      </c>
      <c r="H63" s="1" t="s">
        <v>334</v>
      </c>
      <c r="I63" s="1" t="s">
        <v>36</v>
      </c>
      <c r="J63" s="1">
        <v>0.0</v>
      </c>
      <c r="K63" s="1">
        <v>2020.0</v>
      </c>
      <c r="L63" s="1">
        <v>2020.0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 t="s">
        <v>335</v>
      </c>
      <c r="Y63" s="1" t="s">
        <v>336</v>
      </c>
    </row>
    <row r="64">
      <c r="A64" s="1">
        <v>1.39623285E8</v>
      </c>
      <c r="B64" s="1" t="s">
        <v>337</v>
      </c>
      <c r="C64" s="1" t="s">
        <v>338</v>
      </c>
      <c r="D64" s="1" t="s">
        <v>339</v>
      </c>
      <c r="F64" s="2" t="str">
        <f t="shared" ref="F64:G64" si="29">""</f>
        <v/>
      </c>
      <c r="G64" s="2" t="str">
        <f t="shared" si="29"/>
        <v/>
      </c>
      <c r="H64" s="1" t="s">
        <v>340</v>
      </c>
      <c r="I64" s="1" t="s">
        <v>36</v>
      </c>
      <c r="J64" s="1">
        <v>0.0</v>
      </c>
      <c r="K64" s="1">
        <v>2020.0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 t="s">
        <v>116</v>
      </c>
      <c r="Y64" s="1" t="s">
        <v>341</v>
      </c>
    </row>
    <row r="65">
      <c r="A65" s="1">
        <v>1.19867511E8</v>
      </c>
      <c r="B65" s="1" t="s">
        <v>342</v>
      </c>
      <c r="C65" s="1" t="s">
        <v>343</v>
      </c>
      <c r="D65" s="1" t="s">
        <v>344</v>
      </c>
      <c r="F65" s="2" t="str">
        <f>"4052020669"</f>
        <v>4052020669</v>
      </c>
      <c r="G65" s="2" t="str">
        <f>"9784052020667"</f>
        <v>9784052020667</v>
      </c>
      <c r="H65" s="1" t="s">
        <v>345</v>
      </c>
      <c r="I65" s="1" t="s">
        <v>346</v>
      </c>
      <c r="J65" s="1">
        <v>0.0</v>
      </c>
      <c r="K65" s="1">
        <v>2004.0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 t="s">
        <v>317</v>
      </c>
      <c r="Y65" s="1" t="s">
        <v>347</v>
      </c>
    </row>
    <row r="66">
      <c r="A66" s="1">
        <v>1.26200622E8</v>
      </c>
      <c r="B66" s="1" t="s">
        <v>348</v>
      </c>
      <c r="C66" s="1" t="s">
        <v>349</v>
      </c>
      <c r="D66" s="1" t="s">
        <v>350</v>
      </c>
      <c r="F66" s="2" t="str">
        <f t="shared" ref="F66:G66" si="30">""</f>
        <v/>
      </c>
      <c r="G66" s="2" t="str">
        <f t="shared" si="30"/>
        <v/>
      </c>
      <c r="H66" s="1" t="s">
        <v>351</v>
      </c>
      <c r="I66" s="1" t="s">
        <v>91</v>
      </c>
      <c r="J66" s="1">
        <v>0.0</v>
      </c>
      <c r="L66" s="1">
        <v>2001.0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 t="s">
        <v>45</v>
      </c>
      <c r="Y66" s="1" t="s">
        <v>352</v>
      </c>
    </row>
    <row r="67">
      <c r="A67" s="1">
        <v>5.7198967E7</v>
      </c>
      <c r="B67" s="1" t="s">
        <v>353</v>
      </c>
      <c r="C67" s="1" t="s">
        <v>354</v>
      </c>
      <c r="D67" s="1" t="s">
        <v>355</v>
      </c>
      <c r="F67" s="2" t="str">
        <f>"0545147948"</f>
        <v>0545147948</v>
      </c>
      <c r="G67" s="2" t="str">
        <f>"9780545147941"</f>
        <v>9780545147941</v>
      </c>
      <c r="H67" s="1" t="s">
        <v>50</v>
      </c>
      <c r="I67" s="1" t="s">
        <v>36</v>
      </c>
      <c r="J67" s="1">
        <v>0.0</v>
      </c>
      <c r="K67" s="1">
        <v>1996.0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 t="s">
        <v>96</v>
      </c>
      <c r="Y67" s="1" t="s">
        <v>356</v>
      </c>
    </row>
    <row r="68">
      <c r="A68" s="1">
        <v>1.07651185E8</v>
      </c>
      <c r="B68" s="1" t="s">
        <v>357</v>
      </c>
      <c r="C68" s="1" t="s">
        <v>354</v>
      </c>
      <c r="D68" s="1" t="s">
        <v>355</v>
      </c>
      <c r="F68" s="2" t="str">
        <f>"0545148189"</f>
        <v>0545148189</v>
      </c>
      <c r="G68" s="2" t="str">
        <f>"9780545148184"</f>
        <v>9780545148184</v>
      </c>
      <c r="H68" s="1" t="s">
        <v>50</v>
      </c>
      <c r="I68" s="1" t="s">
        <v>108</v>
      </c>
      <c r="J68" s="1">
        <v>0.0</v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 t="s">
        <v>96</v>
      </c>
      <c r="Y68" s="1" t="s">
        <v>358</v>
      </c>
    </row>
    <row r="69">
      <c r="A69" s="1">
        <v>1.67463129E8</v>
      </c>
      <c r="B69" s="1" t="s">
        <v>359</v>
      </c>
      <c r="C69" s="1" t="s">
        <v>360</v>
      </c>
      <c r="D69" s="1" t="s">
        <v>361</v>
      </c>
      <c r="F69" s="2" t="str">
        <f t="shared" ref="F69:G69" si="31">""</f>
        <v/>
      </c>
      <c r="G69" s="2" t="str">
        <f t="shared" si="31"/>
        <v/>
      </c>
      <c r="H69" s="1" t="s">
        <v>362</v>
      </c>
      <c r="I69" s="1" t="s">
        <v>36</v>
      </c>
      <c r="J69" s="1">
        <v>0.0</v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 t="s">
        <v>363</v>
      </c>
      <c r="Y69" s="1" t="s">
        <v>364</v>
      </c>
    </row>
    <row r="70">
      <c r="A70" s="1">
        <v>1.39448758E8</v>
      </c>
      <c r="B70" s="1" t="s">
        <v>365</v>
      </c>
      <c r="C70" s="1" t="s">
        <v>366</v>
      </c>
      <c r="D70" s="1" t="s">
        <v>367</v>
      </c>
      <c r="E70" s="1" t="s">
        <v>368</v>
      </c>
      <c r="F70" s="2" t="str">
        <f t="shared" ref="F70:G70" si="32">""</f>
        <v/>
      </c>
      <c r="G70" s="2" t="str">
        <f t="shared" si="32"/>
        <v/>
      </c>
      <c r="H70" s="1" t="s">
        <v>369</v>
      </c>
      <c r="I70" s="1" t="s">
        <v>36</v>
      </c>
      <c r="J70" s="1">
        <v>0.0</v>
      </c>
      <c r="K70" s="1">
        <v>2008.0</v>
      </c>
      <c r="L70" s="1">
        <v>2008.0</v>
      </c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 t="s">
        <v>370</v>
      </c>
      <c r="Y70" s="1" t="s">
        <v>371</v>
      </c>
    </row>
    <row r="71">
      <c r="A71" s="1">
        <v>1.41370996E8</v>
      </c>
      <c r="B71" s="1" t="s">
        <v>372</v>
      </c>
      <c r="C71" s="1" t="s">
        <v>373</v>
      </c>
      <c r="D71" s="1" t="s">
        <v>374</v>
      </c>
      <c r="F71" s="2" t="str">
        <f t="shared" ref="F71:G71" si="33">""</f>
        <v/>
      </c>
      <c r="G71" s="2" t="str">
        <f t="shared" si="33"/>
        <v/>
      </c>
      <c r="H71" s="1" t="s">
        <v>156</v>
      </c>
      <c r="I71" s="1" t="s">
        <v>36</v>
      </c>
      <c r="J71" s="1">
        <v>0.0</v>
      </c>
      <c r="K71" s="1">
        <v>2014.0</v>
      </c>
      <c r="L71" s="1">
        <v>1967.0</v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 t="s">
        <v>375</v>
      </c>
      <c r="Y71" s="1" t="s">
        <v>376</v>
      </c>
    </row>
    <row r="72">
      <c r="A72" s="1">
        <v>7.8435242E7</v>
      </c>
      <c r="B72" s="1" t="s">
        <v>377</v>
      </c>
      <c r="C72" s="1" t="s">
        <v>378</v>
      </c>
      <c r="D72" s="1" t="s">
        <v>379</v>
      </c>
      <c r="F72" s="2" t="str">
        <f>"1223146804"</f>
        <v>1223146804</v>
      </c>
      <c r="G72" s="2" t="str">
        <f>"9781223146805"</f>
        <v>9781223146805</v>
      </c>
      <c r="H72" s="1" t="s">
        <v>378</v>
      </c>
      <c r="I72" s="1" t="s">
        <v>36</v>
      </c>
      <c r="J72" s="1">
        <v>0.0</v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 t="s">
        <v>380</v>
      </c>
      <c r="Y72" s="1" t="s">
        <v>381</v>
      </c>
    </row>
    <row r="73">
      <c r="A73" s="1">
        <v>1.38748765E8</v>
      </c>
      <c r="B73" s="1" t="s">
        <v>382</v>
      </c>
      <c r="C73" s="1" t="s">
        <v>383</v>
      </c>
      <c r="D73" s="1" t="s">
        <v>384</v>
      </c>
      <c r="F73" s="2" t="str">
        <f t="shared" ref="F73:G73" si="34">""</f>
        <v/>
      </c>
      <c r="G73" s="2" t="str">
        <f t="shared" si="34"/>
        <v/>
      </c>
      <c r="H73" s="1" t="s">
        <v>351</v>
      </c>
      <c r="I73" s="1" t="s">
        <v>91</v>
      </c>
      <c r="J73" s="1">
        <v>0.0</v>
      </c>
      <c r="L73" s="1">
        <v>1972.0</v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 t="s">
        <v>83</v>
      </c>
      <c r="Y73" s="1" t="s">
        <v>385</v>
      </c>
    </row>
    <row r="74">
      <c r="A74" s="1">
        <v>1.30628445E8</v>
      </c>
      <c r="B74" s="1" t="s">
        <v>386</v>
      </c>
      <c r="C74" s="1" t="s">
        <v>387</v>
      </c>
      <c r="D74" s="1" t="s">
        <v>388</v>
      </c>
      <c r="F74" s="2" t="str">
        <f t="shared" ref="F74:G74" si="35">""</f>
        <v/>
      </c>
      <c r="G74" s="2" t="str">
        <f t="shared" si="35"/>
        <v/>
      </c>
      <c r="H74" s="1" t="s">
        <v>389</v>
      </c>
      <c r="I74" s="1" t="s">
        <v>36</v>
      </c>
      <c r="J74" s="1">
        <v>0.0</v>
      </c>
      <c r="L74" s="1">
        <v>2000.0</v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 t="s">
        <v>323</v>
      </c>
      <c r="Y74" s="1" t="s">
        <v>390</v>
      </c>
    </row>
    <row r="75">
      <c r="A75" s="1">
        <v>1.63893903E8</v>
      </c>
      <c r="B75" s="1" t="s">
        <v>391</v>
      </c>
      <c r="C75" s="1" t="s">
        <v>392</v>
      </c>
      <c r="D75" s="1" t="s">
        <v>393</v>
      </c>
      <c r="F75" s="2" t="str">
        <f t="shared" ref="F75:G75" si="36">""</f>
        <v/>
      </c>
      <c r="G75" s="2" t="str">
        <f t="shared" si="36"/>
        <v/>
      </c>
      <c r="H75" s="1" t="s">
        <v>394</v>
      </c>
      <c r="I75" s="1" t="s">
        <v>36</v>
      </c>
      <c r="J75" s="1">
        <v>0.0</v>
      </c>
      <c r="K75" s="1">
        <v>2003.0</v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 t="s">
        <v>109</v>
      </c>
      <c r="Y75" s="1" t="s">
        <v>395</v>
      </c>
    </row>
    <row r="76">
      <c r="A76" s="1">
        <v>1.30854688E8</v>
      </c>
      <c r="B76" s="1" t="s">
        <v>396</v>
      </c>
      <c r="C76" s="1" t="s">
        <v>397</v>
      </c>
      <c r="D76" s="1" t="s">
        <v>398</v>
      </c>
      <c r="F76" s="2" t="str">
        <f t="shared" ref="F76:G76" si="37">""</f>
        <v/>
      </c>
      <c r="G76" s="2" t="str">
        <f t="shared" si="37"/>
        <v/>
      </c>
      <c r="H76" s="1" t="s">
        <v>399</v>
      </c>
      <c r="I76" s="1" t="s">
        <v>400</v>
      </c>
      <c r="J76" s="1">
        <v>0.0</v>
      </c>
      <c r="L76" s="1">
        <v>2003.0</v>
      </c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 t="s">
        <v>45</v>
      </c>
      <c r="Y76" s="1" t="s">
        <v>401</v>
      </c>
    </row>
    <row r="77">
      <c r="A77" s="1">
        <v>1.61329718E8</v>
      </c>
      <c r="B77" s="1" t="s">
        <v>402</v>
      </c>
      <c r="C77" s="1" t="s">
        <v>403</v>
      </c>
      <c r="D77" s="1" t="s">
        <v>404</v>
      </c>
      <c r="F77" s="2" t="str">
        <f t="shared" ref="F77:G77" si="38">""</f>
        <v/>
      </c>
      <c r="G77" s="2" t="str">
        <f t="shared" si="38"/>
        <v/>
      </c>
      <c r="I77" s="1" t="s">
        <v>36</v>
      </c>
      <c r="J77" s="1">
        <v>0.0</v>
      </c>
      <c r="K77" s="1">
        <v>2003.0</v>
      </c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 t="s">
        <v>405</v>
      </c>
      <c r="Y77" s="1" t="s">
        <v>406</v>
      </c>
    </row>
    <row r="78">
      <c r="A78" s="1">
        <v>1.0771333E7</v>
      </c>
      <c r="B78" s="1" t="s">
        <v>407</v>
      </c>
      <c r="C78" s="1" t="s">
        <v>408</v>
      </c>
      <c r="D78" s="1" t="s">
        <v>409</v>
      </c>
      <c r="E78" s="1" t="s">
        <v>410</v>
      </c>
      <c r="F78" s="2" t="str">
        <f>"1572551097"</f>
        <v>1572551097</v>
      </c>
      <c r="G78" s="2" t="str">
        <f>"9781572551091"</f>
        <v>9781572551091</v>
      </c>
      <c r="H78" s="1" t="s">
        <v>411</v>
      </c>
      <c r="I78" s="1" t="s">
        <v>36</v>
      </c>
      <c r="J78" s="1">
        <v>0.0</v>
      </c>
      <c r="K78" s="1">
        <v>1996.0</v>
      </c>
      <c r="L78" s="1">
        <v>1996.0</v>
      </c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 t="s">
        <v>412</v>
      </c>
      <c r="Y78" s="1" t="s">
        <v>413</v>
      </c>
    </row>
    <row r="79">
      <c r="A79" s="1">
        <v>1.38007865E8</v>
      </c>
      <c r="B79" s="1" t="s">
        <v>414</v>
      </c>
      <c r="C79" s="1" t="s">
        <v>415</v>
      </c>
      <c r="D79" s="1" t="s">
        <v>416</v>
      </c>
      <c r="F79" s="2" t="str">
        <f t="shared" ref="F79:G79" si="39">""</f>
        <v/>
      </c>
      <c r="G79" s="2" t="str">
        <f t="shared" si="39"/>
        <v/>
      </c>
      <c r="H79" s="1" t="s">
        <v>417</v>
      </c>
      <c r="I79" s="1" t="s">
        <v>36</v>
      </c>
      <c r="J79" s="1">
        <v>0.0</v>
      </c>
      <c r="L79" s="1">
        <v>1992.0</v>
      </c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 t="s">
        <v>83</v>
      </c>
      <c r="Y79" s="1" t="s">
        <v>418</v>
      </c>
    </row>
    <row r="80">
      <c r="A80" s="1">
        <v>3.2888573E7</v>
      </c>
      <c r="B80" s="1" t="s">
        <v>419</v>
      </c>
      <c r="C80" s="1" t="s">
        <v>217</v>
      </c>
      <c r="D80" s="1" t="s">
        <v>420</v>
      </c>
      <c r="F80" s="2" t="str">
        <f>"0618359419"</f>
        <v>0618359419</v>
      </c>
      <c r="G80" s="2" t="str">
        <f>"9780618359417"</f>
        <v>9780618359417</v>
      </c>
      <c r="H80" s="1" t="s">
        <v>217</v>
      </c>
      <c r="I80" s="1" t="s">
        <v>31</v>
      </c>
      <c r="J80" s="1">
        <v>0.0</v>
      </c>
      <c r="K80" s="1">
        <v>2003.0</v>
      </c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 t="s">
        <v>51</v>
      </c>
      <c r="Y80" s="1" t="s">
        <v>421</v>
      </c>
    </row>
    <row r="81">
      <c r="A81" s="1">
        <v>1.33426861E8</v>
      </c>
      <c r="B81" s="1" t="s">
        <v>422</v>
      </c>
      <c r="C81" s="1" t="s">
        <v>423</v>
      </c>
      <c r="D81" s="1" t="s">
        <v>424</v>
      </c>
      <c r="F81" s="2" t="str">
        <f t="shared" ref="F81:G81" si="40">""</f>
        <v/>
      </c>
      <c r="G81" s="2" t="str">
        <f t="shared" si="40"/>
        <v/>
      </c>
      <c r="H81" s="1" t="s">
        <v>425</v>
      </c>
      <c r="I81" s="1" t="s">
        <v>108</v>
      </c>
      <c r="J81" s="1">
        <v>0.0</v>
      </c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 t="s">
        <v>291</v>
      </c>
      <c r="Y81" s="1" t="s">
        <v>426</v>
      </c>
    </row>
    <row r="82">
      <c r="A82" s="1">
        <v>1.39188205E8</v>
      </c>
      <c r="B82" s="1" t="s">
        <v>427</v>
      </c>
      <c r="C82" s="1" t="s">
        <v>428</v>
      </c>
      <c r="D82" s="1" t="s">
        <v>429</v>
      </c>
      <c r="F82" s="2" t="str">
        <f t="shared" ref="F82:G82" si="41">""</f>
        <v/>
      </c>
      <c r="G82" s="2" t="str">
        <f t="shared" si="41"/>
        <v/>
      </c>
      <c r="H82" s="1" t="s">
        <v>430</v>
      </c>
      <c r="I82" s="1" t="s">
        <v>108</v>
      </c>
      <c r="J82" s="1">
        <v>0.0</v>
      </c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 t="s">
        <v>74</v>
      </c>
      <c r="Y82" s="1" t="s">
        <v>431</v>
      </c>
    </row>
    <row r="83">
      <c r="A83" s="1">
        <v>5.9830219E7</v>
      </c>
      <c r="B83" s="1" t="s">
        <v>432</v>
      </c>
      <c r="C83" s="1" t="s">
        <v>433</v>
      </c>
      <c r="D83" s="1" t="s">
        <v>434</v>
      </c>
      <c r="E83" s="1" t="s">
        <v>435</v>
      </c>
      <c r="F83" s="2" t="str">
        <f>"0702306568"</f>
        <v>0702306568</v>
      </c>
      <c r="G83" s="2" t="str">
        <f>"9780702306563"</f>
        <v>9780702306563</v>
      </c>
      <c r="H83" s="1" t="s">
        <v>50</v>
      </c>
      <c r="I83" s="1" t="s">
        <v>36</v>
      </c>
      <c r="J83" s="1">
        <v>0.0</v>
      </c>
      <c r="K83" s="1">
        <v>2020.0</v>
      </c>
      <c r="L83" s="1">
        <v>2019.0</v>
      </c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 t="s">
        <v>436</v>
      </c>
      <c r="Y83" s="1" t="s">
        <v>437</v>
      </c>
    </row>
    <row r="84">
      <c r="A84" s="1">
        <v>4.3112994E7</v>
      </c>
      <c r="B84" s="1" t="s">
        <v>438</v>
      </c>
      <c r="C84" s="1" t="s">
        <v>439</v>
      </c>
      <c r="D84" s="1" t="s">
        <v>440</v>
      </c>
      <c r="E84" s="1" t="s">
        <v>441</v>
      </c>
      <c r="F84" s="2" t="str">
        <f>"1784339334"</f>
        <v>1784339334</v>
      </c>
      <c r="G84" s="2" t="str">
        <f>"9781784339333"</f>
        <v>9781784339333</v>
      </c>
      <c r="H84" s="1" t="s">
        <v>442</v>
      </c>
      <c r="I84" s="1" t="s">
        <v>443</v>
      </c>
      <c r="J84" s="1">
        <v>0.0</v>
      </c>
      <c r="K84" s="1">
        <v>2017.0</v>
      </c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 t="s">
        <v>291</v>
      </c>
      <c r="Y84" s="1" t="s">
        <v>444</v>
      </c>
    </row>
    <row r="85">
      <c r="A85" s="1">
        <v>6.7862779E7</v>
      </c>
      <c r="B85" s="1" t="s">
        <v>445</v>
      </c>
      <c r="C85" s="1" t="s">
        <v>446</v>
      </c>
      <c r="D85" s="1" t="s">
        <v>447</v>
      </c>
      <c r="F85" s="2" t="str">
        <f>"0752598457"</f>
        <v>0752598457</v>
      </c>
      <c r="G85" s="2" t="str">
        <f>"9780752598451"</f>
        <v>9780752598451</v>
      </c>
      <c r="H85" s="1" t="s">
        <v>448</v>
      </c>
      <c r="I85" s="1" t="s">
        <v>31</v>
      </c>
      <c r="J85" s="1">
        <v>0.0</v>
      </c>
      <c r="K85" s="1">
        <v>2003.0</v>
      </c>
      <c r="L85" s="1">
        <v>2005.0</v>
      </c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 t="s">
        <v>74</v>
      </c>
      <c r="Y85" s="1" t="s">
        <v>449</v>
      </c>
    </row>
    <row r="86">
      <c r="A86" s="1">
        <v>1.62164918E8</v>
      </c>
      <c r="B86" s="1" t="s">
        <v>450</v>
      </c>
      <c r="C86" s="1" t="s">
        <v>446</v>
      </c>
      <c r="D86" s="1" t="s">
        <v>447</v>
      </c>
      <c r="F86" s="2" t="str">
        <f t="shared" ref="F86:G86" si="42">""</f>
        <v/>
      </c>
      <c r="G86" s="2" t="str">
        <f t="shared" si="42"/>
        <v/>
      </c>
      <c r="H86" s="1" t="s">
        <v>451</v>
      </c>
      <c r="I86" s="1" t="s">
        <v>31</v>
      </c>
      <c r="J86" s="1">
        <v>0.0</v>
      </c>
      <c r="K86" s="1">
        <v>2018.0</v>
      </c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 t="s">
        <v>452</v>
      </c>
      <c r="Y86" s="1" t="s">
        <v>453</v>
      </c>
    </row>
    <row r="87">
      <c r="A87" s="1">
        <v>1.48317514E8</v>
      </c>
      <c r="B87" s="1" t="s">
        <v>454</v>
      </c>
      <c r="C87" s="1" t="s">
        <v>455</v>
      </c>
      <c r="D87" s="1" t="s">
        <v>456</v>
      </c>
      <c r="F87" s="2" t="str">
        <f t="shared" ref="F87:G87" si="43">""</f>
        <v/>
      </c>
      <c r="G87" s="2" t="str">
        <f t="shared" si="43"/>
        <v/>
      </c>
      <c r="H87" s="1" t="s">
        <v>457</v>
      </c>
      <c r="I87" s="1" t="s">
        <v>31</v>
      </c>
      <c r="J87" s="1">
        <v>0.0</v>
      </c>
      <c r="K87" s="1">
        <v>2009.0</v>
      </c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 t="s">
        <v>458</v>
      </c>
      <c r="Y87" s="1" t="s">
        <v>459</v>
      </c>
    </row>
    <row r="88">
      <c r="A88" s="1">
        <v>1.3718739E7</v>
      </c>
      <c r="B88" s="1" t="s">
        <v>460</v>
      </c>
      <c r="C88" s="1" t="s">
        <v>461</v>
      </c>
      <c r="D88" s="1" t="s">
        <v>462</v>
      </c>
      <c r="F88" s="2" t="str">
        <f>"0439418135"</f>
        <v>0439418135</v>
      </c>
      <c r="G88" s="2" t="str">
        <f>"9780439418133"</f>
        <v>9780439418133</v>
      </c>
      <c r="H88" s="1" t="s">
        <v>50</v>
      </c>
      <c r="I88" s="1" t="s">
        <v>36</v>
      </c>
      <c r="J88" s="1">
        <v>0.0</v>
      </c>
      <c r="K88" s="1">
        <v>2011.0</v>
      </c>
      <c r="L88" s="1">
        <v>2001.0</v>
      </c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 t="s">
        <v>61</v>
      </c>
      <c r="Y88" s="1" t="s">
        <v>463</v>
      </c>
    </row>
    <row r="89">
      <c r="A89" s="1">
        <v>1.21482668E8</v>
      </c>
      <c r="B89" s="1" t="s">
        <v>464</v>
      </c>
      <c r="C89" s="1" t="s">
        <v>465</v>
      </c>
      <c r="D89" s="1" t="s">
        <v>466</v>
      </c>
      <c r="F89" s="2" t="str">
        <f>"0590971360"</f>
        <v>0590971360</v>
      </c>
      <c r="G89" s="2" t="str">
        <f>"9780590971362"</f>
        <v>9780590971362</v>
      </c>
      <c r="H89" s="1" t="s">
        <v>50</v>
      </c>
      <c r="I89" s="1" t="s">
        <v>36</v>
      </c>
      <c r="J89" s="1">
        <v>0.0</v>
      </c>
      <c r="K89" s="1">
        <v>1998.0</v>
      </c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 t="s">
        <v>55</v>
      </c>
      <c r="Y89" s="1" t="s">
        <v>467</v>
      </c>
    </row>
    <row r="90">
      <c r="A90" s="1">
        <v>3326312.0</v>
      </c>
      <c r="B90" s="1" t="s">
        <v>468</v>
      </c>
      <c r="C90" s="1" t="s">
        <v>469</v>
      </c>
      <c r="D90" s="1" t="s">
        <v>470</v>
      </c>
      <c r="F90" s="2" t="str">
        <f>"1846111153"</f>
        <v>1846111153</v>
      </c>
      <c r="G90" s="2" t="str">
        <f>"9781846111150"</f>
        <v>9781846111150</v>
      </c>
      <c r="H90" s="1" t="s">
        <v>471</v>
      </c>
      <c r="I90" s="1" t="s">
        <v>36</v>
      </c>
      <c r="J90" s="1">
        <v>0.0</v>
      </c>
      <c r="K90" s="1">
        <v>2007.0</v>
      </c>
      <c r="L90" s="1">
        <v>2006.0</v>
      </c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 t="s">
        <v>61</v>
      </c>
      <c r="Y90" s="1" t="s">
        <v>472</v>
      </c>
    </row>
    <row r="91">
      <c r="A91" s="1">
        <v>586248.0</v>
      </c>
      <c r="B91" s="1" t="s">
        <v>473</v>
      </c>
      <c r="C91" s="1" t="s">
        <v>474</v>
      </c>
      <c r="D91" s="1" t="s">
        <v>475</v>
      </c>
      <c r="E91" s="1" t="s">
        <v>476</v>
      </c>
      <c r="F91" s="2" t="str">
        <f>"061395064X"</f>
        <v>061395064X</v>
      </c>
      <c r="G91" s="2" t="str">
        <f>"9780613950640"</f>
        <v>9780613950640</v>
      </c>
      <c r="H91" s="1" t="s">
        <v>477</v>
      </c>
      <c r="I91" s="1" t="s">
        <v>91</v>
      </c>
      <c r="J91" s="1">
        <v>0.0</v>
      </c>
      <c r="K91" s="1">
        <v>1994.0</v>
      </c>
      <c r="L91" s="1">
        <v>1988.0</v>
      </c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 t="s">
        <v>478</v>
      </c>
      <c r="Y91" s="1" t="s">
        <v>479</v>
      </c>
    </row>
    <row r="92">
      <c r="A92" s="1">
        <v>5.8817231E7</v>
      </c>
      <c r="B92" s="1" t="s">
        <v>480</v>
      </c>
      <c r="C92" s="1" t="s">
        <v>481</v>
      </c>
      <c r="D92" s="1" t="s">
        <v>482</v>
      </c>
      <c r="E92" s="1" t="s">
        <v>483</v>
      </c>
      <c r="F92" s="2" t="str">
        <f>"9563642171"</f>
        <v>9563642171</v>
      </c>
      <c r="G92" s="2" t="str">
        <f>"9789563642179"</f>
        <v>9789563642179</v>
      </c>
      <c r="H92" s="1" t="s">
        <v>484</v>
      </c>
      <c r="I92" s="1" t="s">
        <v>238</v>
      </c>
      <c r="J92" s="1">
        <v>0.0</v>
      </c>
      <c r="K92" s="1">
        <v>2016.0</v>
      </c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 t="s">
        <v>61</v>
      </c>
      <c r="Y92" s="1" t="s">
        <v>485</v>
      </c>
    </row>
    <row r="93">
      <c r="A93" s="1">
        <v>1.79688192E8</v>
      </c>
      <c r="B93" s="1" t="s">
        <v>486</v>
      </c>
      <c r="C93" s="1" t="s">
        <v>487</v>
      </c>
      <c r="D93" s="1" t="s">
        <v>488</v>
      </c>
      <c r="E93" s="1" t="s">
        <v>489</v>
      </c>
      <c r="F93" s="2" t="str">
        <f>"9354710085"</f>
        <v>9354710085</v>
      </c>
      <c r="G93" s="2" t="str">
        <f>"9789354710087"</f>
        <v>9789354710087</v>
      </c>
      <c r="H93" s="1" t="s">
        <v>490</v>
      </c>
      <c r="I93" s="1" t="s">
        <v>36</v>
      </c>
      <c r="J93" s="1">
        <v>0.0</v>
      </c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 t="s">
        <v>491</v>
      </c>
      <c r="Y93" s="1" t="s">
        <v>492</v>
      </c>
    </row>
    <row r="94">
      <c r="A94" s="1">
        <v>1.41774628E8</v>
      </c>
      <c r="B94" s="1" t="s">
        <v>493</v>
      </c>
      <c r="C94" s="1" t="s">
        <v>494</v>
      </c>
      <c r="D94" s="1" t="s">
        <v>495</v>
      </c>
      <c r="F94" s="2" t="str">
        <f t="shared" ref="F94:G94" si="44">""</f>
        <v/>
      </c>
      <c r="G94" s="2" t="str">
        <f t="shared" si="44"/>
        <v/>
      </c>
      <c r="H94" s="1" t="s">
        <v>290</v>
      </c>
      <c r="I94" s="1" t="s">
        <v>36</v>
      </c>
      <c r="J94" s="1">
        <v>0.0</v>
      </c>
      <c r="L94" s="1">
        <v>2010.0</v>
      </c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 t="s">
        <v>83</v>
      </c>
      <c r="Y94" s="1" t="s">
        <v>496</v>
      </c>
    </row>
    <row r="95">
      <c r="A95" s="1">
        <v>1.33280609E8</v>
      </c>
      <c r="B95" s="1" t="s">
        <v>497</v>
      </c>
      <c r="C95" s="1" t="s">
        <v>498</v>
      </c>
      <c r="D95" s="1" t="s">
        <v>499</v>
      </c>
      <c r="F95" s="2" t="str">
        <f t="shared" ref="F95:G95" si="45">""</f>
        <v/>
      </c>
      <c r="G95" s="2" t="str">
        <f t="shared" si="45"/>
        <v/>
      </c>
      <c r="I95" s="1" t="s">
        <v>36</v>
      </c>
      <c r="J95" s="1">
        <v>0.0</v>
      </c>
      <c r="K95" s="1">
        <v>2005.0</v>
      </c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 t="s">
        <v>83</v>
      </c>
      <c r="Y95" s="1" t="s">
        <v>500</v>
      </c>
    </row>
    <row r="96">
      <c r="A96" s="1">
        <v>1.62668557E8</v>
      </c>
      <c r="B96" s="1" t="s">
        <v>501</v>
      </c>
      <c r="C96" s="1" t="s">
        <v>502</v>
      </c>
      <c r="D96" s="1" t="s">
        <v>503</v>
      </c>
      <c r="F96" s="2" t="str">
        <f t="shared" ref="F96:G96" si="46">""</f>
        <v/>
      </c>
      <c r="G96" s="2" t="str">
        <f t="shared" si="46"/>
        <v/>
      </c>
      <c r="H96" s="1" t="s">
        <v>504</v>
      </c>
      <c r="I96" s="1" t="s">
        <v>36</v>
      </c>
      <c r="J96" s="1">
        <v>0.0</v>
      </c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 t="s">
        <v>180</v>
      </c>
      <c r="Y96" s="1" t="s">
        <v>505</v>
      </c>
    </row>
    <row r="97">
      <c r="A97" s="1">
        <v>1.41742094E8</v>
      </c>
      <c r="B97" s="1" t="s">
        <v>506</v>
      </c>
      <c r="C97" s="1" t="s">
        <v>507</v>
      </c>
      <c r="D97" s="1" t="s">
        <v>508</v>
      </c>
      <c r="F97" s="2" t="str">
        <f t="shared" ref="F97:G97" si="47">""</f>
        <v/>
      </c>
      <c r="G97" s="2" t="str">
        <f t="shared" si="47"/>
        <v/>
      </c>
      <c r="H97" s="1" t="s">
        <v>509</v>
      </c>
      <c r="I97" s="1" t="s">
        <v>31</v>
      </c>
      <c r="J97" s="1">
        <v>0.0</v>
      </c>
      <c r="K97" s="1">
        <v>1948.0</v>
      </c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 t="s">
        <v>510</v>
      </c>
      <c r="Y97" s="1" t="s">
        <v>511</v>
      </c>
    </row>
    <row r="98">
      <c r="A98" s="1">
        <v>5.8575003E7</v>
      </c>
      <c r="B98" s="1" t="s">
        <v>512</v>
      </c>
      <c r="C98" s="1" t="s">
        <v>513</v>
      </c>
      <c r="D98" s="1" t="s">
        <v>514</v>
      </c>
      <c r="F98" s="2" t="str">
        <f>"1524789666"</f>
        <v>1524789666</v>
      </c>
      <c r="G98" s="2" t="str">
        <f>"9781524789664"</f>
        <v>9781524789664</v>
      </c>
      <c r="H98" s="1" t="s">
        <v>515</v>
      </c>
      <c r="I98" s="1" t="s">
        <v>36</v>
      </c>
      <c r="J98" s="1">
        <v>0.0</v>
      </c>
      <c r="K98" s="1">
        <v>2016.0</v>
      </c>
      <c r="L98" s="1">
        <v>1994.0</v>
      </c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 t="s">
        <v>61</v>
      </c>
      <c r="Y98" s="1" t="s">
        <v>516</v>
      </c>
    </row>
    <row r="99">
      <c r="A99" s="1">
        <v>2.6232914E7</v>
      </c>
      <c r="B99" s="1" t="s">
        <v>517</v>
      </c>
      <c r="C99" s="1" t="s">
        <v>518</v>
      </c>
      <c r="D99" s="1" t="s">
        <v>519</v>
      </c>
      <c r="F99" s="2" t="str">
        <f>"1784750999"</f>
        <v>1784750999</v>
      </c>
      <c r="G99" s="2" t="str">
        <f>"9781784750992"</f>
        <v>9781784750992</v>
      </c>
      <c r="H99" s="1" t="s">
        <v>520</v>
      </c>
      <c r="I99" s="1" t="s">
        <v>36</v>
      </c>
      <c r="J99" s="1">
        <v>0.0</v>
      </c>
      <c r="K99" s="1">
        <v>2014.0</v>
      </c>
      <c r="L99" s="1">
        <v>2014.0</v>
      </c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 t="s">
        <v>285</v>
      </c>
      <c r="Y99" s="1" t="s">
        <v>521</v>
      </c>
    </row>
    <row r="100">
      <c r="A100" s="1">
        <v>1.60355467E8</v>
      </c>
      <c r="B100" s="1" t="s">
        <v>522</v>
      </c>
      <c r="C100" s="1" t="s">
        <v>523</v>
      </c>
      <c r="D100" s="1" t="s">
        <v>524</v>
      </c>
      <c r="F100" s="2" t="str">
        <f t="shared" ref="F100:G100" si="48">""</f>
        <v/>
      </c>
      <c r="G100" s="2" t="str">
        <f t="shared" si="48"/>
        <v/>
      </c>
      <c r="H100" s="1" t="s">
        <v>525</v>
      </c>
      <c r="I100" s="1" t="s">
        <v>108</v>
      </c>
      <c r="J100" s="1">
        <v>0.0</v>
      </c>
      <c r="L100" s="1">
        <v>2006.0</v>
      </c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 t="s">
        <v>458</v>
      </c>
      <c r="Y100" s="1" t="s">
        <v>526</v>
      </c>
    </row>
    <row r="101">
      <c r="A101" s="1">
        <v>6.7264227E7</v>
      </c>
      <c r="B101" s="1" t="s">
        <v>527</v>
      </c>
      <c r="C101" s="1" t="s">
        <v>528</v>
      </c>
      <c r="D101" s="1" t="s">
        <v>529</v>
      </c>
      <c r="F101" s="2" t="str">
        <f>"1471119785"</f>
        <v>1471119785</v>
      </c>
      <c r="G101" s="2" t="str">
        <f>"9781471119781"</f>
        <v>9781471119781</v>
      </c>
      <c r="H101" s="1" t="s">
        <v>530</v>
      </c>
      <c r="I101" s="1" t="s">
        <v>36</v>
      </c>
      <c r="J101" s="1">
        <v>0.0</v>
      </c>
      <c r="L101" s="1">
        <v>2010.0</v>
      </c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 t="s">
        <v>291</v>
      </c>
      <c r="Y101" s="1" t="s">
        <v>531</v>
      </c>
    </row>
    <row r="102">
      <c r="A102" s="1">
        <v>1.3346736E8</v>
      </c>
      <c r="B102" s="1" t="s">
        <v>532</v>
      </c>
      <c r="C102" s="1" t="s">
        <v>533</v>
      </c>
      <c r="D102" s="1" t="s">
        <v>534</v>
      </c>
      <c r="F102" s="2" t="str">
        <f t="shared" ref="F102:G102" si="49">""</f>
        <v/>
      </c>
      <c r="G102" s="2" t="str">
        <f t="shared" si="49"/>
        <v/>
      </c>
      <c r="H102" s="1" t="s">
        <v>535</v>
      </c>
      <c r="I102" s="1" t="s">
        <v>31</v>
      </c>
      <c r="J102" s="1">
        <v>0.0</v>
      </c>
      <c r="K102" s="1">
        <v>1978.0</v>
      </c>
      <c r="L102" s="1">
        <v>1967.0</v>
      </c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 t="s">
        <v>536</v>
      </c>
      <c r="Y102" s="1" t="s">
        <v>537</v>
      </c>
    </row>
    <row r="103">
      <c r="A103" s="1">
        <v>4037603.0</v>
      </c>
      <c r="B103" s="1" t="s">
        <v>538</v>
      </c>
      <c r="C103" s="1" t="s">
        <v>539</v>
      </c>
      <c r="D103" s="1" t="s">
        <v>540</v>
      </c>
      <c r="E103" s="1" t="s">
        <v>541</v>
      </c>
      <c r="F103" s="2" t="str">
        <f>"0805006990"</f>
        <v>0805006990</v>
      </c>
      <c r="G103" s="2" t="str">
        <f>"9780805006995"</f>
        <v>9780805006995</v>
      </c>
      <c r="H103" s="1" t="s">
        <v>542</v>
      </c>
      <c r="I103" s="1" t="s">
        <v>91</v>
      </c>
      <c r="J103" s="1">
        <v>0.0</v>
      </c>
      <c r="K103" s="1">
        <v>1988.0</v>
      </c>
      <c r="L103" s="1">
        <v>1988.0</v>
      </c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 t="s">
        <v>543</v>
      </c>
      <c r="Y103" s="1" t="s">
        <v>544</v>
      </c>
    </row>
    <row r="104">
      <c r="A104" s="1">
        <v>3.765422E7</v>
      </c>
      <c r="B104" s="1" t="s">
        <v>545</v>
      </c>
      <c r="C104" s="1" t="s">
        <v>546</v>
      </c>
      <c r="D104" s="1" t="s">
        <v>547</v>
      </c>
      <c r="F104" s="2" t="str">
        <f>"8925597977"</f>
        <v>8925597977</v>
      </c>
      <c r="G104" s="2" t="str">
        <f>"9788925597973"</f>
        <v>9788925597973</v>
      </c>
      <c r="H104" s="1" t="s">
        <v>548</v>
      </c>
      <c r="I104" s="1" t="s">
        <v>31</v>
      </c>
      <c r="J104" s="1">
        <v>0.0</v>
      </c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 t="s">
        <v>549</v>
      </c>
      <c r="Y104" s="1" t="s">
        <v>550</v>
      </c>
    </row>
    <row r="105">
      <c r="A105" s="1">
        <v>1.64279651E8</v>
      </c>
      <c r="B105" s="1" t="s">
        <v>551</v>
      </c>
      <c r="C105" s="1" t="s">
        <v>546</v>
      </c>
      <c r="D105" s="1" t="s">
        <v>547</v>
      </c>
      <c r="F105" s="2" t="str">
        <f t="shared" ref="F105:G105" si="50">""</f>
        <v/>
      </c>
      <c r="G105" s="2" t="str">
        <f t="shared" si="50"/>
        <v/>
      </c>
      <c r="H105" s="1" t="s">
        <v>552</v>
      </c>
      <c r="I105" s="1" t="s">
        <v>36</v>
      </c>
      <c r="J105" s="1">
        <v>0.0</v>
      </c>
      <c r="K105" s="1">
        <v>2013.0</v>
      </c>
      <c r="L105" s="1">
        <v>2012.0</v>
      </c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 t="s">
        <v>553</v>
      </c>
      <c r="Y105" s="1" t="s">
        <v>554</v>
      </c>
    </row>
    <row r="106">
      <c r="A106" s="1">
        <v>9.5690231E7</v>
      </c>
      <c r="B106" s="1" t="s">
        <v>555</v>
      </c>
      <c r="C106" s="1" t="s">
        <v>556</v>
      </c>
      <c r="D106" s="1" t="s">
        <v>557</v>
      </c>
      <c r="F106" s="2" t="str">
        <f>"0590974742"</f>
        <v>0590974742</v>
      </c>
      <c r="G106" s="2" t="str">
        <f>"9780590974745"</f>
        <v>9780590974745</v>
      </c>
      <c r="H106" s="1" t="s">
        <v>50</v>
      </c>
      <c r="I106" s="1" t="s">
        <v>36</v>
      </c>
      <c r="J106" s="1">
        <v>0.0</v>
      </c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 t="s">
        <v>55</v>
      </c>
      <c r="Y106" s="1" t="s">
        <v>558</v>
      </c>
    </row>
    <row r="107">
      <c r="A107" s="1">
        <v>1.37082557E8</v>
      </c>
      <c r="B107" s="1" t="s">
        <v>559</v>
      </c>
      <c r="C107" s="1" t="s">
        <v>560</v>
      </c>
      <c r="D107" s="1" t="s">
        <v>561</v>
      </c>
      <c r="F107" s="2" t="str">
        <f t="shared" ref="F107:G107" si="51">""</f>
        <v/>
      </c>
      <c r="G107" s="2" t="str">
        <f t="shared" si="51"/>
        <v/>
      </c>
      <c r="H107" s="1" t="s">
        <v>562</v>
      </c>
      <c r="I107" s="1" t="s">
        <v>108</v>
      </c>
      <c r="J107" s="1">
        <v>0.0</v>
      </c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 t="s">
        <v>563</v>
      </c>
      <c r="Y107" s="1" t="s">
        <v>564</v>
      </c>
    </row>
    <row r="108">
      <c r="A108" s="1">
        <v>1.68878549E8</v>
      </c>
      <c r="B108" s="1" t="s">
        <v>565</v>
      </c>
      <c r="C108" s="1" t="s">
        <v>566</v>
      </c>
      <c r="D108" s="1" t="s">
        <v>567</v>
      </c>
      <c r="F108" s="2" t="str">
        <f t="shared" ref="F108:G108" si="52">""</f>
        <v/>
      </c>
      <c r="G108" s="2" t="str">
        <f t="shared" si="52"/>
        <v/>
      </c>
      <c r="H108" s="1" t="s">
        <v>568</v>
      </c>
      <c r="I108" s="1" t="s">
        <v>36</v>
      </c>
      <c r="J108" s="1">
        <v>0.0</v>
      </c>
      <c r="L108" s="1">
        <v>1993.0</v>
      </c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 t="s">
        <v>563</v>
      </c>
      <c r="Y108" s="1" t="s">
        <v>569</v>
      </c>
    </row>
    <row r="109">
      <c r="A109" s="1">
        <v>1.46475123E8</v>
      </c>
      <c r="B109" s="1" t="s">
        <v>570</v>
      </c>
      <c r="C109" s="1" t="s">
        <v>571</v>
      </c>
      <c r="D109" s="1" t="s">
        <v>572</v>
      </c>
      <c r="F109" s="2" t="str">
        <f>"1505055954"</f>
        <v>1505055954</v>
      </c>
      <c r="G109" s="2" t="str">
        <f>"9781505055955"</f>
        <v>9781505055955</v>
      </c>
      <c r="H109" s="1" t="s">
        <v>573</v>
      </c>
      <c r="I109" s="1" t="s">
        <v>36</v>
      </c>
      <c r="J109" s="1">
        <v>0.0</v>
      </c>
      <c r="K109" s="1">
        <v>2017.0</v>
      </c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 t="s">
        <v>380</v>
      </c>
      <c r="Y109" s="1" t="s">
        <v>574</v>
      </c>
    </row>
    <row r="110">
      <c r="A110" s="1">
        <v>3195323.0</v>
      </c>
      <c r="B110" s="1" t="s">
        <v>575</v>
      </c>
      <c r="C110" s="1" t="s">
        <v>576</v>
      </c>
      <c r="D110" s="1" t="s">
        <v>577</v>
      </c>
      <c r="E110" s="1" t="s">
        <v>578</v>
      </c>
      <c r="F110" s="2" t="str">
        <f>"0590468510"</f>
        <v>0590468510</v>
      </c>
      <c r="G110" s="2" t="str">
        <f>"9780590468510"</f>
        <v>9780590468510</v>
      </c>
      <c r="H110" s="1" t="s">
        <v>50</v>
      </c>
      <c r="I110" s="1" t="s">
        <v>36</v>
      </c>
      <c r="J110" s="1">
        <v>0.0</v>
      </c>
      <c r="K110" s="1">
        <v>1993.0</v>
      </c>
      <c r="L110" s="1">
        <v>1991.0</v>
      </c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 t="s">
        <v>579</v>
      </c>
      <c r="Y110" s="1" t="s">
        <v>580</v>
      </c>
    </row>
    <row r="111">
      <c r="A111" s="1">
        <v>1.26962994E8</v>
      </c>
      <c r="B111" s="1" t="s">
        <v>581</v>
      </c>
      <c r="C111" s="1" t="s">
        <v>582</v>
      </c>
      <c r="D111" s="1" t="s">
        <v>583</v>
      </c>
      <c r="F111" s="2" t="str">
        <f t="shared" ref="F111:G111" si="53">""</f>
        <v/>
      </c>
      <c r="G111" s="2" t="str">
        <f t="shared" si="53"/>
        <v/>
      </c>
      <c r="H111" s="1" t="s">
        <v>584</v>
      </c>
      <c r="I111" s="1" t="s">
        <v>91</v>
      </c>
      <c r="J111" s="1">
        <v>0.0</v>
      </c>
      <c r="L111" s="1">
        <v>2005.0</v>
      </c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 t="s">
        <v>92</v>
      </c>
      <c r="Y111" s="1" t="s">
        <v>585</v>
      </c>
    </row>
    <row r="112">
      <c r="A112" s="1">
        <v>5.5597213E7</v>
      </c>
      <c r="B112" s="1" t="s">
        <v>586</v>
      </c>
      <c r="C112" s="1" t="s">
        <v>587</v>
      </c>
      <c r="D112" s="1" t="s">
        <v>588</v>
      </c>
      <c r="F112" s="2" t="str">
        <f t="shared" ref="F112:G112" si="54">""</f>
        <v/>
      </c>
      <c r="G112" s="2" t="str">
        <f t="shared" si="54"/>
        <v/>
      </c>
      <c r="I112" s="1" t="s">
        <v>238</v>
      </c>
      <c r="J112" s="1">
        <v>0.0</v>
      </c>
      <c r="K112" s="1">
        <v>2020.0</v>
      </c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 t="s">
        <v>83</v>
      </c>
      <c r="Y112" s="1" t="s">
        <v>589</v>
      </c>
    </row>
    <row r="113">
      <c r="A113" s="1">
        <v>5.299024E7</v>
      </c>
      <c r="B113" s="1" t="s">
        <v>590</v>
      </c>
      <c r="C113" s="1" t="s">
        <v>591</v>
      </c>
      <c r="D113" s="1" t="s">
        <v>592</v>
      </c>
      <c r="F113" s="2" t="str">
        <f>"6048872402"</f>
        <v>6048872402</v>
      </c>
      <c r="G113" s="2" t="str">
        <f>"9786048872403"</f>
        <v>9786048872403</v>
      </c>
      <c r="H113" s="1" t="s">
        <v>593</v>
      </c>
      <c r="I113" s="1" t="s">
        <v>36</v>
      </c>
      <c r="J113" s="1">
        <v>0.0</v>
      </c>
      <c r="K113" s="1">
        <v>2019.0</v>
      </c>
      <c r="L113" s="1">
        <v>2015.0</v>
      </c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 t="s">
        <v>452</v>
      </c>
      <c r="Y113" s="1" t="s">
        <v>594</v>
      </c>
    </row>
    <row r="114">
      <c r="A114" s="1">
        <v>3.7558459E7</v>
      </c>
      <c r="B114" s="1" t="s">
        <v>595</v>
      </c>
      <c r="C114" s="1" t="s">
        <v>596</v>
      </c>
      <c r="D114" s="1" t="s">
        <v>597</v>
      </c>
      <c r="F114" s="2" t="str">
        <f>"0425287432"</f>
        <v>0425287432</v>
      </c>
      <c r="G114" s="2" t="str">
        <f>"9780425287439"</f>
        <v>9780425287439</v>
      </c>
      <c r="H114" s="1" t="s">
        <v>598</v>
      </c>
      <c r="I114" s="1" t="s">
        <v>36</v>
      </c>
      <c r="J114" s="1">
        <v>0.0</v>
      </c>
      <c r="K114" s="1">
        <v>2014.0</v>
      </c>
      <c r="L114" s="1">
        <v>2014.0</v>
      </c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 t="s">
        <v>61</v>
      </c>
      <c r="Y114" s="1" t="s">
        <v>599</v>
      </c>
    </row>
    <row r="115">
      <c r="A115" s="1">
        <v>1.31078018E8</v>
      </c>
      <c r="B115" s="1" t="s">
        <v>600</v>
      </c>
      <c r="C115" s="1" t="s">
        <v>601</v>
      </c>
      <c r="D115" s="1" t="s">
        <v>602</v>
      </c>
      <c r="F115" s="2" t="str">
        <f t="shared" ref="F115:G115" si="55">""</f>
        <v/>
      </c>
      <c r="G115" s="2" t="str">
        <f t="shared" si="55"/>
        <v/>
      </c>
      <c r="H115" s="1" t="s">
        <v>31</v>
      </c>
      <c r="I115" s="1" t="s">
        <v>31</v>
      </c>
      <c r="J115" s="1">
        <v>0.0</v>
      </c>
      <c r="K115" s="1">
        <v>2002.0</v>
      </c>
      <c r="L115" s="1">
        <v>1997.0</v>
      </c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 t="s">
        <v>603</v>
      </c>
      <c r="Y115" s="1" t="s">
        <v>604</v>
      </c>
    </row>
    <row r="116">
      <c r="A116" s="1">
        <v>6.0495584E7</v>
      </c>
      <c r="B116" s="1" t="s">
        <v>605</v>
      </c>
      <c r="C116" s="1" t="s">
        <v>606</v>
      </c>
      <c r="D116" s="1" t="s">
        <v>607</v>
      </c>
      <c r="F116" s="2" t="str">
        <f>"9389823498"</f>
        <v>9389823498</v>
      </c>
      <c r="G116" s="2" t="str">
        <f>"9789389823493"</f>
        <v>9789389823493</v>
      </c>
      <c r="H116" s="1" t="s">
        <v>608</v>
      </c>
      <c r="I116" s="1" t="s">
        <v>36</v>
      </c>
      <c r="J116" s="1">
        <v>0.0</v>
      </c>
      <c r="K116" s="1">
        <v>2020.0</v>
      </c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 t="s">
        <v>609</v>
      </c>
      <c r="Y116" s="1" t="s">
        <v>610</v>
      </c>
    </row>
    <row r="117">
      <c r="A117" s="1">
        <v>1.68015549E8</v>
      </c>
      <c r="B117" s="1" t="s">
        <v>611</v>
      </c>
      <c r="C117" s="1" t="s">
        <v>612</v>
      </c>
      <c r="D117" s="1" t="s">
        <v>613</v>
      </c>
      <c r="F117" s="2" t="str">
        <f t="shared" ref="F117:G117" si="56">""</f>
        <v/>
      </c>
      <c r="G117" s="2" t="str">
        <f t="shared" si="56"/>
        <v/>
      </c>
      <c r="H117" s="1" t="s">
        <v>612</v>
      </c>
      <c r="I117" s="1" t="s">
        <v>614</v>
      </c>
      <c r="J117" s="1">
        <v>0.0</v>
      </c>
      <c r="K117" s="1">
        <v>2003.0</v>
      </c>
      <c r="L117" s="1">
        <v>2004.0</v>
      </c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 t="s">
        <v>615</v>
      </c>
      <c r="Y117" s="1" t="s">
        <v>616</v>
      </c>
    </row>
    <row r="118">
      <c r="A118" s="1">
        <v>1.40890783E8</v>
      </c>
      <c r="B118" s="1" t="s">
        <v>617</v>
      </c>
      <c r="C118" s="1" t="s">
        <v>618</v>
      </c>
      <c r="D118" s="1" t="s">
        <v>619</v>
      </c>
      <c r="F118" s="2" t="str">
        <f t="shared" ref="F118:G118" si="57">""</f>
        <v/>
      </c>
      <c r="G118" s="2" t="str">
        <f t="shared" si="57"/>
        <v/>
      </c>
      <c r="I118" s="1" t="s">
        <v>108</v>
      </c>
      <c r="J118" s="1">
        <v>0.0</v>
      </c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 t="s">
        <v>92</v>
      </c>
      <c r="Y118" s="1" t="s">
        <v>620</v>
      </c>
    </row>
    <row r="119">
      <c r="A119" s="1">
        <v>1.69575361E8</v>
      </c>
      <c r="B119" s="1" t="s">
        <v>621</v>
      </c>
      <c r="C119" s="1" t="s">
        <v>622</v>
      </c>
      <c r="D119" s="1" t="s">
        <v>623</v>
      </c>
      <c r="F119" s="2" t="str">
        <f t="shared" ref="F119:G119" si="58">""</f>
        <v/>
      </c>
      <c r="G119" s="2" t="str">
        <f t="shared" si="58"/>
        <v/>
      </c>
      <c r="H119" s="1" t="s">
        <v>624</v>
      </c>
      <c r="I119" s="1" t="s">
        <v>36</v>
      </c>
      <c r="J119" s="1">
        <v>0.0</v>
      </c>
      <c r="K119" s="1">
        <v>1998.0</v>
      </c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 t="s">
        <v>55</v>
      </c>
      <c r="Y119" s="1" t="s">
        <v>625</v>
      </c>
    </row>
    <row r="120">
      <c r="A120" s="1">
        <v>3.3020798E7</v>
      </c>
      <c r="B120" s="1" t="s">
        <v>626</v>
      </c>
      <c r="C120" s="1" t="s">
        <v>627</v>
      </c>
      <c r="D120" s="1" t="s">
        <v>628</v>
      </c>
      <c r="F120" s="2" t="str">
        <f>"193375821X"</f>
        <v>193375821X</v>
      </c>
      <c r="G120" s="2" t="str">
        <f>"9781933758213"</f>
        <v>9781933758213</v>
      </c>
      <c r="I120" s="1" t="s">
        <v>36</v>
      </c>
      <c r="J120" s="1">
        <v>0.0</v>
      </c>
      <c r="K120" s="1">
        <v>2014.0</v>
      </c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 t="s">
        <v>629</v>
      </c>
      <c r="Y120" s="1" t="s">
        <v>630</v>
      </c>
    </row>
    <row r="121">
      <c r="A121" s="1">
        <v>9.3997439E7</v>
      </c>
      <c r="B121" s="1" t="s">
        <v>631</v>
      </c>
      <c r="C121" s="1" t="s">
        <v>632</v>
      </c>
      <c r="D121" s="1" t="s">
        <v>633</v>
      </c>
      <c r="F121" s="2" t="str">
        <f>"1578820405"</f>
        <v>1578820405</v>
      </c>
      <c r="G121" s="2" t="str">
        <f>"9781578820405"</f>
        <v>9781578820405</v>
      </c>
      <c r="H121" s="1" t="s">
        <v>634</v>
      </c>
      <c r="I121" s="1" t="s">
        <v>36</v>
      </c>
      <c r="J121" s="1">
        <v>0.0</v>
      </c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 t="s">
        <v>380</v>
      </c>
      <c r="Y121" s="1" t="s">
        <v>635</v>
      </c>
    </row>
    <row r="122">
      <c r="A122" s="1">
        <v>1.95261611E8</v>
      </c>
      <c r="B122" s="1" t="s">
        <v>636</v>
      </c>
      <c r="C122" s="1" t="s">
        <v>637</v>
      </c>
      <c r="D122" s="1" t="s">
        <v>638</v>
      </c>
      <c r="E122" s="1" t="s">
        <v>639</v>
      </c>
      <c r="F122" s="2" t="str">
        <f>"1338883097"</f>
        <v>1338883097</v>
      </c>
      <c r="G122" s="2" t="str">
        <f>"9781338883091"</f>
        <v>9781338883091</v>
      </c>
      <c r="H122" s="1" t="s">
        <v>640</v>
      </c>
      <c r="I122" s="1" t="s">
        <v>238</v>
      </c>
      <c r="J122" s="1">
        <v>0.0</v>
      </c>
      <c r="K122" s="1">
        <v>2024.0</v>
      </c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 t="s">
        <v>641</v>
      </c>
      <c r="Y122" s="1" t="s">
        <v>642</v>
      </c>
    </row>
    <row r="123">
      <c r="A123" s="1">
        <v>2203939.0</v>
      </c>
      <c r="B123" s="1" t="s">
        <v>643</v>
      </c>
      <c r="C123" s="1" t="s">
        <v>644</v>
      </c>
      <c r="D123" s="1" t="s">
        <v>645</v>
      </c>
      <c r="E123" s="1" t="s">
        <v>646</v>
      </c>
      <c r="F123" s="2" t="str">
        <f>"0528871307"</f>
        <v>0528871307</v>
      </c>
      <c r="G123" s="2" t="str">
        <f>"9780528871306"</f>
        <v>9780528871306</v>
      </c>
      <c r="H123" s="1" t="s">
        <v>647</v>
      </c>
      <c r="I123" s="1" t="s">
        <v>36</v>
      </c>
      <c r="J123" s="1">
        <v>0.0</v>
      </c>
      <c r="K123" s="1">
        <v>1985.0</v>
      </c>
      <c r="L123" s="1">
        <v>1985.0</v>
      </c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 t="s">
        <v>116</v>
      </c>
      <c r="Y123" s="1" t="s">
        <v>648</v>
      </c>
    </row>
    <row r="124">
      <c r="A124" s="1">
        <v>9791543.0</v>
      </c>
      <c r="B124" s="1" t="s">
        <v>649</v>
      </c>
      <c r="C124" s="1" t="s">
        <v>650</v>
      </c>
      <c r="D124" s="1" t="s">
        <v>651</v>
      </c>
      <c r="F124" s="2" t="str">
        <f>"054521307X"</f>
        <v>054521307X</v>
      </c>
      <c r="G124" s="2" t="str">
        <f>"9780545213073"</f>
        <v>9780545213073</v>
      </c>
      <c r="H124" s="1" t="s">
        <v>269</v>
      </c>
      <c r="I124" s="1" t="s">
        <v>36</v>
      </c>
      <c r="J124" s="1">
        <v>0.0</v>
      </c>
      <c r="L124" s="1">
        <v>2009.0</v>
      </c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 t="s">
        <v>83</v>
      </c>
      <c r="Y124" s="1" t="s">
        <v>652</v>
      </c>
    </row>
    <row r="125">
      <c r="A125" s="1">
        <v>1.44484961E8</v>
      </c>
      <c r="B125" s="1" t="s">
        <v>653</v>
      </c>
      <c r="C125" s="1" t="s">
        <v>654</v>
      </c>
      <c r="D125" s="1" t="s">
        <v>655</v>
      </c>
      <c r="F125" s="2" t="str">
        <f t="shared" ref="F125:G125" si="59">""</f>
        <v/>
      </c>
      <c r="G125" s="2" t="str">
        <f t="shared" si="59"/>
        <v/>
      </c>
      <c r="H125" s="1" t="s">
        <v>656</v>
      </c>
      <c r="I125" s="1" t="s">
        <v>36</v>
      </c>
      <c r="J125" s="1">
        <v>0.0</v>
      </c>
      <c r="L125" s="1">
        <v>1996.0</v>
      </c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 t="s">
        <v>412</v>
      </c>
      <c r="Y125" s="1" t="s">
        <v>657</v>
      </c>
    </row>
    <row r="126">
      <c r="A126" s="1">
        <v>1.40633304E8</v>
      </c>
      <c r="B126" s="1" t="s">
        <v>658</v>
      </c>
      <c r="C126" s="1" t="s">
        <v>659</v>
      </c>
      <c r="D126" s="1" t="s">
        <v>660</v>
      </c>
      <c r="F126" s="2" t="str">
        <f t="shared" ref="F126:G126" si="60">""</f>
        <v/>
      </c>
      <c r="G126" s="2" t="str">
        <f t="shared" si="60"/>
        <v/>
      </c>
      <c r="H126" s="1" t="s">
        <v>661</v>
      </c>
      <c r="I126" s="1" t="s">
        <v>36</v>
      </c>
      <c r="J126" s="1">
        <v>0.0</v>
      </c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 t="s">
        <v>83</v>
      </c>
      <c r="Y126" s="1" t="s">
        <v>662</v>
      </c>
    </row>
    <row r="127">
      <c r="A127" s="1">
        <v>1.4158295E8</v>
      </c>
      <c r="B127" s="1" t="s">
        <v>663</v>
      </c>
      <c r="C127" s="1" t="s">
        <v>664</v>
      </c>
      <c r="D127" s="1" t="s">
        <v>665</v>
      </c>
      <c r="F127" s="2" t="str">
        <f t="shared" ref="F127:G127" si="61">""</f>
        <v/>
      </c>
      <c r="G127" s="2" t="str">
        <f t="shared" si="61"/>
        <v/>
      </c>
      <c r="H127" s="1" t="s">
        <v>666</v>
      </c>
      <c r="I127" s="1" t="s">
        <v>667</v>
      </c>
      <c r="J127" s="1">
        <v>0.0</v>
      </c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 t="s">
        <v>510</v>
      </c>
      <c r="Y127" s="1" t="s">
        <v>668</v>
      </c>
    </row>
    <row r="128">
      <c r="A128" s="1">
        <v>1.39546252E8</v>
      </c>
      <c r="B128" s="1" t="s">
        <v>669</v>
      </c>
      <c r="C128" s="1" t="s">
        <v>670</v>
      </c>
      <c r="D128" s="1" t="s">
        <v>671</v>
      </c>
      <c r="F128" s="2" t="str">
        <f t="shared" ref="F128:G128" si="62">""</f>
        <v/>
      </c>
      <c r="G128" s="2" t="str">
        <f t="shared" si="62"/>
        <v/>
      </c>
      <c r="H128" s="1" t="s">
        <v>672</v>
      </c>
      <c r="I128" s="1" t="s">
        <v>67</v>
      </c>
      <c r="J128" s="1">
        <v>0.0</v>
      </c>
      <c r="L128" s="1">
        <v>2008.0</v>
      </c>
    </row>
    <row r="129">
      <c r="A129" s="1">
        <v>5.3412461E7</v>
      </c>
      <c r="B129" s="1" t="s">
        <v>673</v>
      </c>
      <c r="C129" s="1" t="s">
        <v>670</v>
      </c>
      <c r="D129" s="1" t="s">
        <v>671</v>
      </c>
      <c r="F129" s="2" t="str">
        <f>"1921529539"</f>
        <v>1921529539</v>
      </c>
      <c r="G129" s="2" t="str">
        <f>"9781921529535"</f>
        <v>9781921529535</v>
      </c>
      <c r="H129" s="1" t="s">
        <v>227</v>
      </c>
      <c r="I129" s="1" t="s">
        <v>36</v>
      </c>
      <c r="J129" s="1">
        <v>0.0</v>
      </c>
      <c r="K129" s="1">
        <v>2010.0</v>
      </c>
      <c r="L129" s="1">
        <v>2008.0</v>
      </c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 t="s">
        <v>674</v>
      </c>
      <c r="Y129" s="1" t="s">
        <v>675</v>
      </c>
    </row>
    <row r="130">
      <c r="A130" s="1">
        <v>2.5998324E7</v>
      </c>
      <c r="B130" s="1" t="s">
        <v>676</v>
      </c>
      <c r="C130" s="1" t="s">
        <v>677</v>
      </c>
      <c r="D130" s="1" t="s">
        <v>678</v>
      </c>
      <c r="E130" s="1" t="s">
        <v>679</v>
      </c>
      <c r="F130" s="2" t="str">
        <f>"059097050X"</f>
        <v>059097050X</v>
      </c>
      <c r="G130" s="2" t="str">
        <f>"9780590970501"</f>
        <v>9780590970501</v>
      </c>
      <c r="H130" s="1" t="s">
        <v>50</v>
      </c>
      <c r="I130" s="1" t="s">
        <v>36</v>
      </c>
      <c r="J130" s="1">
        <v>0.0</v>
      </c>
      <c r="K130" s="1">
        <v>1998.0</v>
      </c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 t="s">
        <v>55</v>
      </c>
      <c r="Y130" s="1" t="s">
        <v>680</v>
      </c>
    </row>
    <row r="131">
      <c r="A131" s="1">
        <v>1.28047568E8</v>
      </c>
      <c r="B131" s="1" t="s">
        <v>681</v>
      </c>
      <c r="C131" s="1" t="s">
        <v>682</v>
      </c>
      <c r="D131" s="1" t="s">
        <v>683</v>
      </c>
      <c r="F131" s="2" t="str">
        <f t="shared" ref="F131:G131" si="63">""</f>
        <v/>
      </c>
      <c r="G131" s="2" t="str">
        <f t="shared" si="63"/>
        <v/>
      </c>
      <c r="H131" s="1" t="s">
        <v>50</v>
      </c>
      <c r="I131" s="1" t="s">
        <v>36</v>
      </c>
      <c r="J131" s="1">
        <v>0.0</v>
      </c>
      <c r="K131" s="1">
        <v>1994.0</v>
      </c>
      <c r="L131" s="1">
        <v>1994.0</v>
      </c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 t="s">
        <v>684</v>
      </c>
      <c r="Y131" s="1" t="s">
        <v>685</v>
      </c>
    </row>
    <row r="132">
      <c r="A132" s="1">
        <v>4.51896E7</v>
      </c>
      <c r="B132" s="1" t="s">
        <v>686</v>
      </c>
      <c r="C132" s="1" t="s">
        <v>687</v>
      </c>
      <c r="D132" s="1" t="s">
        <v>688</v>
      </c>
      <c r="F132" s="2" t="str">
        <f>"1933758163"</f>
        <v>1933758163</v>
      </c>
      <c r="G132" s="2" t="str">
        <f>"9781933758169"</f>
        <v>9781933758169</v>
      </c>
      <c r="I132" s="1" t="s">
        <v>36</v>
      </c>
      <c r="J132" s="1">
        <v>0.0</v>
      </c>
      <c r="K132" s="1">
        <v>2007.0</v>
      </c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 t="s">
        <v>629</v>
      </c>
      <c r="Y132" s="1" t="s">
        <v>689</v>
      </c>
    </row>
    <row r="133">
      <c r="A133" s="1">
        <v>4.9016321E7</v>
      </c>
      <c r="B133" s="1" t="s">
        <v>690</v>
      </c>
      <c r="C133" s="1" t="s">
        <v>691</v>
      </c>
      <c r="D133" s="1" t="s">
        <v>692</v>
      </c>
      <c r="F133" s="2" t="str">
        <f>"1786170981"</f>
        <v>1786170981</v>
      </c>
      <c r="G133" s="2" t="str">
        <f>"9781786170989"</f>
        <v>9781786170989</v>
      </c>
      <c r="H133" s="1" t="s">
        <v>693</v>
      </c>
      <c r="I133" s="1" t="s">
        <v>36</v>
      </c>
      <c r="J133" s="1">
        <v>0.0</v>
      </c>
      <c r="K133" s="1">
        <v>2012.0</v>
      </c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 t="s">
        <v>74</v>
      </c>
      <c r="Y133" s="1" t="s">
        <v>694</v>
      </c>
    </row>
    <row r="134">
      <c r="A134" s="1">
        <v>1.63585037E8</v>
      </c>
      <c r="B134" s="1" t="s">
        <v>695</v>
      </c>
      <c r="C134" s="1" t="s">
        <v>696</v>
      </c>
      <c r="D134" s="1" t="s">
        <v>697</v>
      </c>
      <c r="F134" s="2" t="str">
        <f t="shared" ref="F134:G134" si="64">""</f>
        <v/>
      </c>
      <c r="G134" s="2" t="str">
        <f t="shared" si="64"/>
        <v/>
      </c>
      <c r="H134" s="1" t="s">
        <v>698</v>
      </c>
      <c r="I134" s="1" t="s">
        <v>36</v>
      </c>
      <c r="J134" s="1">
        <v>0.0</v>
      </c>
      <c r="L134" s="1">
        <v>2004.0</v>
      </c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 t="s">
        <v>83</v>
      </c>
      <c r="Y134" s="1" t="s">
        <v>699</v>
      </c>
    </row>
    <row r="135">
      <c r="A135" s="1">
        <v>3.6608428E7</v>
      </c>
      <c r="B135" s="1" t="s">
        <v>700</v>
      </c>
      <c r="C135" s="1" t="s">
        <v>701</v>
      </c>
      <c r="D135" s="1" t="s">
        <v>702</v>
      </c>
      <c r="F135" s="2" t="str">
        <f>"0590971220"</f>
        <v>0590971220</v>
      </c>
      <c r="G135" s="2" t="str">
        <f>"9780590971225"</f>
        <v>9780590971225</v>
      </c>
      <c r="H135" s="1" t="s">
        <v>50</v>
      </c>
      <c r="I135" s="1" t="s">
        <v>36</v>
      </c>
      <c r="J135" s="1">
        <v>0.0</v>
      </c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 t="s">
        <v>55</v>
      </c>
      <c r="Y135" s="1" t="s">
        <v>703</v>
      </c>
    </row>
    <row r="136">
      <c r="A136" s="1">
        <v>2.5998065E7</v>
      </c>
      <c r="B136" s="1" t="s">
        <v>704</v>
      </c>
      <c r="C136" s="1" t="s">
        <v>701</v>
      </c>
      <c r="D136" s="1" t="s">
        <v>702</v>
      </c>
      <c r="E136" s="1" t="s">
        <v>705</v>
      </c>
      <c r="F136" s="2" t="str">
        <f>"0590970550"</f>
        <v>0590970550</v>
      </c>
      <c r="G136" s="2" t="str">
        <f>"9780590970556"</f>
        <v>9780590970556</v>
      </c>
      <c r="H136" s="1" t="s">
        <v>50</v>
      </c>
      <c r="I136" s="1" t="s">
        <v>36</v>
      </c>
      <c r="J136" s="1">
        <v>0.0</v>
      </c>
      <c r="K136" s="1">
        <v>1998.0</v>
      </c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 t="s">
        <v>55</v>
      </c>
      <c r="Y136" s="1" t="s">
        <v>706</v>
      </c>
    </row>
    <row r="137">
      <c r="A137" s="1">
        <v>4.1029062E7</v>
      </c>
      <c r="B137" s="1" t="s">
        <v>707</v>
      </c>
      <c r="C137" s="1" t="s">
        <v>708</v>
      </c>
      <c r="D137" s="1" t="s">
        <v>709</v>
      </c>
      <c r="E137" s="1" t="s">
        <v>710</v>
      </c>
      <c r="F137" s="2" t="str">
        <f>"1338047728"</f>
        <v>1338047728</v>
      </c>
      <c r="G137" s="2" t="str">
        <f>"9781338047721"</f>
        <v>9781338047721</v>
      </c>
      <c r="I137" s="1" t="s">
        <v>36</v>
      </c>
      <c r="J137" s="1">
        <v>0.0</v>
      </c>
      <c r="K137" s="1">
        <v>2016.0</v>
      </c>
      <c r="L137" s="1">
        <v>2015.0</v>
      </c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 t="s">
        <v>61</v>
      </c>
      <c r="Y137" s="1" t="s">
        <v>711</v>
      </c>
    </row>
    <row r="138">
      <c r="A138" s="1">
        <v>1.3011577E7</v>
      </c>
      <c r="B138" s="1" t="s">
        <v>712</v>
      </c>
      <c r="C138" s="1" t="s">
        <v>713</v>
      </c>
      <c r="D138" s="1" t="s">
        <v>714</v>
      </c>
      <c r="F138" s="2" t="str">
        <f>"8420430269"</f>
        <v>8420430269</v>
      </c>
      <c r="G138" s="2" t="str">
        <f>"9788420430263"</f>
        <v>9788420430263</v>
      </c>
      <c r="H138" s="1" t="s">
        <v>715</v>
      </c>
      <c r="I138" s="1" t="s">
        <v>36</v>
      </c>
      <c r="J138" s="1">
        <v>0.0</v>
      </c>
      <c r="K138" s="1">
        <v>1984.0</v>
      </c>
      <c r="L138" s="1">
        <v>1970.0</v>
      </c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 t="s">
        <v>716</v>
      </c>
      <c r="Y138" s="1" t="s">
        <v>717</v>
      </c>
    </row>
    <row r="139">
      <c r="A139" s="1">
        <v>2.5998286E7</v>
      </c>
      <c r="B139" s="1" t="s">
        <v>718</v>
      </c>
      <c r="C139" s="1" t="s">
        <v>719</v>
      </c>
      <c r="D139" s="1" t="s">
        <v>720</v>
      </c>
      <c r="E139" s="1" t="s">
        <v>721</v>
      </c>
      <c r="F139" s="2" t="str">
        <f>"0590970526"</f>
        <v>0590970526</v>
      </c>
      <c r="G139" s="2" t="str">
        <f>"9780590970525"</f>
        <v>9780590970525</v>
      </c>
      <c r="H139" s="1" t="s">
        <v>50</v>
      </c>
      <c r="I139" s="1" t="s">
        <v>36</v>
      </c>
      <c r="J139" s="1">
        <v>0.0</v>
      </c>
      <c r="K139" s="1">
        <v>1998.0</v>
      </c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 t="s">
        <v>55</v>
      </c>
      <c r="Y139" s="1" t="s">
        <v>722</v>
      </c>
    </row>
    <row r="140">
      <c r="A140" s="1">
        <v>1.57068457E8</v>
      </c>
      <c r="B140" s="1" t="s">
        <v>723</v>
      </c>
      <c r="C140" s="1" t="s">
        <v>724</v>
      </c>
      <c r="D140" s="1" t="s">
        <v>725</v>
      </c>
      <c r="F140" s="2" t="str">
        <f t="shared" ref="F140:G140" si="65">""</f>
        <v/>
      </c>
      <c r="G140" s="2" t="str">
        <f t="shared" si="65"/>
        <v/>
      </c>
      <c r="H140" s="1" t="s">
        <v>726</v>
      </c>
      <c r="I140" s="1" t="s">
        <v>31</v>
      </c>
      <c r="J140" s="1">
        <v>0.0</v>
      </c>
      <c r="K140" s="1">
        <v>1676.0</v>
      </c>
      <c r="L140" s="1">
        <v>2011.0</v>
      </c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 t="s">
        <v>727</v>
      </c>
      <c r="Y140" s="1" t="s">
        <v>728</v>
      </c>
    </row>
    <row r="141">
      <c r="A141" s="1">
        <v>1.57242952E8</v>
      </c>
      <c r="B141" s="1" t="s">
        <v>729</v>
      </c>
      <c r="C141" s="1" t="s">
        <v>724</v>
      </c>
      <c r="D141" s="1" t="s">
        <v>725</v>
      </c>
      <c r="F141" s="2" t="str">
        <f t="shared" ref="F141:G141" si="66">""</f>
        <v/>
      </c>
      <c r="G141" s="2" t="str">
        <f t="shared" si="66"/>
        <v/>
      </c>
      <c r="H141" s="1" t="s">
        <v>730</v>
      </c>
      <c r="I141" s="1" t="s">
        <v>108</v>
      </c>
      <c r="J141" s="1">
        <v>0.0</v>
      </c>
      <c r="L141" s="1">
        <v>2013.0</v>
      </c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 t="s">
        <v>727</v>
      </c>
      <c r="Y141" s="1" t="s">
        <v>731</v>
      </c>
    </row>
    <row r="142">
      <c r="A142" s="1">
        <v>6.3392587E7</v>
      </c>
      <c r="B142" s="1" t="s">
        <v>732</v>
      </c>
      <c r="C142" s="1" t="s">
        <v>733</v>
      </c>
      <c r="D142" s="1" t="s">
        <v>734</v>
      </c>
      <c r="E142" s="1" t="s">
        <v>735</v>
      </c>
      <c r="F142" s="2" t="str">
        <f>"0600572862"</f>
        <v>0600572862</v>
      </c>
      <c r="G142" s="2" t="str">
        <f>"9780600572862"</f>
        <v>9780600572862</v>
      </c>
      <c r="H142" s="1" t="s">
        <v>736</v>
      </c>
      <c r="I142" s="1" t="s">
        <v>36</v>
      </c>
      <c r="J142" s="1">
        <v>0.0</v>
      </c>
      <c r="K142" s="1">
        <v>1991.0</v>
      </c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 t="s">
        <v>452</v>
      </c>
      <c r="Y142" s="1" t="s">
        <v>737</v>
      </c>
    </row>
    <row r="143">
      <c r="A143" s="1">
        <v>1.29550402E8</v>
      </c>
      <c r="B143" s="1" t="s">
        <v>738</v>
      </c>
      <c r="C143" s="1" t="s">
        <v>739</v>
      </c>
      <c r="D143" s="1" t="s">
        <v>740</v>
      </c>
      <c r="F143" s="2" t="str">
        <f t="shared" ref="F143:G143" si="67">""</f>
        <v/>
      </c>
      <c r="G143" s="2" t="str">
        <f t="shared" si="67"/>
        <v/>
      </c>
      <c r="H143" s="1" t="s">
        <v>741</v>
      </c>
      <c r="I143" s="1" t="s">
        <v>31</v>
      </c>
      <c r="J143" s="1">
        <v>0.0</v>
      </c>
      <c r="L143" s="1">
        <v>1998.0</v>
      </c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 t="s">
        <v>742</v>
      </c>
      <c r="Y143" s="1" t="s">
        <v>743</v>
      </c>
    </row>
    <row r="144">
      <c r="A144" s="1">
        <v>4765250.0</v>
      </c>
      <c r="B144" s="1" t="s">
        <v>744</v>
      </c>
      <c r="C144" s="1" t="s">
        <v>149</v>
      </c>
      <c r="D144" s="1" t="s">
        <v>150</v>
      </c>
      <c r="F144" s="2" t="str">
        <f>"0439473926"</f>
        <v>0439473926</v>
      </c>
      <c r="G144" s="2" t="str">
        <f>"9780439473927"</f>
        <v>9780439473927</v>
      </c>
      <c r="H144" s="1" t="s">
        <v>624</v>
      </c>
      <c r="I144" s="1" t="s">
        <v>36</v>
      </c>
      <c r="J144" s="1">
        <v>1.0</v>
      </c>
      <c r="K144" s="1">
        <v>2003.0</v>
      </c>
      <c r="L144" s="1">
        <v>2003.0</v>
      </c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 t="s">
        <v>96</v>
      </c>
      <c r="Y144" s="1" t="s">
        <v>745</v>
      </c>
    </row>
    <row r="145">
      <c r="A145" s="1">
        <v>1.5268766E7</v>
      </c>
      <c r="B145" s="1" t="s">
        <v>746</v>
      </c>
      <c r="C145" s="1" t="s">
        <v>747</v>
      </c>
      <c r="D145" s="1" t="s">
        <v>748</v>
      </c>
      <c r="F145" s="2" t="str">
        <f>"0606074694"</f>
        <v>0606074694</v>
      </c>
      <c r="G145" s="2" t="str">
        <f>"9780606074698"</f>
        <v>9780606074698</v>
      </c>
      <c r="H145" s="1" t="s">
        <v>274</v>
      </c>
      <c r="I145" s="1" t="s">
        <v>91</v>
      </c>
      <c r="J145" s="1">
        <v>1.0</v>
      </c>
      <c r="K145" s="1">
        <v>1995.0</v>
      </c>
      <c r="L145" s="1">
        <v>1995.0</v>
      </c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 t="s">
        <v>92</v>
      </c>
      <c r="Y145" s="1" t="s">
        <v>749</v>
      </c>
    </row>
    <row r="146">
      <c r="A146" s="1">
        <v>1396419.0</v>
      </c>
      <c r="B146" s="1" t="s">
        <v>750</v>
      </c>
      <c r="C146" s="1" t="s">
        <v>751</v>
      </c>
      <c r="D146" s="1" t="s">
        <v>752</v>
      </c>
      <c r="F146" s="2" t="str">
        <f>"0525445579"</f>
        <v>0525445579</v>
      </c>
      <c r="G146" s="2" t="str">
        <f>"9780525445579"</f>
        <v>9780525445579</v>
      </c>
      <c r="H146" s="1" t="s">
        <v>753</v>
      </c>
      <c r="I146" s="1" t="s">
        <v>36</v>
      </c>
      <c r="J146" s="1">
        <v>1.0</v>
      </c>
      <c r="K146" s="1">
        <v>1990.0</v>
      </c>
      <c r="L146" s="1">
        <v>1986.0</v>
      </c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 t="s">
        <v>754</v>
      </c>
      <c r="Y146" s="1" t="s">
        <v>755</v>
      </c>
    </row>
    <row r="147">
      <c r="A147" s="1">
        <v>3313233.0</v>
      </c>
      <c r="B147" s="1" t="s">
        <v>756</v>
      </c>
      <c r="C147" s="1" t="s">
        <v>757</v>
      </c>
      <c r="D147" s="1" t="s">
        <v>758</v>
      </c>
      <c r="F147" s="2" t="str">
        <f>"0803704577"</f>
        <v>0803704577</v>
      </c>
      <c r="G147" s="2" t="str">
        <f>"9780803704572"</f>
        <v>9780803704572</v>
      </c>
      <c r="H147" s="1" t="s">
        <v>753</v>
      </c>
      <c r="I147" s="1" t="s">
        <v>36</v>
      </c>
      <c r="J147" s="1">
        <v>1.0</v>
      </c>
      <c r="K147" s="1">
        <v>1987.0</v>
      </c>
      <c r="L147" s="1">
        <v>1976.0</v>
      </c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 t="s">
        <v>37</v>
      </c>
      <c r="Y147" s="1" t="s">
        <v>759</v>
      </c>
    </row>
    <row r="148">
      <c r="A148" s="1">
        <v>3.6244205E7</v>
      </c>
      <c r="B148" s="1" t="s">
        <v>760</v>
      </c>
      <c r="C148" s="1" t="s">
        <v>204</v>
      </c>
      <c r="D148" s="1" t="s">
        <v>205</v>
      </c>
      <c r="F148" s="2" t="str">
        <f>"0545257638"</f>
        <v>0545257638</v>
      </c>
      <c r="G148" s="2" t="str">
        <f>"9780545414272"</f>
        <v>9780545414272</v>
      </c>
      <c r="H148" s="1" t="s">
        <v>761</v>
      </c>
      <c r="I148" s="1" t="s">
        <v>238</v>
      </c>
      <c r="J148" s="1">
        <v>5.0</v>
      </c>
      <c r="K148" s="1">
        <v>2010.0</v>
      </c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 t="s">
        <v>329</v>
      </c>
      <c r="Y148" s="1" t="s">
        <v>762</v>
      </c>
    </row>
    <row r="149">
      <c r="A149" s="1">
        <v>2.8763893E7</v>
      </c>
      <c r="B149" s="1" t="s">
        <v>763</v>
      </c>
      <c r="C149" s="1" t="s">
        <v>204</v>
      </c>
      <c r="D149" s="1" t="s">
        <v>205</v>
      </c>
      <c r="F149" s="2" t="str">
        <f>"0545414148"</f>
        <v>0545414148</v>
      </c>
      <c r="G149" s="2" t="str">
        <f>"9780545414142"</f>
        <v>9780545414142</v>
      </c>
      <c r="H149" s="1" t="s">
        <v>761</v>
      </c>
      <c r="I149" s="1" t="s">
        <v>238</v>
      </c>
      <c r="J149" s="1">
        <v>5.0</v>
      </c>
      <c r="K149" s="1">
        <v>2010.0</v>
      </c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 t="s">
        <v>329</v>
      </c>
      <c r="Y149" s="1" t="s">
        <v>764</v>
      </c>
    </row>
    <row r="150">
      <c r="A150" s="1">
        <v>1.9467428E7</v>
      </c>
      <c r="B150" s="1" t="s">
        <v>765</v>
      </c>
      <c r="C150" s="1" t="s">
        <v>204</v>
      </c>
      <c r="D150" s="1" t="s">
        <v>205</v>
      </c>
      <c r="F150" s="2" t="str">
        <f>"0545414164"</f>
        <v>0545414164</v>
      </c>
      <c r="G150" s="2" t="str">
        <f>"9780545414166"</f>
        <v>9780545414166</v>
      </c>
      <c r="H150" s="1" t="s">
        <v>761</v>
      </c>
      <c r="I150" s="1" t="s">
        <v>238</v>
      </c>
      <c r="J150" s="1">
        <v>5.0</v>
      </c>
      <c r="K150" s="1">
        <v>2010.0</v>
      </c>
      <c r="L150" s="1">
        <v>2005.0</v>
      </c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 t="s">
        <v>51</v>
      </c>
      <c r="Y150" s="1" t="s">
        <v>766</v>
      </c>
    </row>
    <row r="151">
      <c r="A151" s="1">
        <v>2.9608525E7</v>
      </c>
      <c r="B151" s="1" t="s">
        <v>767</v>
      </c>
      <c r="C151" s="1" t="s">
        <v>204</v>
      </c>
      <c r="D151" s="1" t="s">
        <v>205</v>
      </c>
      <c r="F151" s="2" t="str">
        <f>"0545257611"</f>
        <v>0545257611</v>
      </c>
      <c r="G151" s="2" t="str">
        <f>"9780545414296"</f>
        <v>9780545414296</v>
      </c>
      <c r="H151" s="1" t="s">
        <v>761</v>
      </c>
      <c r="I151" s="1" t="s">
        <v>238</v>
      </c>
      <c r="J151" s="1">
        <v>5.0</v>
      </c>
      <c r="K151" s="1">
        <v>2010.0</v>
      </c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 t="s">
        <v>51</v>
      </c>
      <c r="Y151" s="1" t="s">
        <v>768</v>
      </c>
    </row>
    <row r="152">
      <c r="A152" s="1">
        <v>2.4298129E7</v>
      </c>
      <c r="B152" s="1" t="s">
        <v>769</v>
      </c>
      <c r="C152" s="1" t="s">
        <v>204</v>
      </c>
      <c r="D152" s="1" t="s">
        <v>205</v>
      </c>
      <c r="F152" s="2" t="str">
        <f>"0545414067"</f>
        <v>0545414067</v>
      </c>
      <c r="G152" s="2" t="str">
        <f>"9780545414067"</f>
        <v>9780545414067</v>
      </c>
      <c r="H152" s="1" t="s">
        <v>761</v>
      </c>
      <c r="I152" s="1" t="s">
        <v>238</v>
      </c>
      <c r="J152" s="1">
        <v>5.0</v>
      </c>
      <c r="K152" s="1">
        <v>2010.0</v>
      </c>
      <c r="L152" s="1">
        <v>2010.0</v>
      </c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 t="s">
        <v>51</v>
      </c>
      <c r="Y152" s="1" t="s">
        <v>770</v>
      </c>
    </row>
    <row r="153">
      <c r="A153" s="1">
        <v>2.8763882E7</v>
      </c>
      <c r="B153" s="1" t="s">
        <v>771</v>
      </c>
      <c r="C153" s="1" t="s">
        <v>204</v>
      </c>
      <c r="D153" s="1" t="s">
        <v>205</v>
      </c>
      <c r="F153" s="2" t="str">
        <f>"0545414210"</f>
        <v>0545414210</v>
      </c>
      <c r="G153" s="2" t="str">
        <f>"9780545414210"</f>
        <v>9780545414210</v>
      </c>
      <c r="H153" s="1" t="s">
        <v>761</v>
      </c>
      <c r="I153" s="1" t="s">
        <v>238</v>
      </c>
      <c r="J153" s="1">
        <v>5.0</v>
      </c>
      <c r="K153" s="1">
        <v>2010.0</v>
      </c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 t="s">
        <v>51</v>
      </c>
      <c r="Y153" s="1" t="s">
        <v>772</v>
      </c>
    </row>
    <row r="154">
      <c r="A154" s="1">
        <v>2.8259988E7</v>
      </c>
      <c r="B154" s="1" t="s">
        <v>773</v>
      </c>
      <c r="C154" s="1" t="s">
        <v>204</v>
      </c>
      <c r="D154" s="1" t="s">
        <v>205</v>
      </c>
      <c r="F154" s="2" t="str">
        <f>"0545414091"</f>
        <v>0545414091</v>
      </c>
      <c r="G154" s="2" t="str">
        <f>"9780545414098"</f>
        <v>9780545414098</v>
      </c>
      <c r="H154" s="1" t="s">
        <v>761</v>
      </c>
      <c r="I154" s="1" t="s">
        <v>238</v>
      </c>
      <c r="J154" s="1">
        <v>5.0</v>
      </c>
      <c r="K154" s="1">
        <v>2010.0</v>
      </c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 t="s">
        <v>51</v>
      </c>
      <c r="Y154" s="1" t="s">
        <v>774</v>
      </c>
    </row>
    <row r="155">
      <c r="A155" s="1">
        <v>5.1782602E7</v>
      </c>
      <c r="B155" s="1" t="s">
        <v>775</v>
      </c>
      <c r="C155" s="1" t="s">
        <v>776</v>
      </c>
      <c r="D155" s="1" t="s">
        <v>777</v>
      </c>
      <c r="F155" s="2" t="str">
        <f>"1760405574"</f>
        <v>1760405574</v>
      </c>
      <c r="G155" s="2" t="str">
        <f>"9781760405571"</f>
        <v>9781760405571</v>
      </c>
      <c r="H155" s="1" t="s">
        <v>778</v>
      </c>
      <c r="I155" s="1" t="s">
        <v>779</v>
      </c>
      <c r="J155" s="1">
        <v>7.0</v>
      </c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 t="s">
        <v>780</v>
      </c>
      <c r="Y155" s="1" t="s">
        <v>781</v>
      </c>
    </row>
    <row r="156">
      <c r="A156" s="1">
        <v>2.5998237E7</v>
      </c>
      <c r="B156" s="1" t="s">
        <v>782</v>
      </c>
      <c r="C156" s="1" t="s">
        <v>783</v>
      </c>
      <c r="D156" s="1" t="s">
        <v>784</v>
      </c>
      <c r="E156" s="1" t="s">
        <v>785</v>
      </c>
      <c r="F156" s="2" t="str">
        <f>"0590625950"</f>
        <v>0590625950</v>
      </c>
      <c r="G156" s="2" t="str">
        <f>"9780590625951"</f>
        <v>9780590625951</v>
      </c>
      <c r="H156" s="1" t="s">
        <v>50</v>
      </c>
      <c r="I156" s="1" t="s">
        <v>36</v>
      </c>
      <c r="J156" s="1">
        <v>8.0</v>
      </c>
      <c r="K156" s="1">
        <v>1998.0</v>
      </c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 t="s">
        <v>55</v>
      </c>
      <c r="Y156" s="1" t="s">
        <v>786</v>
      </c>
    </row>
    <row r="157">
      <c r="A157" s="1">
        <v>1.249562E7</v>
      </c>
      <c r="B157" s="1" t="s">
        <v>787</v>
      </c>
      <c r="C157" s="1" t="s">
        <v>788</v>
      </c>
      <c r="D157" s="1" t="s">
        <v>789</v>
      </c>
      <c r="E157" s="1" t="s">
        <v>790</v>
      </c>
      <c r="F157" s="2" t="str">
        <f>"0439511771"</f>
        <v>0439511771</v>
      </c>
      <c r="G157" s="2" t="str">
        <f>"9780439511773"</f>
        <v>9780439511773</v>
      </c>
      <c r="H157" s="1" t="s">
        <v>791</v>
      </c>
      <c r="I157" s="1" t="s">
        <v>36</v>
      </c>
      <c r="J157" s="1">
        <v>8.0</v>
      </c>
      <c r="K157" s="1">
        <v>2003.0</v>
      </c>
      <c r="L157" s="1">
        <v>2003.0</v>
      </c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 t="s">
        <v>51</v>
      </c>
      <c r="Y157" s="1" t="s">
        <v>792</v>
      </c>
    </row>
    <row r="158">
      <c r="A158" s="1">
        <v>1.2124756E7</v>
      </c>
      <c r="B158" s="1" t="s">
        <v>793</v>
      </c>
      <c r="C158" s="1" t="s">
        <v>788</v>
      </c>
      <c r="D158" s="1" t="s">
        <v>789</v>
      </c>
      <c r="F158" s="2" t="str">
        <f>"0439511712"</f>
        <v>0439511712</v>
      </c>
      <c r="G158" s="2" t="str">
        <f>"9780439511711"</f>
        <v>9780439511711</v>
      </c>
      <c r="H158" s="1" t="s">
        <v>791</v>
      </c>
      <c r="I158" s="1" t="s">
        <v>36</v>
      </c>
      <c r="J158" s="1">
        <v>8.0</v>
      </c>
      <c r="K158" s="1">
        <v>2003.0</v>
      </c>
      <c r="L158" s="1">
        <v>2003.0</v>
      </c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 t="s">
        <v>794</v>
      </c>
      <c r="Y158" s="1" t="s">
        <v>795</v>
      </c>
    </row>
    <row r="159">
      <c r="A159" s="1">
        <v>8013393.0</v>
      </c>
      <c r="B159" s="1" t="s">
        <v>796</v>
      </c>
      <c r="C159" s="1" t="s">
        <v>788</v>
      </c>
      <c r="D159" s="1" t="s">
        <v>789</v>
      </c>
      <c r="E159" s="1" t="s">
        <v>797</v>
      </c>
      <c r="F159" s="2" t="str">
        <f>"0439511747"</f>
        <v>0439511747</v>
      </c>
      <c r="G159" s="2" t="str">
        <f>"9780439511742"</f>
        <v>9780439511742</v>
      </c>
      <c r="H159" s="1" t="s">
        <v>791</v>
      </c>
      <c r="I159" s="1" t="s">
        <v>36</v>
      </c>
      <c r="J159" s="1">
        <v>8.0</v>
      </c>
      <c r="K159" s="1">
        <v>2003.0</v>
      </c>
      <c r="L159" s="1">
        <v>2003.0</v>
      </c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 t="s">
        <v>329</v>
      </c>
      <c r="Y159" s="1" t="s">
        <v>798</v>
      </c>
    </row>
    <row r="160">
      <c r="A160" s="1">
        <v>8472675.0</v>
      </c>
      <c r="B160" s="1" t="s">
        <v>799</v>
      </c>
      <c r="C160" s="1" t="s">
        <v>788</v>
      </c>
      <c r="D160" s="1" t="s">
        <v>789</v>
      </c>
      <c r="F160" s="2" t="str">
        <f>"0439511577"</f>
        <v>0439511577</v>
      </c>
      <c r="G160" s="2" t="str">
        <f>"9780439511575"</f>
        <v>9780439511575</v>
      </c>
      <c r="H160" s="1" t="s">
        <v>791</v>
      </c>
      <c r="I160" s="1" t="s">
        <v>36</v>
      </c>
      <c r="J160" s="1">
        <v>8.0</v>
      </c>
      <c r="K160" s="1">
        <v>2003.0</v>
      </c>
      <c r="L160" s="1">
        <v>2003.0</v>
      </c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 t="s">
        <v>51</v>
      </c>
      <c r="Y160" s="1" t="s">
        <v>800</v>
      </c>
    </row>
    <row r="161">
      <c r="A161" s="1">
        <v>1.2124757E7</v>
      </c>
      <c r="B161" s="1" t="s">
        <v>801</v>
      </c>
      <c r="C161" s="1" t="s">
        <v>788</v>
      </c>
      <c r="D161" s="1" t="s">
        <v>789</v>
      </c>
      <c r="F161" s="2" t="str">
        <f>"0439511666"</f>
        <v>0439511666</v>
      </c>
      <c r="G161" s="2" t="str">
        <f>"9780439511667"</f>
        <v>9780439511667</v>
      </c>
      <c r="H161" s="1" t="s">
        <v>791</v>
      </c>
      <c r="I161" s="1" t="s">
        <v>36</v>
      </c>
      <c r="J161" s="1">
        <v>8.0</v>
      </c>
      <c r="K161" s="1">
        <v>2003.0</v>
      </c>
      <c r="L161" s="1">
        <v>2003.0</v>
      </c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 t="s">
        <v>51</v>
      </c>
      <c r="Y161" s="1" t="s">
        <v>802</v>
      </c>
    </row>
    <row r="162">
      <c r="A162" s="1">
        <v>8043856.0</v>
      </c>
      <c r="B162" s="1" t="s">
        <v>803</v>
      </c>
      <c r="C162" s="1" t="s">
        <v>788</v>
      </c>
      <c r="D162" s="1" t="s">
        <v>789</v>
      </c>
      <c r="E162" s="1" t="s">
        <v>804</v>
      </c>
      <c r="F162" s="2" t="str">
        <f>"0439511690"</f>
        <v>0439511690</v>
      </c>
      <c r="G162" s="2" t="str">
        <f>"9780439511698"</f>
        <v>9780439511698</v>
      </c>
      <c r="H162" s="1" t="s">
        <v>791</v>
      </c>
      <c r="I162" s="1" t="s">
        <v>36</v>
      </c>
      <c r="J162" s="1">
        <v>8.0</v>
      </c>
      <c r="K162" s="1">
        <v>2003.0</v>
      </c>
      <c r="L162" s="1">
        <v>2003.0</v>
      </c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 t="s">
        <v>51</v>
      </c>
      <c r="Y162" s="1" t="s">
        <v>805</v>
      </c>
    </row>
    <row r="163">
      <c r="A163" s="1">
        <v>8472679.0</v>
      </c>
      <c r="B163" s="1" t="s">
        <v>806</v>
      </c>
      <c r="C163" s="1" t="s">
        <v>788</v>
      </c>
      <c r="D163" s="1" t="s">
        <v>789</v>
      </c>
      <c r="F163" s="2" t="str">
        <f>"0439511623"</f>
        <v>0439511623</v>
      </c>
      <c r="G163" s="2" t="str">
        <f>"9780439511629"</f>
        <v>9780439511629</v>
      </c>
      <c r="H163" s="1" t="s">
        <v>791</v>
      </c>
      <c r="I163" s="1" t="s">
        <v>36</v>
      </c>
      <c r="J163" s="1">
        <v>8.0</v>
      </c>
      <c r="K163" s="1">
        <v>2003.0</v>
      </c>
      <c r="L163" s="1">
        <v>2003.0</v>
      </c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 t="s">
        <v>51</v>
      </c>
      <c r="Y163" s="1" t="s">
        <v>807</v>
      </c>
    </row>
    <row r="164">
      <c r="A164" s="1">
        <v>8472681.0</v>
      </c>
      <c r="B164" s="1" t="s">
        <v>808</v>
      </c>
      <c r="C164" s="1" t="s">
        <v>788</v>
      </c>
      <c r="D164" s="1" t="s">
        <v>789</v>
      </c>
      <c r="F164" s="2" t="str">
        <f>"0439511739"</f>
        <v>0439511739</v>
      </c>
      <c r="G164" s="2" t="str">
        <f>"9780439511735"</f>
        <v>9780439511735</v>
      </c>
      <c r="H164" s="1" t="s">
        <v>791</v>
      </c>
      <c r="I164" s="1" t="s">
        <v>36</v>
      </c>
      <c r="J164" s="1">
        <v>8.0</v>
      </c>
      <c r="K164" s="1">
        <v>2003.0</v>
      </c>
      <c r="L164" s="1">
        <v>2003.0</v>
      </c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 t="s">
        <v>51</v>
      </c>
      <c r="Y164" s="1" t="s">
        <v>809</v>
      </c>
    </row>
    <row r="165">
      <c r="A165" s="1">
        <v>5.2419577E7</v>
      </c>
      <c r="B165" s="1" t="s">
        <v>810</v>
      </c>
      <c r="C165" s="1" t="s">
        <v>811</v>
      </c>
      <c r="D165" s="1" t="s">
        <v>812</v>
      </c>
      <c r="F165" s="2" t="str">
        <f>"0545497124"</f>
        <v>0545497124</v>
      </c>
      <c r="G165" s="2" t="str">
        <f>"9780545497121"</f>
        <v>9780545497121</v>
      </c>
      <c r="H165" s="1" t="s">
        <v>50</v>
      </c>
      <c r="I165" s="1" t="s">
        <v>36</v>
      </c>
      <c r="J165" s="1">
        <v>8.0</v>
      </c>
      <c r="K165" s="1">
        <v>2012.0</v>
      </c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 t="s">
        <v>51</v>
      </c>
      <c r="Y165" s="1" t="s">
        <v>813</v>
      </c>
    </row>
    <row r="166">
      <c r="A166" s="1">
        <v>1.72301E7</v>
      </c>
      <c r="B166" s="1" t="s">
        <v>814</v>
      </c>
      <c r="C166" s="1" t="s">
        <v>815</v>
      </c>
      <c r="D166" s="1" t="s">
        <v>816</v>
      </c>
      <c r="F166" s="2" t="str">
        <f>"0545497191"</f>
        <v>0545497191</v>
      </c>
      <c r="G166" s="2" t="str">
        <f>"9780545497190"</f>
        <v>9780545497190</v>
      </c>
      <c r="H166" s="1" t="s">
        <v>817</v>
      </c>
      <c r="I166" s="1" t="s">
        <v>36</v>
      </c>
      <c r="J166" s="1">
        <v>8.0</v>
      </c>
      <c r="K166" s="1">
        <v>2012.0</v>
      </c>
      <c r="L166" s="1">
        <v>2012.0</v>
      </c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 t="s">
        <v>51</v>
      </c>
      <c r="Y166" s="1" t="s">
        <v>818</v>
      </c>
    </row>
    <row r="167">
      <c r="A167" s="1">
        <v>4.1829699E7</v>
      </c>
      <c r="B167" s="1" t="s">
        <v>819</v>
      </c>
      <c r="C167" s="1" t="s">
        <v>820</v>
      </c>
      <c r="D167" s="1" t="s">
        <v>821</v>
      </c>
      <c r="E167" s="1" t="s">
        <v>822</v>
      </c>
      <c r="F167" s="2" t="str">
        <f>"054526636X"</f>
        <v>054526636X</v>
      </c>
      <c r="G167" s="2" t="str">
        <f>"9780545266369"</f>
        <v>9780545266369</v>
      </c>
      <c r="H167" s="1" t="s">
        <v>50</v>
      </c>
      <c r="I167" s="1" t="s">
        <v>36</v>
      </c>
      <c r="J167" s="1">
        <v>8.0</v>
      </c>
      <c r="K167" s="1">
        <v>2011.0</v>
      </c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 t="s">
        <v>510</v>
      </c>
      <c r="Y167" s="1" t="s">
        <v>823</v>
      </c>
    </row>
    <row r="168">
      <c r="A168" s="1">
        <v>2.9454898E7</v>
      </c>
      <c r="B168" s="1" t="s">
        <v>824</v>
      </c>
      <c r="C168" s="1" t="s">
        <v>825</v>
      </c>
      <c r="D168" s="1" t="s">
        <v>826</v>
      </c>
      <c r="F168" s="2" t="str">
        <f>"0545348102"</f>
        <v>0545348102</v>
      </c>
      <c r="G168" s="2" t="str">
        <f>"9780545348102"</f>
        <v>9780545348102</v>
      </c>
      <c r="H168" s="1" t="s">
        <v>50</v>
      </c>
      <c r="I168" s="1" t="s">
        <v>36</v>
      </c>
      <c r="J168" s="1">
        <v>8.0</v>
      </c>
      <c r="K168" s="1">
        <v>2011.0</v>
      </c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 t="s">
        <v>51</v>
      </c>
      <c r="Y168" s="1" t="s">
        <v>827</v>
      </c>
    </row>
    <row r="169">
      <c r="A169" s="1">
        <v>2.1802633E7</v>
      </c>
      <c r="B169" s="1" t="s">
        <v>828</v>
      </c>
      <c r="C169" s="1" t="s">
        <v>829</v>
      </c>
      <c r="D169" s="1" t="s">
        <v>830</v>
      </c>
      <c r="F169" s="2" t="str">
        <f>"0545459729"</f>
        <v>0545459729</v>
      </c>
      <c r="G169" s="2" t="str">
        <f>"9780545459723"</f>
        <v>9780545459723</v>
      </c>
      <c r="H169" s="1" t="s">
        <v>817</v>
      </c>
      <c r="I169" s="1" t="s">
        <v>36</v>
      </c>
      <c r="J169" s="1">
        <v>8.0</v>
      </c>
      <c r="K169" s="1">
        <v>2012.0</v>
      </c>
      <c r="L169" s="1">
        <v>2012.0</v>
      </c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 t="s">
        <v>51</v>
      </c>
      <c r="Y169" s="1" t="s">
        <v>831</v>
      </c>
    </row>
    <row r="170">
      <c r="A170" s="1">
        <v>8.8564408E7</v>
      </c>
      <c r="B170" s="1" t="s">
        <v>832</v>
      </c>
      <c r="C170" s="1" t="s">
        <v>833</v>
      </c>
      <c r="D170" s="1" t="s">
        <v>834</v>
      </c>
      <c r="F170" s="2" t="str">
        <f>"0545648440"</f>
        <v>0545648440</v>
      </c>
      <c r="G170" s="2" t="str">
        <f>"9780545648448"</f>
        <v>9780545648448</v>
      </c>
      <c r="H170" s="1" t="s">
        <v>50</v>
      </c>
      <c r="I170" s="1" t="s">
        <v>36</v>
      </c>
      <c r="J170" s="1">
        <v>8.0</v>
      </c>
      <c r="K170" s="1">
        <v>2014.0</v>
      </c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 t="s">
        <v>835</v>
      </c>
      <c r="Y170" s="1" t="s">
        <v>836</v>
      </c>
    </row>
    <row r="171">
      <c r="A171" s="1">
        <v>1.3677047E7</v>
      </c>
      <c r="B171" s="1" t="s">
        <v>837</v>
      </c>
      <c r="C171" s="1" t="s">
        <v>838</v>
      </c>
      <c r="D171" s="1" t="s">
        <v>839</v>
      </c>
      <c r="E171" s="1" t="s">
        <v>838</v>
      </c>
      <c r="F171" s="2" t="str">
        <f>"0153527633"</f>
        <v>0153527633</v>
      </c>
      <c r="G171" s="2" t="str">
        <f>"9780153527630"</f>
        <v>9780153527630</v>
      </c>
      <c r="H171" s="1" t="s">
        <v>840</v>
      </c>
      <c r="I171" s="1" t="s">
        <v>36</v>
      </c>
      <c r="J171" s="1">
        <v>8.0</v>
      </c>
      <c r="K171" s="1">
        <v>2005.0</v>
      </c>
      <c r="L171" s="1">
        <v>2005.0</v>
      </c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 t="s">
        <v>841</v>
      </c>
      <c r="Y171" s="1" t="s">
        <v>842</v>
      </c>
    </row>
    <row r="172">
      <c r="A172" s="1">
        <v>4.5318289E7</v>
      </c>
      <c r="B172" s="1" t="s">
        <v>843</v>
      </c>
      <c r="C172" s="1" t="s">
        <v>844</v>
      </c>
      <c r="D172" s="1" t="s">
        <v>845</v>
      </c>
      <c r="F172" s="2" t="str">
        <f t="shared" ref="F172:G172" si="68">""</f>
        <v/>
      </c>
      <c r="G172" s="2" t="str">
        <f t="shared" si="68"/>
        <v/>
      </c>
      <c r="H172" s="1" t="s">
        <v>846</v>
      </c>
      <c r="I172" s="1" t="s">
        <v>238</v>
      </c>
      <c r="J172" s="1">
        <v>9.0</v>
      </c>
      <c r="K172" s="1">
        <v>2018.0</v>
      </c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 t="s">
        <v>579</v>
      </c>
      <c r="Y172" s="1" t="s">
        <v>847</v>
      </c>
    </row>
    <row r="173">
      <c r="A173" s="1">
        <v>2.5745E7</v>
      </c>
      <c r="B173" s="1" t="s">
        <v>848</v>
      </c>
      <c r="C173" s="1" t="s">
        <v>849</v>
      </c>
      <c r="D173" s="1" t="s">
        <v>850</v>
      </c>
      <c r="F173" s="2" t="str">
        <f>"1484729498"</f>
        <v>1484729498</v>
      </c>
      <c r="G173" s="2" t="str">
        <f>"9781484729496"</f>
        <v>9781484729496</v>
      </c>
      <c r="H173" s="1" t="s">
        <v>851</v>
      </c>
      <c r="I173" s="1" t="s">
        <v>67</v>
      </c>
      <c r="J173" s="1">
        <v>10.0</v>
      </c>
      <c r="K173" s="1">
        <v>2016.0</v>
      </c>
      <c r="L173" s="1">
        <v>2016.0</v>
      </c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 t="s">
        <v>852</v>
      </c>
      <c r="Y173" s="1" t="s">
        <v>853</v>
      </c>
    </row>
    <row r="174">
      <c r="A174" s="1">
        <v>933237.0</v>
      </c>
      <c r="B174" s="1" t="s">
        <v>854</v>
      </c>
      <c r="C174" s="1" t="s">
        <v>855</v>
      </c>
      <c r="D174" s="1" t="s">
        <v>856</v>
      </c>
      <c r="F174" s="2" t="str">
        <f>"0590435493"</f>
        <v>0590435493</v>
      </c>
      <c r="G174" s="2" t="str">
        <f>"9780590435499"</f>
        <v>9780590435499</v>
      </c>
      <c r="H174" s="1" t="s">
        <v>857</v>
      </c>
      <c r="I174" s="1" t="s">
        <v>36</v>
      </c>
      <c r="J174" s="1">
        <v>10.0</v>
      </c>
      <c r="K174" s="1">
        <v>1992.0</v>
      </c>
      <c r="L174" s="1">
        <v>1990.0</v>
      </c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 t="s">
        <v>68</v>
      </c>
      <c r="Y174" s="1" t="s">
        <v>858</v>
      </c>
    </row>
    <row r="175">
      <c r="A175" s="1">
        <v>1.3539504E7</v>
      </c>
      <c r="B175" s="1" t="s">
        <v>859</v>
      </c>
      <c r="C175" s="1" t="s">
        <v>860</v>
      </c>
      <c r="D175" s="1" t="s">
        <v>861</v>
      </c>
      <c r="F175" s="2" t="str">
        <f>"0312515545"</f>
        <v>0312515545</v>
      </c>
      <c r="G175" s="2" t="str">
        <f>"9780312515546"</f>
        <v>9780312515546</v>
      </c>
      <c r="H175" s="1" t="s">
        <v>862</v>
      </c>
      <c r="I175" s="1" t="s">
        <v>67</v>
      </c>
      <c r="J175" s="1">
        <v>10.0</v>
      </c>
      <c r="K175" s="1">
        <v>2012.0</v>
      </c>
      <c r="L175" s="1">
        <v>2007.0</v>
      </c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 t="s">
        <v>863</v>
      </c>
      <c r="Y175" s="1" t="s">
        <v>864</v>
      </c>
    </row>
    <row r="176">
      <c r="A176" s="1">
        <v>1.25109E7</v>
      </c>
      <c r="B176" s="1" t="s">
        <v>865</v>
      </c>
      <c r="C176" s="1" t="s">
        <v>860</v>
      </c>
      <c r="D176" s="1" t="s">
        <v>861</v>
      </c>
      <c r="F176" s="2" t="str">
        <f>"0312514719"</f>
        <v>0312514719</v>
      </c>
      <c r="G176" s="2" t="str">
        <f>"9780312514716"</f>
        <v>9780312514716</v>
      </c>
      <c r="H176" s="1" t="s">
        <v>862</v>
      </c>
      <c r="I176" s="1" t="s">
        <v>31</v>
      </c>
      <c r="J176" s="1">
        <v>10.0</v>
      </c>
      <c r="K176" s="1">
        <v>2012.0</v>
      </c>
      <c r="L176" s="1">
        <v>2012.0</v>
      </c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 t="s">
        <v>863</v>
      </c>
      <c r="Y176" s="1" t="s">
        <v>866</v>
      </c>
    </row>
    <row r="177">
      <c r="A177" s="1">
        <v>1.7152406E7</v>
      </c>
      <c r="B177" s="1" t="s">
        <v>867</v>
      </c>
      <c r="C177" s="1" t="s">
        <v>868</v>
      </c>
      <c r="D177" s="1" t="s">
        <v>869</v>
      </c>
      <c r="F177" s="2" t="str">
        <f>"0794533337"</f>
        <v>0794533337</v>
      </c>
      <c r="G177" s="2" t="str">
        <f>"9780794533335"</f>
        <v>9780794533335</v>
      </c>
      <c r="H177" s="1" t="s">
        <v>870</v>
      </c>
      <c r="I177" s="1" t="s">
        <v>31</v>
      </c>
      <c r="J177" s="1">
        <v>10.0</v>
      </c>
      <c r="K177" s="1">
        <v>2013.0</v>
      </c>
      <c r="L177" s="1">
        <v>2012.0</v>
      </c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 t="s">
        <v>452</v>
      </c>
      <c r="Y177" s="1" t="s">
        <v>871</v>
      </c>
    </row>
    <row r="178">
      <c r="A178" s="1">
        <v>3.4742889E7</v>
      </c>
      <c r="B178" s="1" t="s">
        <v>872</v>
      </c>
      <c r="C178" s="1" t="s">
        <v>873</v>
      </c>
      <c r="D178" s="1" t="s">
        <v>874</v>
      </c>
      <c r="F178" s="2" t="str">
        <f t="shared" ref="F178:G178" si="69">""</f>
        <v/>
      </c>
      <c r="G178" s="2" t="str">
        <f t="shared" si="69"/>
        <v/>
      </c>
      <c r="H178" s="1" t="s">
        <v>875</v>
      </c>
      <c r="I178" s="1" t="s">
        <v>238</v>
      </c>
      <c r="J178" s="1">
        <v>11.0</v>
      </c>
      <c r="K178" s="1">
        <v>2016.0</v>
      </c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 t="s">
        <v>629</v>
      </c>
      <c r="Y178" s="1" t="s">
        <v>876</v>
      </c>
    </row>
    <row r="179">
      <c r="A179" s="1">
        <v>4.3442426E7</v>
      </c>
      <c r="B179" s="1" t="s">
        <v>877</v>
      </c>
      <c r="C179" s="1" t="s">
        <v>878</v>
      </c>
      <c r="D179" s="1" t="s">
        <v>879</v>
      </c>
      <c r="F179" s="2" t="str">
        <f>"1503736571"</f>
        <v>1503736571</v>
      </c>
      <c r="G179" s="2" t="str">
        <f>"9781503736573"</f>
        <v>9781503736573</v>
      </c>
      <c r="H179" s="1" t="s">
        <v>880</v>
      </c>
      <c r="I179" s="1" t="s">
        <v>31</v>
      </c>
      <c r="J179" s="1">
        <v>12.0</v>
      </c>
      <c r="K179" s="1">
        <v>2018.0</v>
      </c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 t="s">
        <v>239</v>
      </c>
      <c r="Y179" s="1" t="s">
        <v>881</v>
      </c>
    </row>
    <row r="180">
      <c r="A180" s="1">
        <v>8322963.0</v>
      </c>
      <c r="B180" s="1" t="s">
        <v>882</v>
      </c>
      <c r="C180" s="1" t="s">
        <v>883</v>
      </c>
      <c r="D180" s="1" t="s">
        <v>884</v>
      </c>
      <c r="F180" s="2" t="str">
        <f>"9580468826"</f>
        <v>9580468826</v>
      </c>
      <c r="G180" s="2" t="str">
        <f>"9789580468820"</f>
        <v>9789580468820</v>
      </c>
      <c r="H180" s="1" t="s">
        <v>885</v>
      </c>
      <c r="I180" s="1" t="s">
        <v>36</v>
      </c>
      <c r="J180" s="1">
        <v>12.0</v>
      </c>
      <c r="K180" s="1">
        <v>1992.0</v>
      </c>
      <c r="L180" s="1">
        <v>1992.0</v>
      </c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 t="s">
        <v>32</v>
      </c>
      <c r="Y180" s="1" t="s">
        <v>886</v>
      </c>
    </row>
    <row r="181">
      <c r="A181" s="1">
        <v>2.44883E7</v>
      </c>
      <c r="B181" s="1" t="s">
        <v>887</v>
      </c>
      <c r="C181" s="1" t="s">
        <v>888</v>
      </c>
      <c r="D181" s="1" t="s">
        <v>889</v>
      </c>
      <c r="E181" s="1" t="s">
        <v>890</v>
      </c>
      <c r="F181" s="2" t="str">
        <f>"102760076X"</f>
        <v>102760076X</v>
      </c>
      <c r="G181" s="2" t="str">
        <f>"9781027600763"</f>
        <v>9781027600763</v>
      </c>
      <c r="H181" s="1" t="s">
        <v>891</v>
      </c>
      <c r="I181" s="1" t="s">
        <v>892</v>
      </c>
      <c r="J181" s="1">
        <v>12.0</v>
      </c>
      <c r="K181" s="1">
        <v>2015.0</v>
      </c>
      <c r="L181" s="1">
        <v>2015.0</v>
      </c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 t="s">
        <v>893</v>
      </c>
      <c r="Y181" s="1" t="s">
        <v>894</v>
      </c>
    </row>
    <row r="182">
      <c r="A182" s="1">
        <v>3.4381539E7</v>
      </c>
      <c r="B182" s="1" t="s">
        <v>895</v>
      </c>
      <c r="C182" s="1" t="s">
        <v>817</v>
      </c>
      <c r="D182" s="1" t="s">
        <v>896</v>
      </c>
      <c r="F182" s="2" t="str">
        <f>"1338151649"</f>
        <v>1338151649</v>
      </c>
      <c r="G182" s="2" t="str">
        <f>"9781338151640"</f>
        <v>9781338151640</v>
      </c>
      <c r="H182" s="1" t="s">
        <v>86</v>
      </c>
      <c r="I182" s="1" t="s">
        <v>31</v>
      </c>
      <c r="J182" s="1">
        <v>12.0</v>
      </c>
      <c r="K182" s="1">
        <v>2017.0</v>
      </c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 t="s">
        <v>897</v>
      </c>
      <c r="Y182" s="1" t="s">
        <v>898</v>
      </c>
    </row>
    <row r="183">
      <c r="A183" s="1">
        <v>2356110.0</v>
      </c>
      <c r="B183" s="1" t="s">
        <v>899</v>
      </c>
      <c r="C183" s="1" t="s">
        <v>900</v>
      </c>
      <c r="D183" s="1" t="s">
        <v>901</v>
      </c>
      <c r="F183" s="2" t="str">
        <f>"1740471504"</f>
        <v>1740471504</v>
      </c>
      <c r="G183" s="2" t="str">
        <f>"9781740471503"</f>
        <v>9781740471503</v>
      </c>
      <c r="H183" s="1" t="s">
        <v>902</v>
      </c>
      <c r="I183" s="1" t="s">
        <v>67</v>
      </c>
      <c r="J183" s="1">
        <v>12.0</v>
      </c>
      <c r="K183" s="1">
        <v>2005.0</v>
      </c>
      <c r="L183" s="1">
        <v>2002.0</v>
      </c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 t="s">
        <v>68</v>
      </c>
      <c r="Y183" s="1" t="s">
        <v>903</v>
      </c>
    </row>
    <row r="184">
      <c r="A184" s="1">
        <v>2.2602278E7</v>
      </c>
      <c r="B184" s="1" t="s">
        <v>904</v>
      </c>
      <c r="C184" s="1" t="s">
        <v>905</v>
      </c>
      <c r="D184" s="1" t="s">
        <v>906</v>
      </c>
      <c r="F184" s="2" t="str">
        <f t="shared" ref="F184:G184" si="70">""</f>
        <v/>
      </c>
      <c r="G184" s="2" t="str">
        <f t="shared" si="70"/>
        <v/>
      </c>
      <c r="H184" s="1" t="s">
        <v>698</v>
      </c>
      <c r="I184" s="1" t="s">
        <v>108</v>
      </c>
      <c r="J184" s="1">
        <v>12.0</v>
      </c>
      <c r="K184" s="1">
        <v>2013.0</v>
      </c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 t="s">
        <v>51</v>
      </c>
      <c r="Y184" s="1" t="s">
        <v>907</v>
      </c>
    </row>
    <row r="185">
      <c r="A185" s="1">
        <v>2140514.0</v>
      </c>
      <c r="B185" s="1" t="s">
        <v>908</v>
      </c>
      <c r="C185" s="1" t="s">
        <v>909</v>
      </c>
      <c r="D185" s="1" t="s">
        <v>910</v>
      </c>
      <c r="F185" s="2" t="str">
        <f>"0761147632"</f>
        <v>0761147632</v>
      </c>
      <c r="G185" s="2" t="str">
        <f>"9780761147633"</f>
        <v>9780761147633</v>
      </c>
      <c r="H185" s="1" t="s">
        <v>911</v>
      </c>
      <c r="I185" s="1" t="s">
        <v>779</v>
      </c>
      <c r="J185" s="1">
        <v>12.0</v>
      </c>
      <c r="K185" s="1">
        <v>2007.0</v>
      </c>
      <c r="L185" s="1">
        <v>2007.0</v>
      </c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 t="s">
        <v>897</v>
      </c>
      <c r="Y185" s="1" t="s">
        <v>912</v>
      </c>
    </row>
    <row r="186">
      <c r="A186" s="1">
        <v>1.3788791E7</v>
      </c>
      <c r="B186" s="1" t="s">
        <v>913</v>
      </c>
      <c r="C186" s="1" t="s">
        <v>914</v>
      </c>
      <c r="D186" s="1" t="s">
        <v>915</v>
      </c>
      <c r="E186" s="1" t="s">
        <v>916</v>
      </c>
      <c r="F186" s="2" t="str">
        <f>"0794529968"</f>
        <v>0794529968</v>
      </c>
      <c r="G186" s="2" t="str">
        <f>"9780794529963"</f>
        <v>9780794529963</v>
      </c>
      <c r="H186" s="1" t="s">
        <v>917</v>
      </c>
      <c r="I186" s="1" t="s">
        <v>67</v>
      </c>
      <c r="J186" s="1">
        <v>13.0</v>
      </c>
      <c r="K186" s="1">
        <v>2011.0</v>
      </c>
      <c r="L186" s="1">
        <v>2011.0</v>
      </c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 t="s">
        <v>74</v>
      </c>
      <c r="Y186" s="1" t="s">
        <v>918</v>
      </c>
    </row>
    <row r="187">
      <c r="A187" s="1">
        <v>6987797.0</v>
      </c>
      <c r="B187" s="1" t="s">
        <v>919</v>
      </c>
      <c r="C187" s="1" t="s">
        <v>920</v>
      </c>
      <c r="D187" s="1" t="s">
        <v>921</v>
      </c>
      <c r="F187" s="2" t="str">
        <f>"0735810923"</f>
        <v>0735810923</v>
      </c>
      <c r="G187" s="2" t="str">
        <f>"9780735810921"</f>
        <v>9780735810921</v>
      </c>
      <c r="H187" s="1" t="s">
        <v>922</v>
      </c>
      <c r="I187" s="1" t="s">
        <v>67</v>
      </c>
      <c r="J187" s="1">
        <v>14.0</v>
      </c>
      <c r="K187" s="1">
        <v>1999.0</v>
      </c>
      <c r="L187" s="1">
        <v>1987.0</v>
      </c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 t="s">
        <v>61</v>
      </c>
      <c r="Y187" s="1" t="s">
        <v>923</v>
      </c>
    </row>
    <row r="188">
      <c r="A188" s="1">
        <v>2362848.0</v>
      </c>
      <c r="B188" s="1" t="s">
        <v>924</v>
      </c>
      <c r="C188" s="1" t="s">
        <v>149</v>
      </c>
      <c r="D188" s="1" t="s">
        <v>150</v>
      </c>
      <c r="F188" s="2" t="str">
        <f>"0439471761"</f>
        <v>0439471761</v>
      </c>
      <c r="G188" s="2" t="str">
        <f>"9780439471763"</f>
        <v>9780439471763</v>
      </c>
      <c r="H188" s="1" t="s">
        <v>50</v>
      </c>
      <c r="I188" s="1" t="s">
        <v>36</v>
      </c>
      <c r="J188" s="1">
        <v>14.0</v>
      </c>
      <c r="K188" s="1">
        <v>2003.0</v>
      </c>
      <c r="L188" s="1">
        <v>2003.0</v>
      </c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 t="s">
        <v>96</v>
      </c>
      <c r="Y188" s="1" t="s">
        <v>925</v>
      </c>
    </row>
    <row r="189">
      <c r="A189" s="1">
        <v>2.3067735E7</v>
      </c>
      <c r="B189" s="1" t="s">
        <v>926</v>
      </c>
      <c r="C189" s="1" t="s">
        <v>927</v>
      </c>
      <c r="D189" s="1" t="s">
        <v>928</v>
      </c>
      <c r="E189" s="1" t="s">
        <v>929</v>
      </c>
      <c r="F189" s="2" t="str">
        <f>"1409563944"</f>
        <v>1409563944</v>
      </c>
      <c r="G189" s="2" t="str">
        <f>"9781409563945"</f>
        <v>9781409563945</v>
      </c>
      <c r="H189" s="1" t="s">
        <v>930</v>
      </c>
      <c r="I189" s="1" t="s">
        <v>36</v>
      </c>
      <c r="J189" s="1">
        <v>14.0</v>
      </c>
      <c r="K189" s="1">
        <v>2016.0</v>
      </c>
      <c r="L189" s="1">
        <v>2014.0</v>
      </c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 t="s">
        <v>452</v>
      </c>
      <c r="Y189" s="1" t="s">
        <v>931</v>
      </c>
    </row>
    <row r="190">
      <c r="A190" s="1">
        <v>2.22405E7</v>
      </c>
      <c r="B190" s="1" t="s">
        <v>932</v>
      </c>
      <c r="C190" s="1" t="s">
        <v>933</v>
      </c>
      <c r="D190" s="1" t="s">
        <v>934</v>
      </c>
      <c r="E190" s="1" t="s">
        <v>935</v>
      </c>
      <c r="F190" s="2" t="str">
        <f>"0590971425"</f>
        <v>0590971425</v>
      </c>
      <c r="G190" s="2" t="str">
        <f>"9780590971423"</f>
        <v>9780590971423</v>
      </c>
      <c r="H190" s="1" t="s">
        <v>50</v>
      </c>
      <c r="I190" s="1" t="s">
        <v>36</v>
      </c>
      <c r="J190" s="1">
        <v>14.0</v>
      </c>
      <c r="K190" s="1">
        <v>1998.0</v>
      </c>
      <c r="L190" s="1">
        <v>1998.0</v>
      </c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 t="s">
        <v>55</v>
      </c>
      <c r="Y190" s="1" t="s">
        <v>936</v>
      </c>
    </row>
    <row r="191">
      <c r="A191" s="1">
        <v>7893415.0</v>
      </c>
      <c r="B191" s="1" t="s">
        <v>937</v>
      </c>
      <c r="C191" s="1" t="s">
        <v>938</v>
      </c>
      <c r="D191" s="1" t="s">
        <v>939</v>
      </c>
      <c r="E191" s="1" t="s">
        <v>940</v>
      </c>
      <c r="F191" s="2" t="str">
        <f>"0794527647"</f>
        <v>0794527647</v>
      </c>
      <c r="G191" s="2" t="str">
        <f>"9780794527648"</f>
        <v>9780794527648</v>
      </c>
      <c r="H191" s="1" t="s">
        <v>917</v>
      </c>
      <c r="I191" s="1" t="s">
        <v>31</v>
      </c>
      <c r="J191" s="1">
        <v>14.0</v>
      </c>
      <c r="K191" s="1">
        <v>2010.0</v>
      </c>
      <c r="L191" s="1">
        <v>2010.0</v>
      </c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 t="s">
        <v>452</v>
      </c>
      <c r="Y191" s="1" t="s">
        <v>941</v>
      </c>
    </row>
    <row r="192">
      <c r="A192" s="1">
        <v>1.1533394E7</v>
      </c>
      <c r="B192" s="1" t="s">
        <v>942</v>
      </c>
      <c r="C192" s="1" t="s">
        <v>943</v>
      </c>
      <c r="D192" s="1" t="s">
        <v>944</v>
      </c>
      <c r="F192" s="2" t="str">
        <f>"076365535X"</f>
        <v>076365535X</v>
      </c>
      <c r="G192" s="2" t="str">
        <f>"9780763655358"</f>
        <v>9780763655358</v>
      </c>
      <c r="H192" s="1" t="s">
        <v>945</v>
      </c>
      <c r="I192" s="1" t="s">
        <v>31</v>
      </c>
      <c r="J192" s="1">
        <v>14.0</v>
      </c>
      <c r="K192" s="1">
        <v>2011.0</v>
      </c>
      <c r="L192" s="1">
        <v>2011.0</v>
      </c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 t="s">
        <v>897</v>
      </c>
      <c r="Y192" s="1" t="s">
        <v>946</v>
      </c>
    </row>
    <row r="193">
      <c r="A193" s="1">
        <v>1.9387488E7</v>
      </c>
      <c r="B193" s="1" t="s">
        <v>947</v>
      </c>
      <c r="C193" s="1" t="s">
        <v>948</v>
      </c>
      <c r="D193" s="1" t="s">
        <v>949</v>
      </c>
      <c r="E193" s="1" t="s">
        <v>679</v>
      </c>
      <c r="F193" s="2" t="str">
        <f>"0590970569"</f>
        <v>0590970569</v>
      </c>
      <c r="G193" s="2" t="str">
        <f>"9780590970563"</f>
        <v>9780590970563</v>
      </c>
      <c r="H193" s="1" t="s">
        <v>50</v>
      </c>
      <c r="I193" s="1" t="s">
        <v>36</v>
      </c>
      <c r="J193" s="1">
        <v>14.0</v>
      </c>
      <c r="K193" s="1">
        <v>1998.0</v>
      </c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 t="s">
        <v>55</v>
      </c>
      <c r="Y193" s="1" t="s">
        <v>950</v>
      </c>
    </row>
    <row r="194">
      <c r="A194" s="1">
        <v>1745392.0</v>
      </c>
      <c r="B194" s="1" t="s">
        <v>951</v>
      </c>
      <c r="C194" s="1" t="s">
        <v>48</v>
      </c>
      <c r="D194" s="1" t="s">
        <v>49</v>
      </c>
      <c r="F194" s="2" t="str">
        <f>"059099929X"</f>
        <v>059099929X</v>
      </c>
      <c r="G194" s="2" t="str">
        <f>"9780590999298"</f>
        <v>9780590999298</v>
      </c>
      <c r="H194" s="1" t="s">
        <v>50</v>
      </c>
      <c r="I194" s="1" t="s">
        <v>36</v>
      </c>
      <c r="J194" s="1">
        <v>15.0</v>
      </c>
      <c r="K194" s="1">
        <v>1997.0</v>
      </c>
      <c r="L194" s="1">
        <v>1997.0</v>
      </c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 t="s">
        <v>51</v>
      </c>
      <c r="Y194" s="1" t="s">
        <v>952</v>
      </c>
    </row>
    <row r="195">
      <c r="A195" s="1">
        <v>3.7976823E7</v>
      </c>
      <c r="B195" s="1" t="s">
        <v>953</v>
      </c>
      <c r="C195" s="1" t="s">
        <v>783</v>
      </c>
      <c r="D195" s="1" t="s">
        <v>784</v>
      </c>
      <c r="F195" s="2" t="str">
        <f>"0590971328"</f>
        <v>0590971328</v>
      </c>
      <c r="G195" s="2" t="str">
        <f>"9780590971324"</f>
        <v>9780590971324</v>
      </c>
      <c r="H195" s="1" t="s">
        <v>296</v>
      </c>
      <c r="I195" s="1" t="s">
        <v>36</v>
      </c>
      <c r="J195" s="1">
        <v>15.0</v>
      </c>
      <c r="K195" s="1">
        <v>1998.0</v>
      </c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 t="s">
        <v>55</v>
      </c>
      <c r="Y195" s="1" t="s">
        <v>954</v>
      </c>
    </row>
    <row r="196">
      <c r="A196" s="1">
        <v>1.5253892E7</v>
      </c>
      <c r="B196" s="1" t="s">
        <v>955</v>
      </c>
      <c r="C196" s="1" t="s">
        <v>956</v>
      </c>
      <c r="D196" s="1" t="s">
        <v>957</v>
      </c>
      <c r="F196" s="2" t="str">
        <f>"0590999311"</f>
        <v>0590999311</v>
      </c>
      <c r="G196" s="2" t="str">
        <f>"9780590306904"</f>
        <v>9780590306904</v>
      </c>
      <c r="H196" s="1" t="s">
        <v>50</v>
      </c>
      <c r="I196" s="1" t="s">
        <v>36</v>
      </c>
      <c r="J196" s="1">
        <v>15.0</v>
      </c>
      <c r="K196" s="1">
        <v>1997.0</v>
      </c>
      <c r="L196" s="1">
        <v>1997.0</v>
      </c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 t="s">
        <v>51</v>
      </c>
      <c r="Y196" s="1" t="s">
        <v>958</v>
      </c>
    </row>
    <row r="197">
      <c r="A197" s="1">
        <v>1.5253889E7</v>
      </c>
      <c r="B197" s="1" t="s">
        <v>959</v>
      </c>
      <c r="C197" s="1" t="s">
        <v>956</v>
      </c>
      <c r="D197" s="1" t="s">
        <v>957</v>
      </c>
      <c r="F197" s="2" t="str">
        <f>"0590999168"</f>
        <v>0590999168</v>
      </c>
      <c r="G197" s="2" t="str">
        <f>"9780590999168"</f>
        <v>9780590999168</v>
      </c>
      <c r="H197" s="1" t="s">
        <v>50</v>
      </c>
      <c r="I197" s="1" t="s">
        <v>108</v>
      </c>
      <c r="J197" s="1">
        <v>15.0</v>
      </c>
      <c r="K197" s="1">
        <v>1997.0</v>
      </c>
      <c r="L197" s="1">
        <v>1997.0</v>
      </c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 t="s">
        <v>960</v>
      </c>
      <c r="Y197" s="1" t="s">
        <v>961</v>
      </c>
    </row>
    <row r="198">
      <c r="A198" s="1">
        <v>6124008.0</v>
      </c>
      <c r="B198" s="1" t="s">
        <v>962</v>
      </c>
      <c r="C198" s="1" t="s">
        <v>963</v>
      </c>
      <c r="D198" s="1" t="s">
        <v>964</v>
      </c>
      <c r="E198" s="1" t="s">
        <v>965</v>
      </c>
      <c r="F198" s="2" t="str">
        <f>"0794510221"</f>
        <v>0794510221</v>
      </c>
      <c r="G198" s="2" t="str">
        <f>"9780794510220"</f>
        <v>9780794510220</v>
      </c>
      <c r="H198" s="1" t="s">
        <v>917</v>
      </c>
      <c r="I198" s="1" t="s">
        <v>67</v>
      </c>
      <c r="J198" s="1">
        <v>15.0</v>
      </c>
      <c r="K198" s="1">
        <v>2005.0</v>
      </c>
      <c r="L198" s="1">
        <v>2005.0</v>
      </c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 t="s">
        <v>452</v>
      </c>
      <c r="Y198" s="1" t="s">
        <v>966</v>
      </c>
    </row>
    <row r="199">
      <c r="A199" s="1">
        <v>3183722.0</v>
      </c>
      <c r="B199" s="1" t="s">
        <v>967</v>
      </c>
      <c r="C199" s="1" t="s">
        <v>968</v>
      </c>
      <c r="D199" s="1" t="s">
        <v>969</v>
      </c>
      <c r="F199" s="2" t="str">
        <f>"0590279688"</f>
        <v>0590279688</v>
      </c>
      <c r="G199" s="2" t="str">
        <f>"9780590279680"</f>
        <v>9780590279680</v>
      </c>
      <c r="H199" s="1" t="s">
        <v>50</v>
      </c>
      <c r="I199" s="1" t="s">
        <v>36</v>
      </c>
      <c r="J199" s="1">
        <v>15.0</v>
      </c>
      <c r="K199" s="1">
        <v>1997.0</v>
      </c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 t="s">
        <v>51</v>
      </c>
      <c r="Y199" s="1" t="s">
        <v>970</v>
      </c>
    </row>
    <row r="200">
      <c r="A200" s="1">
        <v>2869934.0</v>
      </c>
      <c r="B200" s="1" t="s">
        <v>971</v>
      </c>
      <c r="C200" s="1" t="s">
        <v>972</v>
      </c>
      <c r="D200" s="1" t="s">
        <v>973</v>
      </c>
      <c r="F200" s="2" t="str">
        <f>"0590999265"</f>
        <v>0590999265</v>
      </c>
      <c r="G200" s="2" t="str">
        <f>"9780590999267"</f>
        <v>9780590999267</v>
      </c>
      <c r="H200" s="1" t="s">
        <v>50</v>
      </c>
      <c r="I200" s="1" t="s">
        <v>108</v>
      </c>
      <c r="J200" s="1">
        <v>15.0</v>
      </c>
      <c r="K200" s="1">
        <v>1997.0</v>
      </c>
      <c r="L200" s="1">
        <v>1997.0</v>
      </c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 t="s">
        <v>51</v>
      </c>
      <c r="Y200" s="1" t="s">
        <v>974</v>
      </c>
    </row>
    <row r="201">
      <c r="A201" s="1">
        <v>2.2240493E7</v>
      </c>
      <c r="B201" s="1" t="s">
        <v>975</v>
      </c>
      <c r="C201" s="1" t="s">
        <v>933</v>
      </c>
      <c r="D201" s="1" t="s">
        <v>934</v>
      </c>
      <c r="E201" s="1" t="s">
        <v>679</v>
      </c>
      <c r="F201" s="2" t="str">
        <f>"0590971441"</f>
        <v>0590971441</v>
      </c>
      <c r="G201" s="2" t="str">
        <f>"9780590971447"</f>
        <v>9780590971447</v>
      </c>
      <c r="H201" s="1" t="s">
        <v>50</v>
      </c>
      <c r="I201" s="1" t="s">
        <v>36</v>
      </c>
      <c r="J201" s="1">
        <v>15.0</v>
      </c>
      <c r="K201" s="1">
        <v>1998.0</v>
      </c>
      <c r="L201" s="1">
        <v>1998.0</v>
      </c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 t="s">
        <v>55</v>
      </c>
      <c r="Y201" s="1" t="s">
        <v>976</v>
      </c>
    </row>
    <row r="202">
      <c r="A202" s="1">
        <v>3.6283049E7</v>
      </c>
      <c r="B202" s="1" t="s">
        <v>977</v>
      </c>
      <c r="C202" s="1" t="s">
        <v>354</v>
      </c>
      <c r="D202" s="1" t="s">
        <v>355</v>
      </c>
      <c r="F202" s="2" t="str">
        <f>"0545813603"</f>
        <v>0545813603</v>
      </c>
      <c r="G202" s="2" t="str">
        <f>"9780545813600"</f>
        <v>9780545813600</v>
      </c>
      <c r="H202" s="1" t="s">
        <v>179</v>
      </c>
      <c r="I202" s="1" t="s">
        <v>36</v>
      </c>
      <c r="J202" s="1">
        <v>15.0</v>
      </c>
      <c r="K202" s="1">
        <v>2015.0</v>
      </c>
      <c r="L202" s="1">
        <v>2015.0</v>
      </c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 t="s">
        <v>978</v>
      </c>
      <c r="Y202" s="1" t="s">
        <v>979</v>
      </c>
    </row>
    <row r="203">
      <c r="A203" s="1">
        <v>3.6225795E7</v>
      </c>
      <c r="B203" s="1" t="s">
        <v>980</v>
      </c>
      <c r="C203" s="1" t="s">
        <v>354</v>
      </c>
      <c r="D203" s="1" t="s">
        <v>355</v>
      </c>
      <c r="F203" s="2" t="str">
        <f>"0545813530"</f>
        <v>0545813530</v>
      </c>
      <c r="G203" s="2" t="str">
        <f>"9780545813532"</f>
        <v>9780545813532</v>
      </c>
      <c r="H203" s="1" t="s">
        <v>981</v>
      </c>
      <c r="I203" s="1" t="s">
        <v>36</v>
      </c>
      <c r="J203" s="1">
        <v>15.0</v>
      </c>
      <c r="K203" s="1">
        <v>2015.0</v>
      </c>
      <c r="L203" s="1">
        <v>2015.0</v>
      </c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 t="s">
        <v>978</v>
      </c>
      <c r="Y203" s="1" t="s">
        <v>982</v>
      </c>
    </row>
    <row r="204">
      <c r="A204" s="1">
        <v>3.6282969E7</v>
      </c>
      <c r="B204" s="1" t="s">
        <v>983</v>
      </c>
      <c r="C204" s="1" t="s">
        <v>354</v>
      </c>
      <c r="D204" s="1" t="s">
        <v>355</v>
      </c>
      <c r="F204" s="2" t="str">
        <f>"0545813581"</f>
        <v>0545813581</v>
      </c>
      <c r="G204" s="2" t="str">
        <f>"9780545813587"</f>
        <v>9780545813587</v>
      </c>
      <c r="H204" s="1" t="s">
        <v>179</v>
      </c>
      <c r="I204" s="1" t="s">
        <v>36</v>
      </c>
      <c r="J204" s="1">
        <v>15.0</v>
      </c>
      <c r="K204" s="1">
        <v>2015.0</v>
      </c>
      <c r="L204" s="1">
        <v>2015.0</v>
      </c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 t="s">
        <v>984</v>
      </c>
      <c r="Y204" s="1" t="s">
        <v>985</v>
      </c>
    </row>
    <row r="205">
      <c r="A205" s="1">
        <v>3.6282935E7</v>
      </c>
      <c r="B205" s="1" t="s">
        <v>986</v>
      </c>
      <c r="C205" s="1" t="s">
        <v>354</v>
      </c>
      <c r="D205" s="1" t="s">
        <v>355</v>
      </c>
      <c r="F205" s="2" t="str">
        <f>"0545813565"</f>
        <v>0545813565</v>
      </c>
      <c r="G205" s="2" t="str">
        <f>"9780545813563"</f>
        <v>9780545813563</v>
      </c>
      <c r="H205" s="1" t="s">
        <v>179</v>
      </c>
      <c r="I205" s="1" t="s">
        <v>36</v>
      </c>
      <c r="J205" s="1">
        <v>15.0</v>
      </c>
      <c r="K205" s="1">
        <v>2015.0</v>
      </c>
      <c r="L205" s="1">
        <v>2015.0</v>
      </c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 t="s">
        <v>978</v>
      </c>
      <c r="Y205" s="1" t="s">
        <v>987</v>
      </c>
    </row>
    <row r="206">
      <c r="A206" s="1">
        <v>3.6282925E7</v>
      </c>
      <c r="B206" s="1" t="s">
        <v>988</v>
      </c>
      <c r="C206" s="1" t="s">
        <v>354</v>
      </c>
      <c r="D206" s="1" t="s">
        <v>355</v>
      </c>
      <c r="F206" s="2" t="str">
        <f>"0545813522"</f>
        <v>0545813522</v>
      </c>
      <c r="G206" s="2" t="str">
        <f>"9780545813525"</f>
        <v>9780545813525</v>
      </c>
      <c r="H206" s="1" t="s">
        <v>179</v>
      </c>
      <c r="I206" s="1" t="s">
        <v>36</v>
      </c>
      <c r="J206" s="1">
        <v>15.0</v>
      </c>
      <c r="K206" s="1">
        <v>2015.0</v>
      </c>
      <c r="L206" s="1">
        <v>2015.0</v>
      </c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 t="s">
        <v>978</v>
      </c>
      <c r="Y206" s="1" t="s">
        <v>989</v>
      </c>
    </row>
    <row r="207">
      <c r="A207" s="1">
        <v>6.1912093E7</v>
      </c>
      <c r="B207" s="1" t="s">
        <v>990</v>
      </c>
      <c r="C207" s="1" t="s">
        <v>991</v>
      </c>
      <c r="D207" s="1" t="s">
        <v>992</v>
      </c>
      <c r="F207" s="2" t="str">
        <f t="shared" ref="F207:G207" si="71">""</f>
        <v/>
      </c>
      <c r="G207" s="2" t="str">
        <f t="shared" si="71"/>
        <v/>
      </c>
      <c r="I207" s="1" t="s">
        <v>238</v>
      </c>
      <c r="J207" s="1">
        <v>15.0</v>
      </c>
      <c r="K207" s="1">
        <v>2022.0</v>
      </c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 t="s">
        <v>51</v>
      </c>
      <c r="Y207" s="1" t="s">
        <v>993</v>
      </c>
    </row>
    <row r="208">
      <c r="A208" s="1">
        <v>3.7976866E7</v>
      </c>
      <c r="B208" s="1" t="s">
        <v>994</v>
      </c>
      <c r="C208" s="1" t="s">
        <v>622</v>
      </c>
      <c r="D208" s="1" t="s">
        <v>623</v>
      </c>
      <c r="F208" s="2" t="str">
        <f>"0590971344"</f>
        <v>0590971344</v>
      </c>
      <c r="G208" s="2" t="str">
        <f>"9780590971348"</f>
        <v>9780590971348</v>
      </c>
      <c r="H208" s="1" t="s">
        <v>296</v>
      </c>
      <c r="I208" s="1" t="s">
        <v>36</v>
      </c>
      <c r="J208" s="1">
        <v>15.0</v>
      </c>
      <c r="K208" s="1">
        <v>1998.0</v>
      </c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 t="s">
        <v>55</v>
      </c>
      <c r="Y208" s="1" t="s">
        <v>995</v>
      </c>
    </row>
    <row r="209">
      <c r="A209" s="1">
        <v>3.7979836E7</v>
      </c>
      <c r="B209" s="1" t="s">
        <v>996</v>
      </c>
      <c r="C209" s="1" t="s">
        <v>622</v>
      </c>
      <c r="D209" s="1" t="s">
        <v>623</v>
      </c>
      <c r="F209" s="2" t="str">
        <f>"0590971239"</f>
        <v>0590971239</v>
      </c>
      <c r="G209" s="2" t="str">
        <f>"9780590971232"</f>
        <v>9780590971232</v>
      </c>
      <c r="H209" s="1" t="s">
        <v>296</v>
      </c>
      <c r="I209" s="1" t="s">
        <v>36</v>
      </c>
      <c r="J209" s="1">
        <v>15.0</v>
      </c>
      <c r="K209" s="1">
        <v>1998.0</v>
      </c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 t="s">
        <v>55</v>
      </c>
      <c r="Y209" s="1" t="s">
        <v>997</v>
      </c>
    </row>
    <row r="210">
      <c r="A210" s="1">
        <v>2796651.0</v>
      </c>
      <c r="B210" s="1" t="s">
        <v>998</v>
      </c>
      <c r="C210" s="1" t="s">
        <v>999</v>
      </c>
      <c r="D210" s="1" t="s">
        <v>1000</v>
      </c>
      <c r="F210" s="2" t="str">
        <f>"0590999346"</f>
        <v>0590999346</v>
      </c>
      <c r="G210" s="2" t="str">
        <f>"9780590999342"</f>
        <v>9780590999342</v>
      </c>
      <c r="H210" s="1" t="s">
        <v>50</v>
      </c>
      <c r="I210" s="1" t="s">
        <v>108</v>
      </c>
      <c r="J210" s="1">
        <v>15.0</v>
      </c>
      <c r="K210" s="1">
        <v>1997.0</v>
      </c>
      <c r="L210" s="1">
        <v>1997.0</v>
      </c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 t="s">
        <v>51</v>
      </c>
      <c r="Y210" s="1" t="s">
        <v>1001</v>
      </c>
    </row>
    <row r="211">
      <c r="A211" s="1">
        <v>3.4681921E7</v>
      </c>
      <c r="B211" s="1" t="s">
        <v>1002</v>
      </c>
      <c r="C211" s="1" t="s">
        <v>1003</v>
      </c>
      <c r="D211" s="1" t="s">
        <v>1004</v>
      </c>
      <c r="F211" s="2" t="str">
        <f>"0590974971"</f>
        <v>0590974971</v>
      </c>
      <c r="G211" s="2" t="str">
        <f>"9780590974974"</f>
        <v>9780590974974</v>
      </c>
      <c r="H211" s="1" t="s">
        <v>50</v>
      </c>
      <c r="I211" s="1" t="s">
        <v>36</v>
      </c>
      <c r="J211" s="1">
        <v>15.0</v>
      </c>
      <c r="K211" s="1">
        <v>1998.0</v>
      </c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 t="s">
        <v>55</v>
      </c>
      <c r="Y211" s="1" t="s">
        <v>1005</v>
      </c>
    </row>
    <row r="212">
      <c r="A212" s="1">
        <v>7.5980075E7</v>
      </c>
      <c r="B212" s="1" t="s">
        <v>1006</v>
      </c>
      <c r="C212" s="1" t="s">
        <v>71</v>
      </c>
      <c r="D212" s="1" t="s">
        <v>72</v>
      </c>
      <c r="F212" s="2" t="str">
        <f>"0153022949"</f>
        <v>0153022949</v>
      </c>
      <c r="G212" s="2" t="str">
        <f>"9780153022944"</f>
        <v>9780153022944</v>
      </c>
      <c r="H212" s="1" t="s">
        <v>1007</v>
      </c>
      <c r="I212" s="1" t="s">
        <v>108</v>
      </c>
      <c r="J212" s="1">
        <v>16.0</v>
      </c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 t="s">
        <v>83</v>
      </c>
      <c r="Y212" s="1" t="s">
        <v>1008</v>
      </c>
    </row>
    <row r="213">
      <c r="A213" s="1">
        <v>3493191.0</v>
      </c>
      <c r="B213" s="1" t="s">
        <v>1009</v>
      </c>
      <c r="C213" s="1" t="s">
        <v>149</v>
      </c>
      <c r="D213" s="1" t="s">
        <v>150</v>
      </c>
      <c r="F213" s="2" t="str">
        <f>"0439445353"</f>
        <v>0439445353</v>
      </c>
      <c r="G213" s="2" t="str">
        <f>"9780439445351"</f>
        <v>9780439445351</v>
      </c>
      <c r="H213" s="1" t="s">
        <v>50</v>
      </c>
      <c r="I213" s="1" t="s">
        <v>36</v>
      </c>
      <c r="J213" s="1">
        <v>16.0</v>
      </c>
      <c r="K213" s="1">
        <v>2002.0</v>
      </c>
      <c r="L213" s="1">
        <v>2002.0</v>
      </c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 t="s">
        <v>96</v>
      </c>
      <c r="Y213" s="1" t="s">
        <v>1010</v>
      </c>
    </row>
    <row r="214">
      <c r="A214" s="1">
        <v>4582180.0</v>
      </c>
      <c r="B214" s="1" t="s">
        <v>1011</v>
      </c>
      <c r="C214" s="1" t="s">
        <v>149</v>
      </c>
      <c r="D214" s="1" t="s">
        <v>150</v>
      </c>
      <c r="E214" s="1" t="s">
        <v>151</v>
      </c>
      <c r="F214" s="2" t="str">
        <f>"0439473888"</f>
        <v>0439473888</v>
      </c>
      <c r="G214" s="2" t="str">
        <f>"9780439473880"</f>
        <v>9780439473880</v>
      </c>
      <c r="H214" s="1" t="s">
        <v>50</v>
      </c>
      <c r="I214" s="1" t="s">
        <v>36</v>
      </c>
      <c r="J214" s="1">
        <v>16.0</v>
      </c>
      <c r="K214" s="1">
        <v>2003.0</v>
      </c>
      <c r="L214" s="1">
        <v>2003.0</v>
      </c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 t="s">
        <v>96</v>
      </c>
      <c r="Y214" s="1" t="s">
        <v>1012</v>
      </c>
    </row>
    <row r="215">
      <c r="A215" s="1">
        <v>2955288.0</v>
      </c>
      <c r="B215" s="1" t="s">
        <v>1013</v>
      </c>
      <c r="C215" s="1" t="s">
        <v>149</v>
      </c>
      <c r="D215" s="1" t="s">
        <v>150</v>
      </c>
      <c r="E215" s="1" t="s">
        <v>151</v>
      </c>
      <c r="F215" s="2" t="str">
        <f>"043947177X"</f>
        <v>043947177X</v>
      </c>
      <c r="G215" s="2" t="str">
        <f>"9780439471770"</f>
        <v>9780439471770</v>
      </c>
      <c r="H215" s="1" t="s">
        <v>817</v>
      </c>
      <c r="I215" s="1" t="s">
        <v>36</v>
      </c>
      <c r="J215" s="1">
        <v>16.0</v>
      </c>
      <c r="K215" s="1">
        <v>1948.0</v>
      </c>
      <c r="L215" s="1">
        <v>1948.0</v>
      </c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 t="s">
        <v>96</v>
      </c>
      <c r="Y215" s="1" t="s">
        <v>1014</v>
      </c>
    </row>
    <row r="216">
      <c r="A216" s="1">
        <v>4.9204345E7</v>
      </c>
      <c r="B216" s="1" t="s">
        <v>1015</v>
      </c>
      <c r="C216" s="1" t="s">
        <v>1016</v>
      </c>
      <c r="D216" s="1" t="s">
        <v>1017</v>
      </c>
      <c r="F216" s="2" t="str">
        <f>"1435154975"</f>
        <v>1435154975</v>
      </c>
      <c r="G216" s="2" t="str">
        <f>"9781435154971"</f>
        <v>9781435154971</v>
      </c>
      <c r="H216" s="1" t="s">
        <v>1018</v>
      </c>
      <c r="I216" s="1" t="s">
        <v>779</v>
      </c>
      <c r="J216" s="1">
        <v>16.0</v>
      </c>
      <c r="K216" s="1">
        <v>2014.0</v>
      </c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 t="s">
        <v>116</v>
      </c>
      <c r="Y216" s="1" t="s">
        <v>1019</v>
      </c>
    </row>
    <row r="217">
      <c r="A217" s="1">
        <v>5.8784506E7</v>
      </c>
      <c r="B217" s="1" t="s">
        <v>1020</v>
      </c>
      <c r="C217" s="1" t="s">
        <v>1021</v>
      </c>
      <c r="D217" s="1" t="s">
        <v>1022</v>
      </c>
      <c r="F217" s="2" t="str">
        <f>"0593384741"</f>
        <v>0593384741</v>
      </c>
      <c r="G217" s="2" t="str">
        <f>"9780593384749"</f>
        <v>9780593384749</v>
      </c>
      <c r="H217" s="1" t="s">
        <v>1023</v>
      </c>
      <c r="I217" s="1" t="s">
        <v>779</v>
      </c>
      <c r="J217" s="1">
        <v>16.0</v>
      </c>
      <c r="K217" s="1">
        <v>2022.0</v>
      </c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 t="s">
        <v>1024</v>
      </c>
      <c r="Y217" s="1" t="s">
        <v>1025</v>
      </c>
    </row>
    <row r="218">
      <c r="A218" s="1">
        <v>5.8065435E7</v>
      </c>
      <c r="B218" s="1" t="s">
        <v>1026</v>
      </c>
      <c r="C218" s="1" t="s">
        <v>1021</v>
      </c>
      <c r="D218" s="1" t="s">
        <v>1022</v>
      </c>
      <c r="F218" s="2" t="str">
        <f>"0593384725"</f>
        <v>0593384725</v>
      </c>
      <c r="G218" s="2" t="str">
        <f>"9780593384725"</f>
        <v>9780593384725</v>
      </c>
      <c r="H218" s="1" t="s">
        <v>1023</v>
      </c>
      <c r="I218" s="1" t="s">
        <v>779</v>
      </c>
      <c r="J218" s="1">
        <v>16.0</v>
      </c>
      <c r="K218" s="1">
        <v>2022.0</v>
      </c>
      <c r="L218" s="1">
        <v>2022.0</v>
      </c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 t="s">
        <v>1024</v>
      </c>
      <c r="Y218" s="1" t="s">
        <v>1027</v>
      </c>
    </row>
    <row r="219">
      <c r="A219" s="1">
        <v>5.7070669E7</v>
      </c>
      <c r="B219" s="1" t="s">
        <v>1028</v>
      </c>
      <c r="C219" s="1" t="s">
        <v>1021</v>
      </c>
      <c r="D219" s="1" t="s">
        <v>1022</v>
      </c>
      <c r="F219" s="2" t="str">
        <f>"0593384105"</f>
        <v>0593384105</v>
      </c>
      <c r="G219" s="2" t="str">
        <f>"9780593384107"</f>
        <v>9780593384107</v>
      </c>
      <c r="H219" s="1" t="s">
        <v>1023</v>
      </c>
      <c r="I219" s="1" t="s">
        <v>67</v>
      </c>
      <c r="J219" s="1">
        <v>16.0</v>
      </c>
      <c r="K219" s="1">
        <v>2022.0</v>
      </c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 t="s">
        <v>1024</v>
      </c>
      <c r="Y219" s="1" t="s">
        <v>1029</v>
      </c>
    </row>
    <row r="220">
      <c r="A220" s="1">
        <v>5.9447031E7</v>
      </c>
      <c r="B220" s="1" t="s">
        <v>1030</v>
      </c>
      <c r="C220" s="1" t="s">
        <v>1021</v>
      </c>
      <c r="D220" s="1" t="s">
        <v>1022</v>
      </c>
      <c r="F220" s="2" t="str">
        <f>"0593384768"</f>
        <v>0593384768</v>
      </c>
      <c r="G220" s="2" t="str">
        <f>"9780593384763"</f>
        <v>9780593384763</v>
      </c>
      <c r="H220" s="1" t="s">
        <v>1023</v>
      </c>
      <c r="I220" s="1" t="s">
        <v>67</v>
      </c>
      <c r="J220" s="1">
        <v>16.0</v>
      </c>
      <c r="K220" s="1">
        <v>2022.0</v>
      </c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 t="s">
        <v>1024</v>
      </c>
      <c r="Y220" s="1" t="s">
        <v>1031</v>
      </c>
    </row>
    <row r="221">
      <c r="A221" s="1">
        <v>336162.0</v>
      </c>
      <c r="B221" s="1" t="s">
        <v>1032</v>
      </c>
      <c r="C221" s="1" t="s">
        <v>1021</v>
      </c>
      <c r="D221" s="1" t="s">
        <v>1022</v>
      </c>
      <c r="F221" s="2" t="str">
        <f>"0399219331"</f>
        <v>0399219331</v>
      </c>
      <c r="G221" s="2" t="str">
        <f>"9780399219337"</f>
        <v>9780399219337</v>
      </c>
      <c r="H221" s="1" t="s">
        <v>1033</v>
      </c>
      <c r="I221" s="1" t="s">
        <v>31</v>
      </c>
      <c r="J221" s="1">
        <v>16.0</v>
      </c>
      <c r="K221" s="1">
        <v>1989.0</v>
      </c>
      <c r="L221" s="1">
        <v>1969.0</v>
      </c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 t="s">
        <v>61</v>
      </c>
      <c r="Y221" s="1" t="s">
        <v>1034</v>
      </c>
    </row>
    <row r="222">
      <c r="A222" s="1">
        <v>2.5996449E7</v>
      </c>
      <c r="B222" s="1" t="s">
        <v>1035</v>
      </c>
      <c r="C222" s="1" t="s">
        <v>849</v>
      </c>
      <c r="D222" s="1" t="s">
        <v>850</v>
      </c>
      <c r="F222" s="2" t="str">
        <f>"1484730666"</f>
        <v>1484730666</v>
      </c>
      <c r="G222" s="2" t="str">
        <f>"9781484730669"</f>
        <v>9781484730669</v>
      </c>
      <c r="H222" s="1" t="s">
        <v>851</v>
      </c>
      <c r="I222" s="1" t="s">
        <v>238</v>
      </c>
      <c r="J222" s="1">
        <v>16.0</v>
      </c>
      <c r="K222" s="1">
        <v>2015.0</v>
      </c>
      <c r="L222" s="1">
        <v>2015.0</v>
      </c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 t="s">
        <v>264</v>
      </c>
      <c r="Y222" s="1" t="s">
        <v>1036</v>
      </c>
    </row>
    <row r="223">
      <c r="A223" s="1">
        <v>1.38495415E8</v>
      </c>
      <c r="B223" s="1" t="s">
        <v>1037</v>
      </c>
      <c r="C223" s="1" t="s">
        <v>849</v>
      </c>
      <c r="D223" s="1" t="s">
        <v>850</v>
      </c>
      <c r="F223" s="2" t="str">
        <f t="shared" ref="F223:G223" si="72">""</f>
        <v/>
      </c>
      <c r="G223" s="2" t="str">
        <f t="shared" si="72"/>
        <v/>
      </c>
      <c r="H223" s="1" t="s">
        <v>1038</v>
      </c>
      <c r="I223" s="1" t="s">
        <v>36</v>
      </c>
      <c r="J223" s="1">
        <v>16.0</v>
      </c>
      <c r="K223" s="1">
        <v>2019.0</v>
      </c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 t="s">
        <v>380</v>
      </c>
      <c r="Y223" s="1" t="s">
        <v>1039</v>
      </c>
    </row>
    <row r="224">
      <c r="A224" s="1">
        <v>4.892549E7</v>
      </c>
      <c r="B224" s="1" t="s">
        <v>1040</v>
      </c>
      <c r="C224" s="1" t="s">
        <v>1041</v>
      </c>
      <c r="D224" s="1" t="s">
        <v>1042</v>
      </c>
      <c r="E224" s="1" t="s">
        <v>1043</v>
      </c>
      <c r="F224" s="2" t="str">
        <f>""</f>
        <v/>
      </c>
      <c r="G224" s="2" t="str">
        <f>"9781742812908"</f>
        <v>9781742812908</v>
      </c>
      <c r="H224" s="1" t="s">
        <v>1044</v>
      </c>
      <c r="I224" s="1" t="s">
        <v>36</v>
      </c>
      <c r="J224" s="1">
        <v>16.0</v>
      </c>
      <c r="K224" s="1">
        <v>2013.0</v>
      </c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 t="s">
        <v>1045</v>
      </c>
      <c r="Y224" s="1" t="s">
        <v>1046</v>
      </c>
    </row>
    <row r="225">
      <c r="A225" s="1">
        <v>6761068.0</v>
      </c>
      <c r="B225" s="1" t="s">
        <v>1047</v>
      </c>
      <c r="C225" s="1" t="s">
        <v>1048</v>
      </c>
      <c r="D225" s="1" t="s">
        <v>1049</v>
      </c>
      <c r="E225" s="1" t="s">
        <v>1050</v>
      </c>
      <c r="F225" s="2" t="str">
        <f>"0746077521"</f>
        <v>0746077521</v>
      </c>
      <c r="G225" s="2" t="str">
        <f>"9780746077528"</f>
        <v>9780746077528</v>
      </c>
      <c r="H225" s="1" t="s">
        <v>930</v>
      </c>
      <c r="I225" s="1" t="s">
        <v>31</v>
      </c>
      <c r="J225" s="1">
        <v>16.0</v>
      </c>
      <c r="K225" s="1">
        <v>2007.0</v>
      </c>
      <c r="L225" s="1">
        <v>2007.0</v>
      </c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 t="s">
        <v>897</v>
      </c>
      <c r="Y225" s="1" t="s">
        <v>1051</v>
      </c>
    </row>
    <row r="226">
      <c r="A226" s="1">
        <v>1.7604945E7</v>
      </c>
      <c r="B226" s="1" t="s">
        <v>1052</v>
      </c>
      <c r="C226" s="1" t="s">
        <v>1053</v>
      </c>
      <c r="D226" s="1" t="s">
        <v>1054</v>
      </c>
      <c r="E226" s="1" t="s">
        <v>1055</v>
      </c>
      <c r="F226" s="2" t="str">
        <f>"0957159706"</f>
        <v>0957159706</v>
      </c>
      <c r="G226" s="2" t="str">
        <f>"9780957159709"</f>
        <v>9780957159709</v>
      </c>
      <c r="H226" s="1" t="s">
        <v>1056</v>
      </c>
      <c r="I226" s="1" t="s">
        <v>36</v>
      </c>
      <c r="J226" s="1">
        <v>16.0</v>
      </c>
      <c r="K226" s="1">
        <v>2014.0</v>
      </c>
      <c r="L226" s="1">
        <v>1993.0</v>
      </c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 t="s">
        <v>68</v>
      </c>
      <c r="Y226" s="1" t="s">
        <v>1057</v>
      </c>
    </row>
    <row r="227">
      <c r="A227" s="1">
        <v>3.2711682E7</v>
      </c>
      <c r="B227" s="1" t="s">
        <v>1058</v>
      </c>
      <c r="C227" s="1" t="s">
        <v>1059</v>
      </c>
      <c r="D227" s="1" t="s">
        <v>1060</v>
      </c>
      <c r="E227" s="1" t="s">
        <v>1061</v>
      </c>
      <c r="F227" s="2" t="str">
        <f>"006219870X"</f>
        <v>006219870X</v>
      </c>
      <c r="G227" s="2" t="str">
        <f>"9780062198709"</f>
        <v>9780062198709</v>
      </c>
      <c r="H227" s="1" t="s">
        <v>290</v>
      </c>
      <c r="I227" s="1" t="s">
        <v>36</v>
      </c>
      <c r="J227" s="1">
        <v>16.0</v>
      </c>
      <c r="K227" s="1">
        <v>2017.0</v>
      </c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 t="s">
        <v>863</v>
      </c>
      <c r="Y227" s="1" t="s">
        <v>1062</v>
      </c>
    </row>
    <row r="228">
      <c r="A228" s="1">
        <v>1.7349161E7</v>
      </c>
      <c r="B228" s="1" t="s">
        <v>1063</v>
      </c>
      <c r="C228" s="1" t="s">
        <v>1061</v>
      </c>
      <c r="D228" s="1" t="s">
        <v>1064</v>
      </c>
      <c r="E228" s="1" t="s">
        <v>1059</v>
      </c>
      <c r="F228" s="2" t="str">
        <f>"0062198696"</f>
        <v>0062198696</v>
      </c>
      <c r="G228" s="2" t="str">
        <f>"9780062198693"</f>
        <v>9780062198693</v>
      </c>
      <c r="H228" s="1" t="s">
        <v>290</v>
      </c>
      <c r="I228" s="1" t="s">
        <v>36</v>
      </c>
      <c r="J228" s="1">
        <v>16.0</v>
      </c>
      <c r="K228" s="1">
        <v>2013.0</v>
      </c>
      <c r="L228" s="1">
        <v>2013.0</v>
      </c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 t="s">
        <v>863</v>
      </c>
      <c r="Y228" s="1" t="s">
        <v>1065</v>
      </c>
    </row>
    <row r="229">
      <c r="A229" s="1">
        <v>732036.0</v>
      </c>
      <c r="B229" s="1" t="s">
        <v>1066</v>
      </c>
      <c r="C229" s="1" t="s">
        <v>1067</v>
      </c>
      <c r="D229" s="1" t="s">
        <v>1068</v>
      </c>
      <c r="E229" s="1" t="s">
        <v>1067</v>
      </c>
      <c r="F229" s="2" t="str">
        <f>"067174965X"</f>
        <v>067174965X</v>
      </c>
      <c r="G229" s="2" t="str">
        <f>"9780671749651"</f>
        <v>9780671749651</v>
      </c>
      <c r="H229" s="1" t="s">
        <v>1069</v>
      </c>
      <c r="I229" s="1" t="s">
        <v>31</v>
      </c>
      <c r="J229" s="1">
        <v>16.0</v>
      </c>
      <c r="K229" s="1">
        <v>1998.0</v>
      </c>
      <c r="L229" s="1">
        <v>1998.0</v>
      </c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 t="s">
        <v>87</v>
      </c>
      <c r="Y229" s="1" t="s">
        <v>1070</v>
      </c>
    </row>
    <row r="230">
      <c r="A230" s="1">
        <v>2.8814742E7</v>
      </c>
      <c r="B230" s="1" t="s">
        <v>1071</v>
      </c>
      <c r="C230" s="1" t="s">
        <v>1072</v>
      </c>
      <c r="D230" s="1" t="s">
        <v>1073</v>
      </c>
      <c r="E230" s="1" t="s">
        <v>1074</v>
      </c>
      <c r="F230" s="2" t="str">
        <f>"0399554866"</f>
        <v>0399554866</v>
      </c>
      <c r="G230" s="2" t="str">
        <f>"9780399554865"</f>
        <v>9780399554865</v>
      </c>
      <c r="H230" s="1" t="s">
        <v>156</v>
      </c>
      <c r="I230" s="1" t="s">
        <v>36</v>
      </c>
      <c r="J230" s="1">
        <v>16.0</v>
      </c>
      <c r="K230" s="1">
        <v>2016.0</v>
      </c>
      <c r="L230" s="1">
        <v>2016.0</v>
      </c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 t="s">
        <v>96</v>
      </c>
      <c r="Y230" s="1" t="s">
        <v>1075</v>
      </c>
    </row>
    <row r="231">
      <c r="A231" s="1">
        <v>3.4681923E7</v>
      </c>
      <c r="B231" s="1" t="s">
        <v>1076</v>
      </c>
      <c r="C231" s="1" t="s">
        <v>1077</v>
      </c>
      <c r="D231" s="1" t="s">
        <v>1078</v>
      </c>
      <c r="F231" s="2" t="str">
        <f>"0590970720"</f>
        <v>0590970720</v>
      </c>
      <c r="G231" s="2" t="str">
        <f>"9780590970723"</f>
        <v>9780590970723</v>
      </c>
      <c r="H231" s="1" t="s">
        <v>817</v>
      </c>
      <c r="I231" s="1" t="s">
        <v>36</v>
      </c>
      <c r="J231" s="1">
        <v>16.0</v>
      </c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 t="s">
        <v>55</v>
      </c>
      <c r="Y231" s="1" t="s">
        <v>1079</v>
      </c>
    </row>
    <row r="232">
      <c r="A232" s="1">
        <v>3.784813E7</v>
      </c>
      <c r="B232" s="1" t="s">
        <v>1080</v>
      </c>
      <c r="C232" s="1" t="s">
        <v>1081</v>
      </c>
      <c r="D232" s="1" t="s">
        <v>1082</v>
      </c>
      <c r="F232" s="2" t="str">
        <f t="shared" ref="F232:G232" si="73">""</f>
        <v/>
      </c>
      <c r="G232" s="2" t="str">
        <f t="shared" si="73"/>
        <v/>
      </c>
      <c r="H232" s="1" t="s">
        <v>1083</v>
      </c>
      <c r="I232" s="1" t="s">
        <v>238</v>
      </c>
      <c r="J232" s="1">
        <v>16.0</v>
      </c>
      <c r="K232" s="1">
        <v>2017.0</v>
      </c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 t="s">
        <v>1084</v>
      </c>
      <c r="Y232" s="1" t="s">
        <v>1085</v>
      </c>
    </row>
    <row r="233">
      <c r="A233" s="1">
        <v>2267151.0</v>
      </c>
      <c r="B233" s="1" t="s">
        <v>1086</v>
      </c>
      <c r="C233" s="1" t="s">
        <v>1087</v>
      </c>
      <c r="D233" s="1" t="s">
        <v>1088</v>
      </c>
      <c r="F233" s="2" t="str">
        <f>"0756605652"</f>
        <v>0756605652</v>
      </c>
      <c r="G233" s="2" t="str">
        <f>"9780756605650"</f>
        <v>9780756605650</v>
      </c>
      <c r="H233" s="1" t="s">
        <v>1089</v>
      </c>
      <c r="I233" s="1" t="s">
        <v>36</v>
      </c>
      <c r="J233" s="1">
        <v>16.0</v>
      </c>
      <c r="K233" s="1">
        <v>2004.0</v>
      </c>
      <c r="L233" s="1">
        <v>2004.0</v>
      </c>
    </row>
    <row r="234">
      <c r="A234" s="1">
        <v>640771.0</v>
      </c>
      <c r="B234" s="1" t="s">
        <v>1090</v>
      </c>
      <c r="C234" s="1" t="s">
        <v>1091</v>
      </c>
      <c r="D234" s="1" t="s">
        <v>1092</v>
      </c>
      <c r="E234" s="1" t="s">
        <v>1093</v>
      </c>
      <c r="F234" s="2" t="str">
        <f>"0590881299"</f>
        <v>0590881299</v>
      </c>
      <c r="G234" s="2" t="str">
        <f>"9780590881296"</f>
        <v>9780590881296</v>
      </c>
      <c r="H234" s="1" t="s">
        <v>50</v>
      </c>
      <c r="I234" s="1" t="s">
        <v>36</v>
      </c>
      <c r="J234" s="1">
        <v>16.0</v>
      </c>
      <c r="K234" s="1">
        <v>1995.0</v>
      </c>
      <c r="L234" s="1">
        <v>1995.0</v>
      </c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 t="s">
        <v>116</v>
      </c>
      <c r="Y234" s="1" t="s">
        <v>1094</v>
      </c>
    </row>
    <row r="235">
      <c r="A235" s="1">
        <v>1.3788841E7</v>
      </c>
      <c r="B235" s="1" t="s">
        <v>1095</v>
      </c>
      <c r="C235" s="1" t="s">
        <v>938</v>
      </c>
      <c r="D235" s="1" t="s">
        <v>939</v>
      </c>
      <c r="E235" s="1" t="s">
        <v>1096</v>
      </c>
      <c r="F235" s="2" t="str">
        <f>"0794532446"</f>
        <v>0794532446</v>
      </c>
      <c r="G235" s="2" t="str">
        <f>"9780794532444"</f>
        <v>9780794532444</v>
      </c>
      <c r="H235" s="1" t="s">
        <v>917</v>
      </c>
      <c r="I235" s="1" t="s">
        <v>31</v>
      </c>
      <c r="J235" s="1">
        <v>16.0</v>
      </c>
      <c r="K235" s="1">
        <v>2012.0</v>
      </c>
      <c r="L235" s="1">
        <v>2011.0</v>
      </c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 t="s">
        <v>405</v>
      </c>
      <c r="Y235" s="1" t="s">
        <v>1097</v>
      </c>
    </row>
    <row r="236">
      <c r="A236" s="1">
        <v>7.5909696E7</v>
      </c>
      <c r="B236" s="1" t="s">
        <v>1098</v>
      </c>
      <c r="C236" s="1" t="s">
        <v>354</v>
      </c>
      <c r="D236" s="1" t="s">
        <v>355</v>
      </c>
      <c r="F236" s="2" t="str">
        <f>"0545148251"</f>
        <v>0545148251</v>
      </c>
      <c r="G236" s="2" t="str">
        <f>"9780545148252"</f>
        <v>9780545148252</v>
      </c>
      <c r="H236" s="1" t="s">
        <v>50</v>
      </c>
      <c r="I236" s="1" t="s">
        <v>108</v>
      </c>
      <c r="J236" s="1">
        <v>16.0</v>
      </c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 t="s">
        <v>96</v>
      </c>
      <c r="Y236" s="1" t="s">
        <v>1099</v>
      </c>
    </row>
    <row r="237">
      <c r="A237" s="1">
        <v>6.2903656E7</v>
      </c>
      <c r="B237" s="1" t="s">
        <v>1100</v>
      </c>
      <c r="C237" s="1" t="s">
        <v>354</v>
      </c>
      <c r="D237" s="1" t="s">
        <v>355</v>
      </c>
      <c r="F237" s="2" t="str">
        <f>"0545148227"</f>
        <v>0545148227</v>
      </c>
      <c r="G237" s="2" t="str">
        <f>"9780545148221"</f>
        <v>9780545148221</v>
      </c>
      <c r="H237" s="1" t="s">
        <v>50</v>
      </c>
      <c r="J237" s="1">
        <v>16.0</v>
      </c>
      <c r="K237" s="1">
        <v>2009.0</v>
      </c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 t="s">
        <v>96</v>
      </c>
      <c r="Y237" s="1" t="s">
        <v>1101</v>
      </c>
    </row>
    <row r="238">
      <c r="A238" s="1">
        <v>1.7081088E7</v>
      </c>
      <c r="B238" s="1" t="s">
        <v>1102</v>
      </c>
      <c r="C238" s="1" t="s">
        <v>1103</v>
      </c>
      <c r="D238" s="1" t="s">
        <v>1104</v>
      </c>
      <c r="F238" s="2" t="str">
        <f>"0794533787"</f>
        <v>0794533787</v>
      </c>
      <c r="G238" s="2" t="str">
        <f>"9780794533786"</f>
        <v>9780794533786</v>
      </c>
      <c r="H238" s="1" t="s">
        <v>870</v>
      </c>
      <c r="I238" s="1" t="s">
        <v>31</v>
      </c>
      <c r="J238" s="1">
        <v>16.0</v>
      </c>
      <c r="K238" s="1">
        <v>2013.0</v>
      </c>
      <c r="L238" s="1">
        <v>2013.0</v>
      </c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 t="s">
        <v>1105</v>
      </c>
      <c r="Y238" s="1" t="s">
        <v>1106</v>
      </c>
    </row>
    <row r="239">
      <c r="A239" s="1">
        <v>3.2888578E7</v>
      </c>
      <c r="B239" s="1" t="s">
        <v>1107</v>
      </c>
      <c r="C239" s="1" t="s">
        <v>217</v>
      </c>
      <c r="D239" s="1" t="s">
        <v>420</v>
      </c>
      <c r="F239" s="2" t="str">
        <f>"0618359591"</f>
        <v>0618359591</v>
      </c>
      <c r="G239" s="2" t="str">
        <f>"9780618359592"</f>
        <v>9780618359592</v>
      </c>
      <c r="H239" s="1" t="s">
        <v>217</v>
      </c>
      <c r="I239" s="1" t="s">
        <v>31</v>
      </c>
      <c r="J239" s="1">
        <v>16.0</v>
      </c>
      <c r="K239" s="1">
        <v>2003.0</v>
      </c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 t="s">
        <v>51</v>
      </c>
      <c r="Y239" s="1" t="s">
        <v>1108</v>
      </c>
    </row>
    <row r="240">
      <c r="A240" s="1">
        <v>3143809.0</v>
      </c>
      <c r="B240" s="1" t="s">
        <v>1109</v>
      </c>
      <c r="C240" s="1" t="s">
        <v>1110</v>
      </c>
      <c r="D240" s="1" t="s">
        <v>1111</v>
      </c>
      <c r="F240" s="2" t="str">
        <f>"0590273655"</f>
        <v>0590273655</v>
      </c>
      <c r="G240" s="2" t="str">
        <f>"9780590273657"</f>
        <v>9780590273657</v>
      </c>
      <c r="H240" s="1" t="s">
        <v>179</v>
      </c>
      <c r="I240" s="1" t="s">
        <v>36</v>
      </c>
      <c r="J240" s="1">
        <v>16.0</v>
      </c>
      <c r="K240" s="1">
        <v>1994.0</v>
      </c>
      <c r="L240" s="1">
        <v>1994.0</v>
      </c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 t="s">
        <v>852</v>
      </c>
      <c r="Y240" s="1" t="s">
        <v>1112</v>
      </c>
    </row>
    <row r="241">
      <c r="A241" s="1">
        <v>2.100096E7</v>
      </c>
      <c r="B241" s="1" t="s">
        <v>1113</v>
      </c>
      <c r="C241" s="1" t="s">
        <v>1114</v>
      </c>
      <c r="D241" s="1" t="s">
        <v>1115</v>
      </c>
      <c r="F241" s="2" t="str">
        <f>"1405305711"</f>
        <v>1405305711</v>
      </c>
      <c r="G241" s="2" t="str">
        <f>"9781405305716"</f>
        <v>9781405305716</v>
      </c>
      <c r="H241" s="1" t="s">
        <v>1116</v>
      </c>
      <c r="I241" s="1" t="s">
        <v>36</v>
      </c>
      <c r="J241" s="1">
        <v>16.0</v>
      </c>
      <c r="K241" s="1">
        <v>2004.0</v>
      </c>
      <c r="L241" s="1">
        <v>2004.0</v>
      </c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 t="s">
        <v>1117</v>
      </c>
      <c r="Y241" s="1" t="s">
        <v>1118</v>
      </c>
    </row>
    <row r="242">
      <c r="A242" s="1">
        <v>1.3706941E7</v>
      </c>
      <c r="B242" s="1" t="s">
        <v>1119</v>
      </c>
      <c r="C242" s="1" t="s">
        <v>1120</v>
      </c>
      <c r="D242" s="1" t="s">
        <v>1121</v>
      </c>
      <c r="E242" s="1" t="s">
        <v>1122</v>
      </c>
      <c r="F242" s="2" t="str">
        <f>"0375871241"</f>
        <v>0375871241</v>
      </c>
      <c r="G242" s="2" t="str">
        <f>"9780375871245"</f>
        <v>9780375871245</v>
      </c>
      <c r="H242" s="1" t="s">
        <v>156</v>
      </c>
      <c r="I242" s="1" t="s">
        <v>36</v>
      </c>
      <c r="J242" s="1">
        <v>16.0</v>
      </c>
      <c r="K242" s="1">
        <v>2012.0</v>
      </c>
      <c r="L242" s="1">
        <v>2012.0</v>
      </c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 t="s">
        <v>510</v>
      </c>
      <c r="Y242" s="1" t="s">
        <v>1123</v>
      </c>
    </row>
    <row r="243">
      <c r="A243" s="1">
        <v>1.7998388E7</v>
      </c>
      <c r="B243" s="1" t="s">
        <v>1124</v>
      </c>
      <c r="C243" s="1" t="s">
        <v>1125</v>
      </c>
      <c r="D243" s="1" t="s">
        <v>1126</v>
      </c>
      <c r="E243" s="1" t="s">
        <v>1127</v>
      </c>
      <c r="F243" s="2" t="str">
        <f>"8485984803"</f>
        <v>8485984803</v>
      </c>
      <c r="G243" s="2" t="str">
        <f>"9788485984800"</f>
        <v>9788485984800</v>
      </c>
      <c r="H243" s="1" t="s">
        <v>1128</v>
      </c>
      <c r="I243" s="1" t="s">
        <v>36</v>
      </c>
      <c r="J243" s="1">
        <v>16.0</v>
      </c>
      <c r="K243" s="1">
        <v>2009.0</v>
      </c>
      <c r="L243" s="1">
        <v>2009.0</v>
      </c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 t="s">
        <v>61</v>
      </c>
      <c r="Y243" s="1" t="s">
        <v>1129</v>
      </c>
    </row>
    <row r="244">
      <c r="A244" s="1">
        <v>635533.0</v>
      </c>
      <c r="B244" s="1" t="s">
        <v>1130</v>
      </c>
      <c r="C244" s="1" t="s">
        <v>1131</v>
      </c>
      <c r="D244" s="1" t="s">
        <v>1132</v>
      </c>
      <c r="F244" s="2" t="str">
        <f>"0590999419"</f>
        <v>0590999419</v>
      </c>
      <c r="G244" s="2" t="str">
        <f>"9780590999410"</f>
        <v>9780590999410</v>
      </c>
      <c r="H244" s="1" t="s">
        <v>50</v>
      </c>
      <c r="I244" s="1" t="s">
        <v>36</v>
      </c>
      <c r="J244" s="1">
        <v>16.0</v>
      </c>
      <c r="K244" s="1">
        <v>1997.0</v>
      </c>
      <c r="L244" s="1">
        <v>1997.0</v>
      </c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 t="s">
        <v>794</v>
      </c>
      <c r="Y244" s="1" t="s">
        <v>1133</v>
      </c>
    </row>
    <row r="245">
      <c r="A245" s="1">
        <v>6194390.0</v>
      </c>
      <c r="B245" s="1" t="s">
        <v>1134</v>
      </c>
      <c r="C245" s="1" t="s">
        <v>999</v>
      </c>
      <c r="D245" s="1" t="s">
        <v>1000</v>
      </c>
      <c r="F245" s="2" t="str">
        <f>"0590999303"</f>
        <v>0590999303</v>
      </c>
      <c r="G245" s="2" t="str">
        <f>"9780590999304"</f>
        <v>9780590999304</v>
      </c>
      <c r="H245" s="1" t="s">
        <v>50</v>
      </c>
      <c r="I245" s="1" t="s">
        <v>36</v>
      </c>
      <c r="J245" s="1">
        <v>16.0</v>
      </c>
      <c r="K245" s="1">
        <v>1997.0</v>
      </c>
      <c r="L245" s="1">
        <v>1997.0</v>
      </c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 t="s">
        <v>51</v>
      </c>
      <c r="Y245" s="1" t="s">
        <v>1135</v>
      </c>
    </row>
    <row r="246">
      <c r="A246" s="1">
        <v>815234.0</v>
      </c>
      <c r="B246" s="1" t="s">
        <v>1136</v>
      </c>
      <c r="C246" s="1" t="s">
        <v>1137</v>
      </c>
      <c r="D246" s="1" t="s">
        <v>1138</v>
      </c>
      <c r="E246" s="1" t="s">
        <v>1139</v>
      </c>
      <c r="F246" s="2" t="str">
        <f>"0152026320"</f>
        <v>0152026320</v>
      </c>
      <c r="G246" s="2" t="str">
        <f>"9780152026325"</f>
        <v>9780152026325</v>
      </c>
      <c r="H246" s="1" t="s">
        <v>1140</v>
      </c>
      <c r="I246" s="1" t="s">
        <v>67</v>
      </c>
      <c r="J246" s="1">
        <v>16.0</v>
      </c>
      <c r="K246" s="1">
        <v>2000.0</v>
      </c>
      <c r="L246" s="1">
        <v>1984.0</v>
      </c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 t="s">
        <v>1141</v>
      </c>
      <c r="Y246" s="1" t="s">
        <v>1142</v>
      </c>
    </row>
    <row r="247">
      <c r="A247" s="1">
        <v>815264.0</v>
      </c>
      <c r="B247" s="1" t="s">
        <v>1143</v>
      </c>
      <c r="C247" s="1" t="s">
        <v>1144</v>
      </c>
      <c r="D247" s="1" t="s">
        <v>1145</v>
      </c>
      <c r="E247" s="1" t="s">
        <v>1139</v>
      </c>
      <c r="F247" s="2" t="str">
        <f>"015202638X"</f>
        <v>015202638X</v>
      </c>
      <c r="G247" s="2" t="str">
        <f>"9780152026387"</f>
        <v>9780152026387</v>
      </c>
      <c r="H247" s="1" t="s">
        <v>389</v>
      </c>
      <c r="I247" s="1" t="s">
        <v>67</v>
      </c>
      <c r="J247" s="1">
        <v>16.0</v>
      </c>
      <c r="K247" s="1">
        <v>2000.0</v>
      </c>
      <c r="L247" s="1">
        <v>1991.0</v>
      </c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 t="s">
        <v>412</v>
      </c>
      <c r="Y247" s="1" t="s">
        <v>1146</v>
      </c>
    </row>
    <row r="248">
      <c r="A248" s="1">
        <v>2.410919E7</v>
      </c>
      <c r="B248" s="1" t="s">
        <v>1147</v>
      </c>
      <c r="C248" s="1" t="s">
        <v>1148</v>
      </c>
      <c r="D248" s="1" t="s">
        <v>1149</v>
      </c>
      <c r="F248" s="2" t="str">
        <f>"0984365184"</f>
        <v>0984365184</v>
      </c>
      <c r="G248" s="2" t="str">
        <f>"9780984365180"</f>
        <v>9780984365180</v>
      </c>
      <c r="H248" s="1" t="s">
        <v>1150</v>
      </c>
      <c r="I248" s="1" t="s">
        <v>31</v>
      </c>
      <c r="J248" s="1">
        <v>18.0</v>
      </c>
      <c r="K248" s="1">
        <v>2014.0</v>
      </c>
      <c r="L248" s="1">
        <v>2014.0</v>
      </c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 t="s">
        <v>863</v>
      </c>
      <c r="Y248" s="1" t="s">
        <v>1151</v>
      </c>
    </row>
    <row r="249">
      <c r="A249" s="1">
        <v>1.8805966E7</v>
      </c>
      <c r="B249" s="1" t="s">
        <v>1152</v>
      </c>
      <c r="C249" s="1" t="s">
        <v>1153</v>
      </c>
      <c r="D249" s="1" t="s">
        <v>1154</v>
      </c>
      <c r="F249" s="2" t="str">
        <f t="shared" ref="F249:G249" si="74">""</f>
        <v/>
      </c>
      <c r="G249" s="2" t="str">
        <f t="shared" si="74"/>
        <v/>
      </c>
      <c r="H249" s="1" t="s">
        <v>1155</v>
      </c>
      <c r="I249" s="1" t="s">
        <v>238</v>
      </c>
      <c r="J249" s="1">
        <v>18.0</v>
      </c>
      <c r="K249" s="1">
        <v>2013.0</v>
      </c>
      <c r="L249" s="1">
        <v>2000.0</v>
      </c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 t="s">
        <v>1156</v>
      </c>
      <c r="Y249" s="1" t="s">
        <v>1157</v>
      </c>
    </row>
    <row r="250">
      <c r="A250" s="1">
        <v>1.8806022E7</v>
      </c>
      <c r="B250" s="1" t="s">
        <v>1158</v>
      </c>
      <c r="C250" s="1" t="s">
        <v>1153</v>
      </c>
      <c r="D250" s="1" t="s">
        <v>1154</v>
      </c>
      <c r="F250" s="2" t="str">
        <f t="shared" ref="F250:G250" si="75">""</f>
        <v/>
      </c>
      <c r="G250" s="2" t="str">
        <f t="shared" si="75"/>
        <v/>
      </c>
      <c r="H250" s="1" t="s">
        <v>1155</v>
      </c>
      <c r="I250" s="1" t="s">
        <v>238</v>
      </c>
      <c r="J250" s="1">
        <v>18.0</v>
      </c>
      <c r="K250" s="1">
        <v>2013.0</v>
      </c>
      <c r="L250" s="1">
        <v>2000.0</v>
      </c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 t="s">
        <v>1156</v>
      </c>
      <c r="Y250" s="1" t="s">
        <v>1159</v>
      </c>
    </row>
    <row r="251">
      <c r="A251" s="1">
        <v>3.5125562E7</v>
      </c>
      <c r="B251" s="1" t="s">
        <v>1160</v>
      </c>
      <c r="C251" s="1" t="s">
        <v>1153</v>
      </c>
      <c r="D251" s="1" t="s">
        <v>1154</v>
      </c>
      <c r="F251" s="2" t="str">
        <f t="shared" ref="F251:G251" si="76">""</f>
        <v/>
      </c>
      <c r="G251" s="2" t="str">
        <f t="shared" si="76"/>
        <v/>
      </c>
      <c r="H251" s="1" t="s">
        <v>1161</v>
      </c>
      <c r="I251" s="1" t="s">
        <v>238</v>
      </c>
      <c r="J251" s="1">
        <v>18.0</v>
      </c>
      <c r="K251" s="1">
        <v>2013.0</v>
      </c>
      <c r="L251" s="1">
        <v>2013.0</v>
      </c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 t="s">
        <v>1156</v>
      </c>
      <c r="Y251" s="1" t="s">
        <v>1162</v>
      </c>
    </row>
    <row r="252">
      <c r="A252" s="1">
        <v>3.6639268E7</v>
      </c>
      <c r="B252" s="1" t="s">
        <v>1163</v>
      </c>
      <c r="C252" s="1" t="s">
        <v>1164</v>
      </c>
      <c r="D252" s="1" t="s">
        <v>1165</v>
      </c>
      <c r="E252" s="1" t="s">
        <v>1166</v>
      </c>
      <c r="F252" s="2" t="str">
        <f>"0985100540"</f>
        <v>0985100540</v>
      </c>
      <c r="G252" s="2" t="str">
        <f>"9780985100544"</f>
        <v>9780985100544</v>
      </c>
      <c r="H252" s="1" t="s">
        <v>1167</v>
      </c>
      <c r="I252" s="1" t="s">
        <v>108</v>
      </c>
      <c r="J252" s="1">
        <v>18.0</v>
      </c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 t="s">
        <v>835</v>
      </c>
      <c r="Y252" s="1" t="s">
        <v>1168</v>
      </c>
    </row>
    <row r="253">
      <c r="A253" s="1">
        <v>4.8691975E7</v>
      </c>
      <c r="B253" s="1" t="s">
        <v>1169</v>
      </c>
      <c r="C253" s="1" t="s">
        <v>1170</v>
      </c>
      <c r="D253" s="1" t="s">
        <v>1171</v>
      </c>
      <c r="F253" s="2" t="str">
        <f>"059330117X"</f>
        <v>059330117X</v>
      </c>
      <c r="G253" s="2" t="str">
        <f>"9780593301173"</f>
        <v>9780593301173</v>
      </c>
      <c r="H253" s="1" t="s">
        <v>156</v>
      </c>
      <c r="I253" s="1" t="s">
        <v>67</v>
      </c>
      <c r="J253" s="1">
        <v>18.0</v>
      </c>
      <c r="K253" s="1">
        <v>2020.0</v>
      </c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 t="s">
        <v>1105</v>
      </c>
      <c r="Y253" s="1" t="s">
        <v>1172</v>
      </c>
    </row>
    <row r="254">
      <c r="A254" s="1">
        <v>1.8805964E7</v>
      </c>
      <c r="B254" s="1" t="s">
        <v>1173</v>
      </c>
      <c r="C254" s="1" t="s">
        <v>1153</v>
      </c>
      <c r="D254" s="1" t="s">
        <v>1154</v>
      </c>
      <c r="F254" s="2" t="str">
        <f t="shared" ref="F254:G254" si="77">""</f>
        <v/>
      </c>
      <c r="G254" s="2" t="str">
        <f t="shared" si="77"/>
        <v/>
      </c>
      <c r="H254" s="1" t="s">
        <v>1155</v>
      </c>
      <c r="I254" s="1" t="s">
        <v>238</v>
      </c>
      <c r="J254" s="1">
        <v>19.0</v>
      </c>
      <c r="K254" s="1">
        <v>2013.0</v>
      </c>
      <c r="L254" s="1">
        <v>2000.0</v>
      </c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 t="s">
        <v>1156</v>
      </c>
      <c r="Y254" s="1" t="s">
        <v>1174</v>
      </c>
    </row>
    <row r="255">
      <c r="A255" s="1">
        <v>1.8626671E7</v>
      </c>
      <c r="B255" s="1" t="s">
        <v>1175</v>
      </c>
      <c r="C255" s="1" t="s">
        <v>1176</v>
      </c>
      <c r="D255" s="1" t="s">
        <v>1177</v>
      </c>
      <c r="F255" s="2" t="str">
        <f t="shared" ref="F255:G255" si="78">""</f>
        <v/>
      </c>
      <c r="G255" s="2" t="str">
        <f t="shared" si="78"/>
        <v/>
      </c>
      <c r="H255" s="1" t="s">
        <v>1178</v>
      </c>
      <c r="I255" s="1" t="s">
        <v>238</v>
      </c>
      <c r="J255" s="1">
        <v>19.0</v>
      </c>
      <c r="K255" s="1">
        <v>2012.0</v>
      </c>
      <c r="L255" s="1">
        <v>2012.0</v>
      </c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 t="s">
        <v>1179</v>
      </c>
      <c r="Y255" s="1" t="s">
        <v>1180</v>
      </c>
    </row>
    <row r="256">
      <c r="A256" s="1">
        <v>6.1181373E7</v>
      </c>
      <c r="B256" s="1" t="s">
        <v>1181</v>
      </c>
      <c r="C256" s="1" t="s">
        <v>1182</v>
      </c>
      <c r="D256" s="1" t="s">
        <v>1183</v>
      </c>
      <c r="F256" s="2" t="str">
        <f t="shared" ref="F256:G256" si="79">""</f>
        <v/>
      </c>
      <c r="G256" s="2" t="str">
        <f t="shared" si="79"/>
        <v/>
      </c>
      <c r="I256" s="1" t="s">
        <v>108</v>
      </c>
      <c r="J256" s="1">
        <v>19.0</v>
      </c>
      <c r="L256" s="1">
        <v>1969.0</v>
      </c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 t="s">
        <v>536</v>
      </c>
      <c r="Y256" s="1" t="s">
        <v>1184</v>
      </c>
    </row>
    <row r="257">
      <c r="A257" s="1">
        <v>1.3343943E7</v>
      </c>
      <c r="B257" s="1" t="s">
        <v>1185</v>
      </c>
      <c r="C257" s="1" t="s">
        <v>1186</v>
      </c>
      <c r="D257" s="1" t="s">
        <v>1187</v>
      </c>
      <c r="E257" s="1" t="s">
        <v>1188</v>
      </c>
      <c r="F257" s="2" t="str">
        <f>"1419701959"</f>
        <v>1419701959</v>
      </c>
      <c r="G257" s="2" t="str">
        <f>"9781419701955"</f>
        <v>9781419701955</v>
      </c>
      <c r="H257" s="1" t="s">
        <v>145</v>
      </c>
      <c r="I257" s="1" t="s">
        <v>31</v>
      </c>
      <c r="J257" s="1">
        <v>20.0</v>
      </c>
      <c r="K257" s="1">
        <v>2012.0</v>
      </c>
      <c r="L257" s="1">
        <v>2012.0</v>
      </c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 t="s">
        <v>1189</v>
      </c>
      <c r="Y257" s="1" t="s">
        <v>1190</v>
      </c>
    </row>
    <row r="258">
      <c r="A258" s="1">
        <v>2.147148E7</v>
      </c>
      <c r="B258" s="1" t="s">
        <v>1191</v>
      </c>
      <c r="C258" s="1" t="s">
        <v>1192</v>
      </c>
      <c r="D258" s="1" t="s">
        <v>1193</v>
      </c>
      <c r="F258" s="2" t="str">
        <f>"1941367038"</f>
        <v>1941367038</v>
      </c>
      <c r="G258" s="2" t="str">
        <f>"9781941367032"</f>
        <v>9781941367032</v>
      </c>
      <c r="H258" s="1" t="s">
        <v>1194</v>
      </c>
      <c r="I258" s="1" t="s">
        <v>67</v>
      </c>
      <c r="J258" s="1">
        <v>20.0</v>
      </c>
      <c r="K258" s="1">
        <v>2014.0</v>
      </c>
      <c r="L258" s="1">
        <v>2014.0</v>
      </c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 t="s">
        <v>1195</v>
      </c>
      <c r="Y258" s="1" t="s">
        <v>1196</v>
      </c>
    </row>
    <row r="259">
      <c r="A259" s="1">
        <v>2651088.0</v>
      </c>
      <c r="B259" s="1" t="s">
        <v>1197</v>
      </c>
      <c r="C259" s="1" t="s">
        <v>1198</v>
      </c>
      <c r="D259" s="1" t="s">
        <v>1199</v>
      </c>
      <c r="E259" s="1" t="s">
        <v>1200</v>
      </c>
      <c r="F259" s="2" t="str">
        <f>"0439922518"</f>
        <v>0439922518</v>
      </c>
      <c r="G259" s="2" t="str">
        <f>"9780439922517"</f>
        <v>9780439922517</v>
      </c>
      <c r="H259" s="1" t="s">
        <v>50</v>
      </c>
      <c r="I259" s="1" t="s">
        <v>36</v>
      </c>
      <c r="J259" s="1">
        <v>20.0</v>
      </c>
      <c r="K259" s="1">
        <v>2007.0</v>
      </c>
      <c r="L259" s="1">
        <v>2007.0</v>
      </c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 t="s">
        <v>1201</v>
      </c>
      <c r="Y259" s="1" t="s">
        <v>1202</v>
      </c>
    </row>
    <row r="260">
      <c r="A260" s="1">
        <v>1.3362934E7</v>
      </c>
      <c r="B260" s="1" t="s">
        <v>1203</v>
      </c>
      <c r="C260" s="1" t="s">
        <v>1204</v>
      </c>
      <c r="D260" s="1" t="s">
        <v>1205</v>
      </c>
      <c r="E260" s="1" t="s">
        <v>1206</v>
      </c>
      <c r="F260" s="2" t="str">
        <f>"1419701800"</f>
        <v>1419701800</v>
      </c>
      <c r="G260" s="2" t="str">
        <f>"9781419701801"</f>
        <v>9781419701801</v>
      </c>
      <c r="H260" s="1" t="s">
        <v>1207</v>
      </c>
      <c r="I260" s="1" t="s">
        <v>67</v>
      </c>
      <c r="J260" s="1">
        <v>20.0</v>
      </c>
      <c r="K260" s="1">
        <v>2012.0</v>
      </c>
      <c r="L260" s="1">
        <v>2012.0</v>
      </c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 t="s">
        <v>897</v>
      </c>
      <c r="Y260" s="1" t="s">
        <v>1208</v>
      </c>
    </row>
    <row r="261">
      <c r="A261" s="1">
        <v>3.6708428E7</v>
      </c>
      <c r="B261" s="1" t="s">
        <v>1209</v>
      </c>
      <c r="C261" s="1" t="s">
        <v>1210</v>
      </c>
      <c r="D261" s="1" t="s">
        <v>1211</v>
      </c>
      <c r="E261" s="1" t="s">
        <v>1212</v>
      </c>
      <c r="F261" s="2" t="str">
        <f>"1486708315"</f>
        <v>1486708315</v>
      </c>
      <c r="G261" s="2" t="str">
        <f>"9781486708314"</f>
        <v>9781486708314</v>
      </c>
      <c r="H261" s="1" t="s">
        <v>1213</v>
      </c>
      <c r="I261" s="1" t="s">
        <v>36</v>
      </c>
      <c r="J261" s="1">
        <v>20.0</v>
      </c>
      <c r="K261" s="1">
        <v>2014.0</v>
      </c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 t="s">
        <v>96</v>
      </c>
      <c r="Y261" s="1" t="s">
        <v>1214</v>
      </c>
    </row>
    <row r="262">
      <c r="A262" s="1">
        <v>5.2207474E7</v>
      </c>
      <c r="B262" s="1" t="s">
        <v>1215</v>
      </c>
      <c r="C262" s="1" t="s">
        <v>1216</v>
      </c>
      <c r="D262" s="1" t="s">
        <v>1217</v>
      </c>
      <c r="F262" s="2" t="str">
        <f t="shared" ref="F262:G262" si="80">""</f>
        <v/>
      </c>
      <c r="G262" s="2" t="str">
        <f t="shared" si="80"/>
        <v/>
      </c>
      <c r="H262" s="1" t="s">
        <v>1218</v>
      </c>
      <c r="I262" s="1" t="s">
        <v>238</v>
      </c>
      <c r="J262" s="1">
        <v>21.0</v>
      </c>
      <c r="K262" s="1">
        <v>2019.0</v>
      </c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 t="s">
        <v>1219</v>
      </c>
      <c r="Y262" s="1" t="s">
        <v>1220</v>
      </c>
    </row>
    <row r="263">
      <c r="A263" s="1">
        <v>421566.0</v>
      </c>
      <c r="B263" s="1" t="s">
        <v>1221</v>
      </c>
      <c r="C263" s="1" t="s">
        <v>1222</v>
      </c>
      <c r="D263" s="1" t="s">
        <v>1223</v>
      </c>
      <c r="F263" s="2" t="str">
        <f>"0007104405"</f>
        <v>0007104405</v>
      </c>
      <c r="G263" s="2" t="str">
        <f>"9780007104406"</f>
        <v>9780007104406</v>
      </c>
      <c r="H263" s="1" t="s">
        <v>1224</v>
      </c>
      <c r="I263" s="1" t="s">
        <v>36</v>
      </c>
      <c r="J263" s="1">
        <v>22.0</v>
      </c>
      <c r="K263" s="1">
        <v>2010.0</v>
      </c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 t="s">
        <v>1225</v>
      </c>
      <c r="Y263" s="1" t="s">
        <v>1226</v>
      </c>
    </row>
    <row r="264">
      <c r="A264" s="1">
        <v>5.5572302E7</v>
      </c>
      <c r="B264" s="1" t="s">
        <v>1227</v>
      </c>
      <c r="C264" s="1" t="s">
        <v>1228</v>
      </c>
      <c r="D264" s="1" t="s">
        <v>1229</v>
      </c>
      <c r="F264" s="2" t="str">
        <f t="shared" ref="F264:G264" si="81">""</f>
        <v/>
      </c>
      <c r="G264" s="2" t="str">
        <f t="shared" si="81"/>
        <v/>
      </c>
      <c r="I264" s="1" t="s">
        <v>238</v>
      </c>
      <c r="J264" s="1">
        <v>22.0</v>
      </c>
      <c r="K264" s="1">
        <v>2020.0</v>
      </c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 t="s">
        <v>83</v>
      </c>
      <c r="Y264" s="1" t="s">
        <v>1230</v>
      </c>
    </row>
    <row r="265">
      <c r="A265" s="1">
        <v>1001439.0</v>
      </c>
      <c r="B265" s="1" t="s">
        <v>1231</v>
      </c>
      <c r="C265" s="1" t="s">
        <v>1232</v>
      </c>
      <c r="D265" s="1" t="s">
        <v>1233</v>
      </c>
      <c r="F265" s="2" t="str">
        <f>"0689834136"</f>
        <v>0689834136</v>
      </c>
      <c r="G265" s="2" t="str">
        <f>"9780689834134"</f>
        <v>9780689834134</v>
      </c>
      <c r="H265" s="1" t="s">
        <v>1234</v>
      </c>
      <c r="I265" s="1" t="s">
        <v>31</v>
      </c>
      <c r="J265" s="1">
        <v>22.0</v>
      </c>
      <c r="K265" s="1">
        <v>2000.0</v>
      </c>
      <c r="L265" s="1">
        <v>2000.0</v>
      </c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 t="s">
        <v>1235</v>
      </c>
      <c r="Y265" s="1" t="s">
        <v>1236</v>
      </c>
    </row>
    <row r="266">
      <c r="A266" s="1">
        <v>3.8749456E7</v>
      </c>
      <c r="B266" s="1" t="s">
        <v>1237</v>
      </c>
      <c r="C266" s="1" t="s">
        <v>1238</v>
      </c>
      <c r="D266" s="1" t="s">
        <v>1239</v>
      </c>
      <c r="E266" s="1" t="s">
        <v>1240</v>
      </c>
      <c r="F266" s="2" t="str">
        <f>"0807521671"</f>
        <v>0807521671</v>
      </c>
      <c r="G266" s="2" t="str">
        <f>"9780807521670"</f>
        <v>9780807521670</v>
      </c>
      <c r="H266" s="1" t="s">
        <v>1241</v>
      </c>
      <c r="I266" s="1" t="s">
        <v>67</v>
      </c>
      <c r="J266" s="1">
        <v>22.0</v>
      </c>
      <c r="K266" s="1">
        <v>2018.0</v>
      </c>
      <c r="L266" s="1">
        <v>2018.0</v>
      </c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 t="s">
        <v>113</v>
      </c>
      <c r="Y266" s="1" t="s">
        <v>1242</v>
      </c>
    </row>
    <row r="267">
      <c r="A267" s="1">
        <v>2.5855733E7</v>
      </c>
      <c r="B267" s="1" t="s">
        <v>1243</v>
      </c>
      <c r="C267" s="1" t="s">
        <v>1244</v>
      </c>
      <c r="D267" s="1" t="s">
        <v>1245</v>
      </c>
      <c r="E267" s="1" t="s">
        <v>1246</v>
      </c>
      <c r="F267" s="2" t="str">
        <f>"1423640748"</f>
        <v>1423640748</v>
      </c>
      <c r="G267" s="2" t="str">
        <f>"9781423640745"</f>
        <v>9781423640745</v>
      </c>
      <c r="H267" s="1" t="s">
        <v>1247</v>
      </c>
      <c r="I267" s="1" t="s">
        <v>67</v>
      </c>
      <c r="J267" s="1">
        <v>22.0</v>
      </c>
      <c r="K267" s="1">
        <v>2015.0</v>
      </c>
      <c r="L267" s="1">
        <v>2015.0</v>
      </c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 t="s">
        <v>841</v>
      </c>
      <c r="Y267" s="1" t="s">
        <v>1248</v>
      </c>
    </row>
    <row r="268">
      <c r="A268" s="1">
        <v>5.1725072E7</v>
      </c>
      <c r="B268" s="1" t="s">
        <v>1249</v>
      </c>
      <c r="C268" s="1" t="s">
        <v>1250</v>
      </c>
      <c r="D268" s="1" t="s">
        <v>1251</v>
      </c>
      <c r="E268" s="1" t="s">
        <v>1252</v>
      </c>
      <c r="F268" s="2" t="str">
        <f>"1945635231"</f>
        <v>1945635231</v>
      </c>
      <c r="G268" s="2" t="str">
        <f>"9781945635236"</f>
        <v>9781945635236</v>
      </c>
      <c r="H268" s="1" t="s">
        <v>1253</v>
      </c>
      <c r="I268" s="1" t="s">
        <v>779</v>
      </c>
      <c r="J268" s="1">
        <v>22.0</v>
      </c>
      <c r="K268" s="1">
        <v>2020.0</v>
      </c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 t="s">
        <v>1254</v>
      </c>
      <c r="Y268" s="1" t="s">
        <v>1255</v>
      </c>
    </row>
    <row r="269">
      <c r="A269" s="1">
        <v>2828357.0</v>
      </c>
      <c r="B269" s="1" t="s">
        <v>1256</v>
      </c>
      <c r="C269" s="1" t="s">
        <v>1257</v>
      </c>
      <c r="D269" s="1" t="s">
        <v>1258</v>
      </c>
      <c r="F269" s="2" t="str">
        <f>"0822578115"</f>
        <v>0822578115</v>
      </c>
      <c r="G269" s="2" t="str">
        <f>"9780822578116"</f>
        <v>9780822578116</v>
      </c>
      <c r="H269" s="1" t="s">
        <v>1259</v>
      </c>
      <c r="I269" s="1" t="s">
        <v>91</v>
      </c>
      <c r="J269" s="1">
        <v>23.0</v>
      </c>
      <c r="K269" s="1">
        <v>2007.0</v>
      </c>
      <c r="L269" s="1">
        <v>2004.0</v>
      </c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 t="s">
        <v>92</v>
      </c>
      <c r="Y269" s="1" t="s">
        <v>1260</v>
      </c>
    </row>
    <row r="270">
      <c r="A270" s="1">
        <v>2.4381011E7</v>
      </c>
      <c r="B270" s="1" t="s">
        <v>1261</v>
      </c>
      <c r="C270" s="1" t="s">
        <v>1262</v>
      </c>
      <c r="D270" s="1" t="s">
        <v>1263</v>
      </c>
      <c r="E270" s="1" t="s">
        <v>1264</v>
      </c>
      <c r="F270" s="2" t="str">
        <f>"161831193X"</f>
        <v>161831193X</v>
      </c>
      <c r="G270" s="2" t="str">
        <f>"9781618311931"</f>
        <v>9781618311931</v>
      </c>
      <c r="H270" s="1" t="s">
        <v>1265</v>
      </c>
      <c r="I270" s="1" t="s">
        <v>238</v>
      </c>
      <c r="J270" s="1">
        <v>24.0</v>
      </c>
      <c r="K270" s="1">
        <v>2012.0</v>
      </c>
      <c r="L270" s="1">
        <v>1997.0</v>
      </c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 t="s">
        <v>92</v>
      </c>
      <c r="Y270" s="1" t="s">
        <v>1266</v>
      </c>
    </row>
    <row r="271">
      <c r="A271" s="1">
        <v>6943448.0</v>
      </c>
      <c r="B271" s="1" t="s">
        <v>1267</v>
      </c>
      <c r="C271" s="1" t="s">
        <v>1268</v>
      </c>
      <c r="D271" s="1" t="s">
        <v>1269</v>
      </c>
      <c r="E271" s="1" t="s">
        <v>1270</v>
      </c>
      <c r="F271" s="2" t="str">
        <f>"1402763247"</f>
        <v>1402763247</v>
      </c>
      <c r="G271" s="2" t="str">
        <f>"9781402763243"</f>
        <v>9781402763243</v>
      </c>
      <c r="H271" s="1" t="s">
        <v>1271</v>
      </c>
      <c r="I271" s="1" t="s">
        <v>67</v>
      </c>
      <c r="J271" s="1">
        <v>24.0</v>
      </c>
      <c r="K271" s="1">
        <v>2010.0</v>
      </c>
      <c r="L271" s="1">
        <v>2010.0</v>
      </c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 t="s">
        <v>1272</v>
      </c>
      <c r="Y271" s="1" t="s">
        <v>1273</v>
      </c>
    </row>
    <row r="272">
      <c r="A272" s="1">
        <v>1.8793619E7</v>
      </c>
      <c r="B272" s="1" t="s">
        <v>1274</v>
      </c>
      <c r="C272" s="1" t="s">
        <v>1275</v>
      </c>
      <c r="D272" s="1" t="s">
        <v>1276</v>
      </c>
      <c r="F272" s="2" t="str">
        <f>"1482401215"</f>
        <v>1482401215</v>
      </c>
      <c r="G272" s="2" t="str">
        <f>"9781482401219"</f>
        <v>9781482401219</v>
      </c>
      <c r="H272" s="1" t="s">
        <v>1277</v>
      </c>
      <c r="I272" s="1" t="s">
        <v>1278</v>
      </c>
      <c r="J272" s="1">
        <v>24.0</v>
      </c>
      <c r="K272" s="1">
        <v>2013.0</v>
      </c>
      <c r="L272" s="1">
        <v>2013.0</v>
      </c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 t="s">
        <v>92</v>
      </c>
      <c r="Y272" s="1" t="s">
        <v>1279</v>
      </c>
    </row>
    <row r="273">
      <c r="A273" s="1">
        <v>1.8793603E7</v>
      </c>
      <c r="B273" s="1" t="s">
        <v>1280</v>
      </c>
      <c r="C273" s="1" t="s">
        <v>1275</v>
      </c>
      <c r="D273" s="1" t="s">
        <v>1276</v>
      </c>
      <c r="F273" s="2" t="str">
        <f>"1482401010"</f>
        <v>1482401010</v>
      </c>
      <c r="G273" s="2" t="str">
        <f>"9781482401011"</f>
        <v>9781482401011</v>
      </c>
      <c r="H273" s="1" t="s">
        <v>1281</v>
      </c>
      <c r="I273" s="1" t="s">
        <v>91</v>
      </c>
      <c r="J273" s="1">
        <v>24.0</v>
      </c>
      <c r="K273" s="1">
        <v>2013.0</v>
      </c>
      <c r="L273" s="1">
        <v>2013.0</v>
      </c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 t="s">
        <v>92</v>
      </c>
      <c r="Y273" s="1" t="s">
        <v>1282</v>
      </c>
    </row>
    <row r="274">
      <c r="A274" s="1">
        <v>1.8793624E7</v>
      </c>
      <c r="B274" s="1" t="s">
        <v>1283</v>
      </c>
      <c r="C274" s="1" t="s">
        <v>1275</v>
      </c>
      <c r="D274" s="1" t="s">
        <v>1276</v>
      </c>
      <c r="F274" s="2" t="str">
        <f>"1482401282"</f>
        <v>1482401282</v>
      </c>
      <c r="G274" s="2" t="str">
        <f>"9781482401288"</f>
        <v>9781482401288</v>
      </c>
      <c r="H274" s="1" t="s">
        <v>1284</v>
      </c>
      <c r="I274" s="1" t="s">
        <v>91</v>
      </c>
      <c r="J274" s="1">
        <v>24.0</v>
      </c>
      <c r="K274" s="1">
        <v>2013.0</v>
      </c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 t="s">
        <v>92</v>
      </c>
      <c r="Y274" s="1" t="s">
        <v>1285</v>
      </c>
    </row>
    <row r="275">
      <c r="A275" s="1">
        <v>1.8793627E7</v>
      </c>
      <c r="B275" s="1" t="s">
        <v>1286</v>
      </c>
      <c r="C275" s="1" t="s">
        <v>1275</v>
      </c>
      <c r="D275" s="1" t="s">
        <v>1276</v>
      </c>
      <c r="F275" s="2" t="str">
        <f>"1482401320"</f>
        <v>1482401320</v>
      </c>
      <c r="G275" s="2" t="str">
        <f>"9781482401325"</f>
        <v>9781482401325</v>
      </c>
      <c r="H275" s="1" t="s">
        <v>1277</v>
      </c>
      <c r="I275" s="1" t="s">
        <v>91</v>
      </c>
      <c r="J275" s="1">
        <v>24.0</v>
      </c>
      <c r="K275" s="1">
        <v>2013.0</v>
      </c>
      <c r="L275" s="1">
        <v>2013.0</v>
      </c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 t="s">
        <v>92</v>
      </c>
      <c r="Y275" s="1" t="s">
        <v>1287</v>
      </c>
    </row>
    <row r="276">
      <c r="A276" s="1">
        <v>4.1835525E7</v>
      </c>
      <c r="B276" s="1" t="s">
        <v>1288</v>
      </c>
      <c r="C276" s="1" t="s">
        <v>1289</v>
      </c>
      <c r="D276" s="1" t="s">
        <v>1290</v>
      </c>
      <c r="E276" s="1" t="s">
        <v>1291</v>
      </c>
      <c r="F276" s="2" t="str">
        <f>"1338541153"</f>
        <v>1338541153</v>
      </c>
      <c r="G276" s="2" t="str">
        <f>"9781338541151"</f>
        <v>9781338541151</v>
      </c>
      <c r="H276" s="1" t="s">
        <v>817</v>
      </c>
      <c r="I276" s="1" t="s">
        <v>36</v>
      </c>
      <c r="J276" s="1">
        <v>24.0</v>
      </c>
      <c r="K276" s="1">
        <v>2018.0</v>
      </c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 t="s">
        <v>863</v>
      </c>
      <c r="Y276" s="1" t="s">
        <v>1292</v>
      </c>
    </row>
    <row r="277">
      <c r="A277" s="1">
        <v>3.5571812E7</v>
      </c>
      <c r="B277" s="1" t="s">
        <v>1293</v>
      </c>
      <c r="C277" s="1" t="s">
        <v>1294</v>
      </c>
      <c r="D277" s="1" t="s">
        <v>1295</v>
      </c>
      <c r="F277" s="2" t="str">
        <f>"1433399857"</f>
        <v>1433399857</v>
      </c>
      <c r="G277" s="2" t="str">
        <f>"9781433399855"</f>
        <v>9781433399855</v>
      </c>
      <c r="H277" s="1" t="s">
        <v>310</v>
      </c>
      <c r="I277" s="1" t="s">
        <v>238</v>
      </c>
      <c r="J277" s="1">
        <v>24.0</v>
      </c>
      <c r="K277" s="1">
        <v>2011.0</v>
      </c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 t="s">
        <v>116</v>
      </c>
      <c r="Y277" s="1" t="s">
        <v>1296</v>
      </c>
    </row>
    <row r="278">
      <c r="A278" s="1">
        <v>1.4452458E7</v>
      </c>
      <c r="B278" s="1" t="s">
        <v>1297</v>
      </c>
      <c r="C278" s="1" t="s">
        <v>1294</v>
      </c>
      <c r="D278" s="1" t="s">
        <v>1295</v>
      </c>
      <c r="F278" s="2" t="str">
        <f>"1433336146"</f>
        <v>1433336146</v>
      </c>
      <c r="G278" s="2" t="str">
        <f>"9781433336140"</f>
        <v>9781433336140</v>
      </c>
      <c r="H278" s="1" t="s">
        <v>310</v>
      </c>
      <c r="I278" s="1" t="s">
        <v>36</v>
      </c>
      <c r="J278" s="1">
        <v>24.0</v>
      </c>
      <c r="K278" s="1">
        <v>2011.0</v>
      </c>
      <c r="L278" s="1">
        <v>2011.0</v>
      </c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 t="s">
        <v>1298</v>
      </c>
      <c r="Y278" s="1" t="s">
        <v>1299</v>
      </c>
    </row>
    <row r="279">
      <c r="A279" s="1">
        <v>8.0962978E7</v>
      </c>
      <c r="B279" s="1" t="s">
        <v>1300</v>
      </c>
      <c r="C279" s="1" t="s">
        <v>1301</v>
      </c>
      <c r="D279" s="1" t="s">
        <v>1302</v>
      </c>
      <c r="F279" s="2" t="str">
        <f>"1608189295"</f>
        <v>1608189295</v>
      </c>
      <c r="G279" s="2" t="str">
        <f>"9781608189298"</f>
        <v>9781608189298</v>
      </c>
      <c r="H279" s="1" t="s">
        <v>1303</v>
      </c>
      <c r="I279" s="1" t="s">
        <v>31</v>
      </c>
      <c r="J279" s="1">
        <v>24.0</v>
      </c>
      <c r="K279" s="1">
        <v>2017.0</v>
      </c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 t="s">
        <v>245</v>
      </c>
      <c r="Y279" s="1" t="s">
        <v>1304</v>
      </c>
    </row>
    <row r="280">
      <c r="A280" s="1">
        <v>8.0962991E7</v>
      </c>
      <c r="B280" s="1" t="s">
        <v>1305</v>
      </c>
      <c r="C280" s="1" t="s">
        <v>1301</v>
      </c>
      <c r="D280" s="1" t="s">
        <v>1302</v>
      </c>
      <c r="F280" s="2" t="str">
        <f>"1608189325"</f>
        <v>1608189325</v>
      </c>
      <c r="G280" s="2" t="str">
        <f>"9781608189328"</f>
        <v>9781608189328</v>
      </c>
      <c r="H280" s="1" t="s">
        <v>1303</v>
      </c>
      <c r="I280" s="1" t="s">
        <v>31</v>
      </c>
      <c r="J280" s="1">
        <v>24.0</v>
      </c>
      <c r="K280" s="1">
        <v>2017.0</v>
      </c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 t="s">
        <v>245</v>
      </c>
      <c r="Y280" s="1" t="s">
        <v>1306</v>
      </c>
    </row>
    <row r="281">
      <c r="A281" s="1">
        <v>8.0962987E7</v>
      </c>
      <c r="B281" s="1" t="s">
        <v>1307</v>
      </c>
      <c r="C281" s="1" t="s">
        <v>1301</v>
      </c>
      <c r="D281" s="1" t="s">
        <v>1302</v>
      </c>
      <c r="F281" s="2" t="str">
        <f>"1608189317"</f>
        <v>1608189317</v>
      </c>
      <c r="G281" s="2" t="str">
        <f>"9781608189311"</f>
        <v>9781608189311</v>
      </c>
      <c r="H281" s="1" t="s">
        <v>1303</v>
      </c>
      <c r="I281" s="1" t="s">
        <v>31</v>
      </c>
      <c r="J281" s="1">
        <v>24.0</v>
      </c>
      <c r="K281" s="1">
        <v>2017.0</v>
      </c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 t="s">
        <v>109</v>
      </c>
      <c r="Y281" s="1" t="s">
        <v>1308</v>
      </c>
    </row>
    <row r="282">
      <c r="A282" s="1">
        <v>3.1921004E7</v>
      </c>
      <c r="B282" s="1" t="s">
        <v>1309</v>
      </c>
      <c r="C282" s="1" t="s">
        <v>1301</v>
      </c>
      <c r="D282" s="1" t="s">
        <v>1302</v>
      </c>
      <c r="F282" s="2" t="str">
        <f>"160818787X"</f>
        <v>160818787X</v>
      </c>
      <c r="G282" s="2" t="str">
        <f>"9781608187874"</f>
        <v>9781608187874</v>
      </c>
      <c r="H282" s="1" t="s">
        <v>1310</v>
      </c>
      <c r="I282" s="1" t="s">
        <v>91</v>
      </c>
      <c r="J282" s="1">
        <v>24.0</v>
      </c>
      <c r="K282" s="1">
        <v>2017.0</v>
      </c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 t="s">
        <v>96</v>
      </c>
      <c r="Y282" s="1" t="s">
        <v>1311</v>
      </c>
    </row>
    <row r="283">
      <c r="A283" s="1">
        <v>2.0455417E7</v>
      </c>
      <c r="B283" s="1" t="s">
        <v>1312</v>
      </c>
      <c r="C283" s="1" t="s">
        <v>1313</v>
      </c>
      <c r="D283" s="1" t="s">
        <v>1314</v>
      </c>
      <c r="E283" s="1" t="s">
        <v>1315</v>
      </c>
      <c r="F283" s="2" t="str">
        <f>"0723290954"</f>
        <v>0723290954</v>
      </c>
      <c r="G283" s="2" t="str">
        <f>"9780723290957"</f>
        <v>9780723290957</v>
      </c>
      <c r="H283" s="1" t="s">
        <v>1316</v>
      </c>
      <c r="I283" s="1" t="s">
        <v>238</v>
      </c>
      <c r="J283" s="1">
        <v>24.0</v>
      </c>
      <c r="K283" s="1">
        <v>2014.0</v>
      </c>
      <c r="L283" s="1">
        <v>2014.0</v>
      </c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 t="s">
        <v>1317</v>
      </c>
      <c r="Y283" s="1" t="s">
        <v>1318</v>
      </c>
    </row>
    <row r="284">
      <c r="A284" s="1">
        <v>5.2664819E7</v>
      </c>
      <c r="B284" s="1" t="s">
        <v>1319</v>
      </c>
      <c r="C284" s="1" t="s">
        <v>1313</v>
      </c>
      <c r="D284" s="1" t="s">
        <v>1314</v>
      </c>
      <c r="E284" s="1" t="s">
        <v>1320</v>
      </c>
      <c r="F284" s="2" t="str">
        <f>"1338681052"</f>
        <v>1338681052</v>
      </c>
      <c r="G284" s="2" t="str">
        <f>"9781338681055"</f>
        <v>9781338681055</v>
      </c>
      <c r="H284" s="1" t="s">
        <v>817</v>
      </c>
      <c r="I284" s="1" t="s">
        <v>36</v>
      </c>
      <c r="J284" s="1">
        <v>24.0</v>
      </c>
      <c r="K284" s="1">
        <v>2021.0</v>
      </c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 t="s">
        <v>323</v>
      </c>
      <c r="Y284" s="1" t="s">
        <v>1321</v>
      </c>
    </row>
    <row r="285">
      <c r="A285" s="1">
        <v>734541.0</v>
      </c>
      <c r="B285" s="1" t="s">
        <v>1322</v>
      </c>
      <c r="C285" s="1" t="s">
        <v>1323</v>
      </c>
      <c r="D285" s="1" t="s">
        <v>1324</v>
      </c>
      <c r="E285" s="1" t="s">
        <v>1325</v>
      </c>
      <c r="F285" s="2" t="str">
        <f>"0375834613"</f>
        <v>0375834613</v>
      </c>
      <c r="G285" s="2" t="str">
        <f>"9780375834615"</f>
        <v>9780375834615</v>
      </c>
      <c r="H285" s="1" t="s">
        <v>156</v>
      </c>
      <c r="I285" s="1" t="s">
        <v>779</v>
      </c>
      <c r="J285" s="1">
        <v>24.0</v>
      </c>
      <c r="K285" s="1">
        <v>2006.0</v>
      </c>
      <c r="L285" s="1">
        <v>2005.0</v>
      </c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 t="s">
        <v>1326</v>
      </c>
      <c r="Y285" s="1" t="s">
        <v>1327</v>
      </c>
    </row>
    <row r="286">
      <c r="A286" s="1">
        <v>5.4776583E7</v>
      </c>
      <c r="B286" s="1" t="s">
        <v>1328</v>
      </c>
      <c r="C286" s="1" t="s">
        <v>1329</v>
      </c>
      <c r="D286" s="1" t="s">
        <v>1330</v>
      </c>
      <c r="F286" s="2" t="str">
        <f>"1338729365"</f>
        <v>1338729365</v>
      </c>
      <c r="G286" s="2" t="str">
        <f>"9781338729368"</f>
        <v>9781338729368</v>
      </c>
      <c r="H286" s="1" t="s">
        <v>86</v>
      </c>
      <c r="I286" s="1" t="s">
        <v>36</v>
      </c>
      <c r="J286" s="1">
        <v>24.0</v>
      </c>
      <c r="K286" s="1">
        <v>2021.0</v>
      </c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 t="s">
        <v>32</v>
      </c>
      <c r="Y286" s="1" t="s">
        <v>1331</v>
      </c>
    </row>
    <row r="287">
      <c r="A287" s="1">
        <v>5.5977981E7</v>
      </c>
      <c r="B287" s="1" t="s">
        <v>1332</v>
      </c>
      <c r="C287" s="1" t="s">
        <v>1329</v>
      </c>
      <c r="D287" s="1" t="s">
        <v>1330</v>
      </c>
      <c r="F287" s="2" t="str">
        <f>"1338766902"</f>
        <v>1338766902</v>
      </c>
      <c r="G287" s="2" t="str">
        <f>"9781338766905"</f>
        <v>9781338766905</v>
      </c>
      <c r="H287" s="1" t="s">
        <v>86</v>
      </c>
      <c r="I287" s="1" t="s">
        <v>36</v>
      </c>
      <c r="J287" s="1">
        <v>24.0</v>
      </c>
      <c r="K287" s="1">
        <v>2021.0</v>
      </c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 t="s">
        <v>1333</v>
      </c>
      <c r="Y287" s="1" t="s">
        <v>1334</v>
      </c>
    </row>
    <row r="288">
      <c r="A288" s="1">
        <v>3329377.0</v>
      </c>
      <c r="B288" s="1" t="s">
        <v>1335</v>
      </c>
      <c r="C288" s="1" t="s">
        <v>1336</v>
      </c>
      <c r="D288" s="1" t="s">
        <v>1337</v>
      </c>
      <c r="F288" s="2" t="str">
        <f>"0439876508"</f>
        <v>0439876508</v>
      </c>
      <c r="G288" s="2" t="str">
        <f>"9780439876506"</f>
        <v>9780439876506</v>
      </c>
      <c r="H288" s="1" t="s">
        <v>817</v>
      </c>
      <c r="I288" s="1" t="s">
        <v>36</v>
      </c>
      <c r="J288" s="1">
        <v>24.0</v>
      </c>
      <c r="K288" s="1">
        <v>2007.0</v>
      </c>
      <c r="L288" s="1">
        <v>2007.0</v>
      </c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 t="s">
        <v>835</v>
      </c>
      <c r="Y288" s="1" t="s">
        <v>1338</v>
      </c>
    </row>
    <row r="289">
      <c r="A289" s="1">
        <v>8421267.0</v>
      </c>
      <c r="B289" s="1" t="s">
        <v>1339</v>
      </c>
      <c r="C289" s="1" t="s">
        <v>1340</v>
      </c>
      <c r="D289" s="1" t="s">
        <v>1341</v>
      </c>
      <c r="F289" s="2" t="str">
        <f>"1605960764"</f>
        <v>1605960764</v>
      </c>
      <c r="G289" s="2" t="str">
        <f>"9781605960760"</f>
        <v>9781605960760</v>
      </c>
      <c r="H289" s="1" t="s">
        <v>1342</v>
      </c>
      <c r="I289" s="1" t="s">
        <v>91</v>
      </c>
      <c r="J289" s="1">
        <v>24.0</v>
      </c>
      <c r="K289" s="1">
        <v>2009.0</v>
      </c>
      <c r="L289" s="1">
        <v>2009.0</v>
      </c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 t="s">
        <v>1343</v>
      </c>
      <c r="Y289" s="1" t="s">
        <v>1344</v>
      </c>
    </row>
    <row r="290">
      <c r="A290" s="1">
        <v>6115330.0</v>
      </c>
      <c r="B290" s="1" t="s">
        <v>1345</v>
      </c>
      <c r="C290" s="1" t="s">
        <v>1346</v>
      </c>
      <c r="D290" s="1" t="s">
        <v>1347</v>
      </c>
      <c r="E290" s="1" t="s">
        <v>1348</v>
      </c>
      <c r="F290" s="2" t="str">
        <f>"1584766158"</f>
        <v>1584766158</v>
      </c>
      <c r="G290" s="2" t="str">
        <f>"9781584766155"</f>
        <v>9781584766155</v>
      </c>
      <c r="H290" s="1" t="s">
        <v>1349</v>
      </c>
      <c r="I290" s="1" t="s">
        <v>36</v>
      </c>
      <c r="J290" s="1">
        <v>24.0</v>
      </c>
      <c r="K290" s="1">
        <v>2008.0</v>
      </c>
      <c r="L290" s="1">
        <v>2008.0</v>
      </c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 t="s">
        <v>83</v>
      </c>
      <c r="Y290" s="1" t="s">
        <v>1350</v>
      </c>
    </row>
    <row r="291">
      <c r="A291" s="1">
        <v>4.1473906E7</v>
      </c>
      <c r="B291" s="1" t="s">
        <v>1351</v>
      </c>
      <c r="C291" s="1" t="s">
        <v>159</v>
      </c>
      <c r="D291" s="1" t="s">
        <v>160</v>
      </c>
      <c r="F291" s="2" t="str">
        <f>"1338337548"</f>
        <v>1338337548</v>
      </c>
      <c r="G291" s="2" t="str">
        <f>"9781338337549"</f>
        <v>9781338337549</v>
      </c>
      <c r="H291" s="1" t="s">
        <v>857</v>
      </c>
      <c r="I291" s="1" t="s">
        <v>31</v>
      </c>
      <c r="J291" s="1">
        <v>24.0</v>
      </c>
      <c r="K291" s="1">
        <v>2019.0</v>
      </c>
      <c r="L291" s="1">
        <v>2019.0</v>
      </c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 t="s">
        <v>1352</v>
      </c>
      <c r="Y291" s="1" t="s">
        <v>1353</v>
      </c>
    </row>
    <row r="292">
      <c r="A292" s="1">
        <v>3.1409182E7</v>
      </c>
      <c r="B292" s="1" t="s">
        <v>1354</v>
      </c>
      <c r="C292" s="1" t="s">
        <v>159</v>
      </c>
      <c r="D292" s="1" t="s">
        <v>160</v>
      </c>
      <c r="F292" s="2" t="str">
        <f>"1760159840"</f>
        <v>1760159840</v>
      </c>
      <c r="G292" s="2" t="str">
        <f>"9781760159849"</f>
        <v>9781760159849</v>
      </c>
      <c r="H292" s="1" t="s">
        <v>1355</v>
      </c>
      <c r="I292" s="1" t="s">
        <v>31</v>
      </c>
      <c r="J292" s="1">
        <v>24.0</v>
      </c>
      <c r="K292" s="1">
        <v>2016.0</v>
      </c>
      <c r="L292" s="1">
        <v>2016.0</v>
      </c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 t="s">
        <v>1356</v>
      </c>
      <c r="Y292" s="1" t="s">
        <v>1357</v>
      </c>
    </row>
    <row r="293">
      <c r="A293" s="1">
        <v>2.5071857E7</v>
      </c>
      <c r="B293" s="1" t="s">
        <v>1358</v>
      </c>
      <c r="C293" s="1" t="s">
        <v>159</v>
      </c>
      <c r="D293" s="1" t="s">
        <v>160</v>
      </c>
      <c r="F293" s="2" t="str">
        <f>"1743629060"</f>
        <v>1743629060</v>
      </c>
      <c r="G293" s="2" t="str">
        <f>"9781743629062"</f>
        <v>9781743629062</v>
      </c>
      <c r="H293" s="1" t="s">
        <v>1355</v>
      </c>
      <c r="I293" s="1" t="s">
        <v>31</v>
      </c>
      <c r="J293" s="1">
        <v>24.0</v>
      </c>
      <c r="K293" s="1">
        <v>2015.0</v>
      </c>
      <c r="L293" s="1">
        <v>2015.0</v>
      </c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 t="s">
        <v>1359</v>
      </c>
      <c r="Y293" s="1" t="s">
        <v>1360</v>
      </c>
    </row>
    <row r="294">
      <c r="A294" s="1">
        <v>2.2735715E7</v>
      </c>
      <c r="B294" s="1" t="s">
        <v>1361</v>
      </c>
      <c r="C294" s="1" t="s">
        <v>159</v>
      </c>
      <c r="D294" s="1" t="s">
        <v>160</v>
      </c>
      <c r="F294" s="2" t="str">
        <f>"1743624778"</f>
        <v>1743624778</v>
      </c>
      <c r="G294" s="2" t="str">
        <f>"9781743624777"</f>
        <v>9781743624777</v>
      </c>
      <c r="H294" s="1" t="s">
        <v>50</v>
      </c>
      <c r="I294" s="1" t="s">
        <v>31</v>
      </c>
      <c r="J294" s="1">
        <v>24.0</v>
      </c>
      <c r="K294" s="1">
        <v>2014.0</v>
      </c>
      <c r="L294" s="1">
        <v>2014.0</v>
      </c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 t="s">
        <v>684</v>
      </c>
      <c r="Y294" s="1" t="s">
        <v>1362</v>
      </c>
    </row>
    <row r="295">
      <c r="A295" s="1">
        <v>7558007.0</v>
      </c>
      <c r="B295" s="1" t="s">
        <v>1363</v>
      </c>
      <c r="C295" s="1" t="s">
        <v>1364</v>
      </c>
      <c r="D295" s="1" t="s">
        <v>1365</v>
      </c>
      <c r="F295" s="2" t="str">
        <f>"0545172241"</f>
        <v>0545172241</v>
      </c>
      <c r="G295" s="2" t="str">
        <f>"9780545172240"</f>
        <v>9780545172240</v>
      </c>
      <c r="H295" s="1" t="s">
        <v>50</v>
      </c>
      <c r="I295" s="1" t="s">
        <v>31</v>
      </c>
      <c r="J295" s="1">
        <v>24.0</v>
      </c>
      <c r="K295" s="1">
        <v>2008.0</v>
      </c>
      <c r="L295" s="1">
        <v>2008.0</v>
      </c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 t="s">
        <v>1356</v>
      </c>
      <c r="Y295" s="1" t="s">
        <v>1366</v>
      </c>
    </row>
    <row r="296">
      <c r="A296" s="1">
        <v>1.2402794E7</v>
      </c>
      <c r="B296" s="1" t="s">
        <v>1367</v>
      </c>
      <c r="C296" s="1" t="s">
        <v>1368</v>
      </c>
      <c r="D296" s="1" t="s">
        <v>1369</v>
      </c>
      <c r="E296" s="1" t="s">
        <v>1370</v>
      </c>
      <c r="F296" s="2" t="str">
        <f>"1442443774"</f>
        <v>1442443774</v>
      </c>
      <c r="G296" s="2" t="str">
        <f>"9781442443778"</f>
        <v>9781442443778</v>
      </c>
      <c r="H296" s="1" t="s">
        <v>1371</v>
      </c>
      <c r="I296" s="1" t="s">
        <v>36</v>
      </c>
      <c r="J296" s="1">
        <v>24.0</v>
      </c>
      <c r="K296" s="1">
        <v>2012.0</v>
      </c>
      <c r="L296" s="1">
        <v>2012.0</v>
      </c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 t="s">
        <v>1372</v>
      </c>
      <c r="Y296" s="1" t="s">
        <v>1373</v>
      </c>
    </row>
    <row r="297">
      <c r="A297" s="1">
        <v>824659.0</v>
      </c>
      <c r="B297" s="1" t="s">
        <v>1374</v>
      </c>
      <c r="C297" s="1" t="s">
        <v>188</v>
      </c>
      <c r="D297" s="1" t="s">
        <v>189</v>
      </c>
      <c r="F297" s="2" t="str">
        <f>"0679884661"</f>
        <v>0679884661</v>
      </c>
      <c r="G297" s="2" t="str">
        <f>"9780679884668"</f>
        <v>9780679884668</v>
      </c>
      <c r="H297" s="1" t="s">
        <v>156</v>
      </c>
      <c r="I297" s="1" t="s">
        <v>36</v>
      </c>
      <c r="J297" s="1">
        <v>24.0</v>
      </c>
      <c r="K297" s="1">
        <v>2000.0</v>
      </c>
      <c r="L297" s="1">
        <v>2000.0</v>
      </c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 t="s">
        <v>1179</v>
      </c>
      <c r="Y297" s="1" t="s">
        <v>1375</v>
      </c>
    </row>
    <row r="298">
      <c r="A298" s="1">
        <v>216330.0</v>
      </c>
      <c r="B298" s="1" t="s">
        <v>1376</v>
      </c>
      <c r="C298" s="1" t="s">
        <v>1377</v>
      </c>
      <c r="D298" s="1" t="s">
        <v>1378</v>
      </c>
      <c r="E298" s="1" t="s">
        <v>1379</v>
      </c>
      <c r="F298" s="2" t="str">
        <f>"0064432270"</f>
        <v>0064432270</v>
      </c>
      <c r="G298" s="2" t="str">
        <f>"9780064432276"</f>
        <v>9780064432276</v>
      </c>
      <c r="H298" s="1" t="s">
        <v>290</v>
      </c>
      <c r="I298" s="1" t="s">
        <v>36</v>
      </c>
      <c r="J298" s="1">
        <v>24.0</v>
      </c>
      <c r="K298" s="1">
        <v>1990.0</v>
      </c>
      <c r="L298" s="1">
        <v>1949.0</v>
      </c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 t="s">
        <v>1084</v>
      </c>
      <c r="Y298" s="1" t="s">
        <v>1380</v>
      </c>
    </row>
    <row r="299">
      <c r="A299" s="1">
        <v>1266894.0</v>
      </c>
      <c r="B299" s="1" t="s">
        <v>1381</v>
      </c>
      <c r="C299" s="1" t="s">
        <v>1382</v>
      </c>
      <c r="D299" s="1" t="s">
        <v>1383</v>
      </c>
      <c r="F299" s="2" t="str">
        <f>"140273073X"</f>
        <v>140273073X</v>
      </c>
      <c r="G299" s="2" t="str">
        <f>"9781402730733"</f>
        <v>9781402730733</v>
      </c>
      <c r="H299" s="1" t="s">
        <v>1271</v>
      </c>
      <c r="I299" s="1" t="s">
        <v>36</v>
      </c>
      <c r="J299" s="1">
        <v>24.0</v>
      </c>
      <c r="K299" s="1">
        <v>2006.0</v>
      </c>
      <c r="L299" s="1">
        <v>2006.0</v>
      </c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 t="s">
        <v>1372</v>
      </c>
      <c r="Y299" s="1" t="s">
        <v>1384</v>
      </c>
    </row>
    <row r="300">
      <c r="A300" s="1">
        <v>2.6846248E7</v>
      </c>
      <c r="B300" s="1" t="s">
        <v>1385</v>
      </c>
      <c r="C300" s="1" t="s">
        <v>1386</v>
      </c>
      <c r="D300" s="1" t="s">
        <v>1387</v>
      </c>
      <c r="E300" s="1" t="s">
        <v>1388</v>
      </c>
      <c r="F300" s="2" t="str">
        <f t="shared" ref="F300:G300" si="82">""</f>
        <v/>
      </c>
      <c r="G300" s="2" t="str">
        <f t="shared" si="82"/>
        <v/>
      </c>
      <c r="H300" s="1" t="s">
        <v>1389</v>
      </c>
      <c r="I300" s="1" t="s">
        <v>36</v>
      </c>
      <c r="J300" s="1">
        <v>24.0</v>
      </c>
      <c r="K300" s="1">
        <v>2015.0</v>
      </c>
      <c r="L300" s="1">
        <v>2015.0</v>
      </c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 t="s">
        <v>1390</v>
      </c>
      <c r="Y300" s="1" t="s">
        <v>1391</v>
      </c>
    </row>
    <row r="301">
      <c r="A301" s="1">
        <v>1.7074068E7</v>
      </c>
      <c r="B301" s="1" t="s">
        <v>1392</v>
      </c>
      <c r="C301" s="1" t="s">
        <v>1393</v>
      </c>
      <c r="D301" s="1" t="s">
        <v>1394</v>
      </c>
      <c r="E301" s="1" t="s">
        <v>1395</v>
      </c>
      <c r="F301" s="2" t="str">
        <f>"1459802489"</f>
        <v>1459802489</v>
      </c>
      <c r="G301" s="2" t="str">
        <f>"9781459802483"</f>
        <v>9781459802483</v>
      </c>
      <c r="H301" s="1" t="s">
        <v>1396</v>
      </c>
      <c r="I301" s="1" t="s">
        <v>67</v>
      </c>
      <c r="J301" s="1">
        <v>24.0</v>
      </c>
      <c r="K301" s="1">
        <v>2013.0</v>
      </c>
      <c r="L301" s="1">
        <v>2013.0</v>
      </c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 t="s">
        <v>1397</v>
      </c>
      <c r="Y301" s="1" t="s">
        <v>1398</v>
      </c>
    </row>
    <row r="302">
      <c r="A302" s="1">
        <v>1807216.0</v>
      </c>
      <c r="B302" s="1" t="s">
        <v>1399</v>
      </c>
      <c r="C302" s="1" t="s">
        <v>1400</v>
      </c>
      <c r="D302" s="1" t="s">
        <v>1401</v>
      </c>
      <c r="E302" s="1" t="s">
        <v>1402</v>
      </c>
      <c r="F302" s="2" t="str">
        <f>"0060274131"</f>
        <v>0060274131</v>
      </c>
      <c r="G302" s="2" t="str">
        <f>"9780060274139"</f>
        <v>9780060274139</v>
      </c>
      <c r="H302" s="1" t="s">
        <v>290</v>
      </c>
      <c r="I302" s="1" t="s">
        <v>36</v>
      </c>
      <c r="J302" s="1">
        <v>24.0</v>
      </c>
      <c r="K302" s="1">
        <v>1997.0</v>
      </c>
      <c r="L302" s="1">
        <v>1997.0</v>
      </c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 t="s">
        <v>1403</v>
      </c>
      <c r="Y302" s="1" t="s">
        <v>1404</v>
      </c>
    </row>
    <row r="303">
      <c r="A303" s="1">
        <v>1.3073871E7</v>
      </c>
      <c r="B303" s="1" t="s">
        <v>1405</v>
      </c>
      <c r="C303" s="1" t="s">
        <v>1021</v>
      </c>
      <c r="D303" s="1" t="s">
        <v>1022</v>
      </c>
      <c r="F303" s="2" t="str">
        <f>"1450805752"</f>
        <v>1450805752</v>
      </c>
      <c r="G303" s="2" t="str">
        <f>"9781450805759"</f>
        <v>9781450805759</v>
      </c>
      <c r="H303" s="1" t="s">
        <v>880</v>
      </c>
      <c r="I303" s="1" t="s">
        <v>779</v>
      </c>
      <c r="J303" s="1">
        <v>24.0</v>
      </c>
      <c r="K303" s="1">
        <v>2013.0</v>
      </c>
      <c r="L303" s="1">
        <v>2013.0</v>
      </c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 t="s">
        <v>1024</v>
      </c>
      <c r="Y303" s="1" t="s">
        <v>1406</v>
      </c>
    </row>
    <row r="304">
      <c r="A304" s="1">
        <v>2.9342067E7</v>
      </c>
      <c r="B304" s="1" t="s">
        <v>1407</v>
      </c>
      <c r="C304" s="1" t="s">
        <v>1021</v>
      </c>
      <c r="D304" s="1" t="s">
        <v>1022</v>
      </c>
      <c r="F304" s="2" t="str">
        <f>"1450874770"</f>
        <v>1450874770</v>
      </c>
      <c r="G304" s="2" t="str">
        <f>"9781450874779"</f>
        <v>9781450874779</v>
      </c>
      <c r="H304" s="1" t="s">
        <v>880</v>
      </c>
      <c r="I304" s="1" t="s">
        <v>31</v>
      </c>
      <c r="J304" s="1">
        <v>24.0</v>
      </c>
      <c r="K304" s="1">
        <v>2014.0</v>
      </c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 t="s">
        <v>1024</v>
      </c>
      <c r="Y304" s="1" t="s">
        <v>1408</v>
      </c>
    </row>
    <row r="305">
      <c r="A305" s="1">
        <v>3.0454336E7</v>
      </c>
      <c r="B305" s="1" t="s">
        <v>1409</v>
      </c>
      <c r="C305" s="1" t="s">
        <v>1410</v>
      </c>
      <c r="D305" s="1" t="s">
        <v>1411</v>
      </c>
      <c r="F305" s="2" t="str">
        <f>"148964413X"</f>
        <v>148964413X</v>
      </c>
      <c r="G305" s="2" t="str">
        <f>"9781489644138"</f>
        <v>9781489644138</v>
      </c>
      <c r="H305" s="1" t="s">
        <v>1412</v>
      </c>
      <c r="I305" s="1" t="s">
        <v>91</v>
      </c>
      <c r="J305" s="1">
        <v>24.0</v>
      </c>
      <c r="K305" s="1">
        <v>2016.0</v>
      </c>
      <c r="L305" s="1">
        <v>2015.0</v>
      </c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 t="s">
        <v>1413</v>
      </c>
      <c r="Y305" s="1" t="s">
        <v>1414</v>
      </c>
    </row>
    <row r="306">
      <c r="A306" s="1">
        <v>5.3661186E7</v>
      </c>
      <c r="B306" s="1" t="s">
        <v>1415</v>
      </c>
      <c r="C306" s="1" t="s">
        <v>1416</v>
      </c>
      <c r="D306" s="1" t="s">
        <v>1417</v>
      </c>
      <c r="F306" s="2" t="str">
        <f>"1338734261"</f>
        <v>1338734261</v>
      </c>
      <c r="G306" s="2" t="str">
        <f>"9781338734263"</f>
        <v>9781338734263</v>
      </c>
      <c r="H306" s="1" t="s">
        <v>86</v>
      </c>
      <c r="I306" s="1" t="s">
        <v>36</v>
      </c>
      <c r="J306" s="1">
        <v>24.0</v>
      </c>
      <c r="K306" s="1">
        <v>2020.0</v>
      </c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 t="s">
        <v>1317</v>
      </c>
      <c r="Y306" s="1" t="s">
        <v>1418</v>
      </c>
    </row>
    <row r="307">
      <c r="A307" s="1">
        <v>2.7206474E7</v>
      </c>
      <c r="B307" s="1" t="s">
        <v>1419</v>
      </c>
      <c r="C307" s="1" t="s">
        <v>1420</v>
      </c>
      <c r="D307" s="1" t="s">
        <v>1421</v>
      </c>
      <c r="F307" s="2" t="str">
        <f>"1481440519"</f>
        <v>1481440519</v>
      </c>
      <c r="G307" s="2" t="str">
        <f>"9781481440516"</f>
        <v>9781481440516</v>
      </c>
      <c r="H307" s="1" t="s">
        <v>1371</v>
      </c>
      <c r="I307" s="1" t="s">
        <v>31</v>
      </c>
      <c r="J307" s="1">
        <v>24.0</v>
      </c>
      <c r="K307" s="1">
        <v>2016.0</v>
      </c>
      <c r="L307" s="1">
        <v>2016.0</v>
      </c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 t="s">
        <v>1422</v>
      </c>
      <c r="Y307" s="1" t="s">
        <v>1423</v>
      </c>
    </row>
    <row r="308">
      <c r="A308" s="1">
        <v>4.9459272E7</v>
      </c>
      <c r="B308" s="1" t="s">
        <v>1424</v>
      </c>
      <c r="C308" s="1" t="s">
        <v>1425</v>
      </c>
      <c r="D308" s="1" t="s">
        <v>1426</v>
      </c>
      <c r="F308" s="2" t="str">
        <f>"1543561594"</f>
        <v>1543561594</v>
      </c>
      <c r="G308" s="2" t="str">
        <f>"9781543561593"</f>
        <v>9781543561593</v>
      </c>
      <c r="H308" s="1" t="s">
        <v>1427</v>
      </c>
      <c r="I308" s="1" t="s">
        <v>238</v>
      </c>
      <c r="J308" s="1">
        <v>24.0</v>
      </c>
      <c r="K308" s="1">
        <v>2010.0</v>
      </c>
      <c r="L308" s="1">
        <v>2010.0</v>
      </c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 t="s">
        <v>245</v>
      </c>
      <c r="Y308" s="1" t="s">
        <v>1428</v>
      </c>
    </row>
    <row r="309">
      <c r="A309" s="1">
        <v>1.2896664E7</v>
      </c>
      <c r="B309" s="1" t="s">
        <v>1429</v>
      </c>
      <c r="C309" s="1" t="s">
        <v>1430</v>
      </c>
      <c r="D309" s="1" t="s">
        <v>1431</v>
      </c>
      <c r="F309" s="2" t="str">
        <f>"1848350465"</f>
        <v>1848350465</v>
      </c>
      <c r="G309" s="2" t="str">
        <f>"9781848350465"</f>
        <v>9781848350465</v>
      </c>
      <c r="H309" s="1" t="s">
        <v>1432</v>
      </c>
      <c r="I309" s="1" t="s">
        <v>36</v>
      </c>
      <c r="J309" s="1">
        <v>24.0</v>
      </c>
      <c r="K309" s="1">
        <v>2009.0</v>
      </c>
      <c r="L309" s="1">
        <v>2008.0</v>
      </c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 t="s">
        <v>1433</v>
      </c>
      <c r="Y309" s="1" t="s">
        <v>1434</v>
      </c>
    </row>
    <row r="310">
      <c r="A310" s="1">
        <v>2.3528496E7</v>
      </c>
      <c r="B310" s="1" t="s">
        <v>1435</v>
      </c>
      <c r="C310" s="1" t="s">
        <v>849</v>
      </c>
      <c r="D310" s="1" t="s">
        <v>850</v>
      </c>
      <c r="F310" s="2" t="str">
        <f>"0606363866"</f>
        <v>0606363866</v>
      </c>
      <c r="G310" s="2" t="str">
        <f>"9780606363860"</f>
        <v>9780606363860</v>
      </c>
      <c r="H310" s="1" t="s">
        <v>351</v>
      </c>
      <c r="I310" s="1" t="s">
        <v>91</v>
      </c>
      <c r="J310" s="1">
        <v>24.0</v>
      </c>
      <c r="K310" s="1">
        <v>2015.0</v>
      </c>
      <c r="L310" s="1">
        <v>2015.0</v>
      </c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 t="s">
        <v>1235</v>
      </c>
      <c r="Y310" s="1" t="s">
        <v>1436</v>
      </c>
    </row>
    <row r="311">
      <c r="A311" s="1">
        <v>3291910.0</v>
      </c>
      <c r="B311" s="1" t="s">
        <v>1437</v>
      </c>
      <c r="C311" s="1" t="s">
        <v>1438</v>
      </c>
      <c r="D311" s="1" t="s">
        <v>1439</v>
      </c>
      <c r="E311" s="1" t="s">
        <v>1440</v>
      </c>
      <c r="F311" s="2" t="str">
        <f>"140427667X"</f>
        <v>140427667X</v>
      </c>
      <c r="G311" s="2" t="str">
        <f>"9781404276673"</f>
        <v>9781404276673</v>
      </c>
      <c r="H311" s="1" t="s">
        <v>1441</v>
      </c>
      <c r="I311" s="1" t="s">
        <v>91</v>
      </c>
      <c r="J311" s="1">
        <v>24.0</v>
      </c>
      <c r="K311" s="1">
        <v>2008.0</v>
      </c>
      <c r="L311" s="1">
        <v>2008.0</v>
      </c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 t="s">
        <v>245</v>
      </c>
      <c r="Y311" s="1" t="s">
        <v>1442</v>
      </c>
    </row>
    <row r="312">
      <c r="A312" s="1">
        <v>4268247.0</v>
      </c>
      <c r="B312" s="1" t="s">
        <v>1443</v>
      </c>
      <c r="C312" s="1" t="s">
        <v>1438</v>
      </c>
      <c r="D312" s="1" t="s">
        <v>1439</v>
      </c>
      <c r="F312" s="2" t="str">
        <f>"1404276688"</f>
        <v>1404276688</v>
      </c>
      <c r="G312" s="2" t="str">
        <f>"9781404276680"</f>
        <v>9781404276680</v>
      </c>
      <c r="H312" s="1" t="s">
        <v>1441</v>
      </c>
      <c r="I312" s="1" t="s">
        <v>91</v>
      </c>
      <c r="J312" s="1">
        <v>24.0</v>
      </c>
      <c r="K312" s="1">
        <v>2008.0</v>
      </c>
      <c r="L312" s="1">
        <v>2008.0</v>
      </c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 t="s">
        <v>245</v>
      </c>
      <c r="Y312" s="1" t="s">
        <v>1444</v>
      </c>
    </row>
    <row r="313">
      <c r="A313" s="1">
        <v>6.0018642E7</v>
      </c>
      <c r="B313" s="1" t="s">
        <v>1445</v>
      </c>
      <c r="C313" s="1" t="s">
        <v>1446</v>
      </c>
      <c r="D313" s="1" t="s">
        <v>1447</v>
      </c>
      <c r="E313" s="1" t="s">
        <v>1448</v>
      </c>
      <c r="F313" s="2" t="str">
        <f>"0593487729"</f>
        <v>0593487729</v>
      </c>
      <c r="G313" s="2" t="str">
        <f>"9780593487723"</f>
        <v>9780593487723</v>
      </c>
      <c r="H313" s="1" t="s">
        <v>156</v>
      </c>
      <c r="I313" s="1" t="s">
        <v>36</v>
      </c>
      <c r="J313" s="1">
        <v>24.0</v>
      </c>
      <c r="K313" s="1">
        <v>2022.0</v>
      </c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 t="s">
        <v>1449</v>
      </c>
      <c r="Y313" s="1" t="s">
        <v>1450</v>
      </c>
    </row>
    <row r="314">
      <c r="A314" s="1">
        <v>3041232.0</v>
      </c>
      <c r="B314" s="1" t="s">
        <v>1451</v>
      </c>
      <c r="C314" s="1" t="s">
        <v>1452</v>
      </c>
      <c r="D314" s="1" t="s">
        <v>1453</v>
      </c>
      <c r="F314" s="2" t="str">
        <f>"1564028844"</f>
        <v>1564028844</v>
      </c>
      <c r="G314" s="2" t="str">
        <f>"9781564028846"</f>
        <v>9781564028846</v>
      </c>
      <c r="H314" s="1" t="s">
        <v>1454</v>
      </c>
      <c r="I314" s="1" t="s">
        <v>31</v>
      </c>
      <c r="J314" s="1">
        <v>24.0</v>
      </c>
      <c r="K314" s="1">
        <v>1996.0</v>
      </c>
      <c r="L314" s="1">
        <v>1996.0</v>
      </c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 t="s">
        <v>897</v>
      </c>
      <c r="Y314" s="1" t="s">
        <v>1455</v>
      </c>
    </row>
    <row r="315">
      <c r="A315" s="1">
        <v>1.7349198E7</v>
      </c>
      <c r="B315" s="1" t="s">
        <v>1456</v>
      </c>
      <c r="C315" s="1" t="s">
        <v>1457</v>
      </c>
      <c r="D315" s="1" t="s">
        <v>1458</v>
      </c>
      <c r="E315" s="1" t="s">
        <v>1459</v>
      </c>
      <c r="F315" s="2" t="str">
        <f>"0062222244"</f>
        <v>0062222244</v>
      </c>
      <c r="G315" s="2" t="str">
        <f>"9780062222244"</f>
        <v>9780062222244</v>
      </c>
      <c r="H315" s="1" t="s">
        <v>290</v>
      </c>
      <c r="I315" s="1" t="s">
        <v>31</v>
      </c>
      <c r="J315" s="1">
        <v>24.0</v>
      </c>
      <c r="K315" s="1">
        <v>2013.0</v>
      </c>
      <c r="L315" s="1">
        <v>2012.0</v>
      </c>
    </row>
    <row r="316">
      <c r="A316" s="1">
        <v>1.8905521E7</v>
      </c>
      <c r="B316" s="1" t="s">
        <v>1460</v>
      </c>
      <c r="C316" s="1" t="s">
        <v>1457</v>
      </c>
      <c r="D316" s="1" t="s">
        <v>1458</v>
      </c>
      <c r="E316" s="1" t="s">
        <v>1459</v>
      </c>
      <c r="F316" s="2" t="str">
        <f>"0062111043"</f>
        <v>0062111043</v>
      </c>
      <c r="G316" s="2" t="str">
        <f>"9780062111043"</f>
        <v>9780062111043</v>
      </c>
      <c r="H316" s="1" t="s">
        <v>290</v>
      </c>
      <c r="I316" s="1" t="s">
        <v>238</v>
      </c>
      <c r="J316" s="1">
        <v>24.0</v>
      </c>
      <c r="K316" s="1">
        <v>2012.0</v>
      </c>
      <c r="L316" s="1">
        <v>2011.0</v>
      </c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 t="s">
        <v>51</v>
      </c>
      <c r="Y316" s="1" t="s">
        <v>1461</v>
      </c>
    </row>
    <row r="317">
      <c r="A317" s="1">
        <v>1.5043358E7</v>
      </c>
      <c r="B317" s="1" t="s">
        <v>1462</v>
      </c>
      <c r="C317" s="1" t="s">
        <v>1463</v>
      </c>
      <c r="D317" s="1" t="s">
        <v>1464</v>
      </c>
      <c r="F317" s="2" t="str">
        <f>"140223693X"</f>
        <v>140223693X</v>
      </c>
      <c r="G317" s="2" t="str">
        <f>"9781402236938"</f>
        <v>9781402236938</v>
      </c>
      <c r="H317" s="1" t="s">
        <v>1465</v>
      </c>
      <c r="I317" s="1" t="s">
        <v>67</v>
      </c>
      <c r="J317" s="1">
        <v>24.0</v>
      </c>
      <c r="K317" s="1">
        <v>2009.0</v>
      </c>
      <c r="L317" s="1">
        <v>2009.0</v>
      </c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 t="s">
        <v>1466</v>
      </c>
      <c r="Y317" s="1" t="s">
        <v>1467</v>
      </c>
    </row>
    <row r="318">
      <c r="A318" s="1">
        <v>1.7871597E7</v>
      </c>
      <c r="B318" s="1" t="s">
        <v>1468</v>
      </c>
      <c r="C318" s="1" t="s">
        <v>1469</v>
      </c>
      <c r="D318" s="1" t="s">
        <v>1470</v>
      </c>
      <c r="F318" s="2" t="str">
        <f>"1621275671"</f>
        <v>1621275671</v>
      </c>
      <c r="G318" s="2" t="str">
        <f>"9781621275671"</f>
        <v>9781621275671</v>
      </c>
      <c r="H318" s="1" t="s">
        <v>1412</v>
      </c>
      <c r="I318" s="1" t="s">
        <v>91</v>
      </c>
      <c r="J318" s="1">
        <v>24.0</v>
      </c>
      <c r="K318" s="1">
        <v>2013.0</v>
      </c>
      <c r="L318" s="1">
        <v>2012.0</v>
      </c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 t="s">
        <v>92</v>
      </c>
      <c r="Y318" s="1" t="s">
        <v>1471</v>
      </c>
    </row>
    <row r="319">
      <c r="A319" s="1">
        <v>7825409.0</v>
      </c>
      <c r="B319" s="1" t="s">
        <v>1472</v>
      </c>
      <c r="C319" s="1" t="s">
        <v>1473</v>
      </c>
      <c r="D319" s="1" t="s">
        <v>1474</v>
      </c>
      <c r="E319" s="1" t="s">
        <v>1475</v>
      </c>
      <c r="F319" s="2" t="str">
        <f>"8478648518"</f>
        <v>8478648518</v>
      </c>
      <c r="G319" s="2" t="str">
        <f>"9788478648511"</f>
        <v>9788478648511</v>
      </c>
      <c r="H319" s="1" t="s">
        <v>1473</v>
      </c>
      <c r="I319" s="1" t="s">
        <v>31</v>
      </c>
      <c r="J319" s="1">
        <v>24.0</v>
      </c>
      <c r="K319" s="1">
        <v>2005.0</v>
      </c>
      <c r="L319" s="1">
        <v>2005.0</v>
      </c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 t="s">
        <v>32</v>
      </c>
      <c r="Y319" s="1" t="s">
        <v>1476</v>
      </c>
    </row>
    <row r="320">
      <c r="A320" s="1">
        <v>1158159.0</v>
      </c>
      <c r="B320" s="1" t="s">
        <v>1477</v>
      </c>
      <c r="C320" s="1" t="s">
        <v>1478</v>
      </c>
      <c r="D320" s="1" t="s">
        <v>1479</v>
      </c>
      <c r="E320" s="1" t="s">
        <v>1480</v>
      </c>
      <c r="F320" s="2" t="str">
        <f>"0786803312"</f>
        <v>0786803312</v>
      </c>
      <c r="G320" s="2" t="str">
        <f>"9780786803316"</f>
        <v>9780786803316</v>
      </c>
      <c r="H320" s="1" t="s">
        <v>726</v>
      </c>
      <c r="I320" s="1" t="s">
        <v>31</v>
      </c>
      <c r="J320" s="1">
        <v>24.0</v>
      </c>
      <c r="K320" s="1">
        <v>1998.0</v>
      </c>
      <c r="L320" s="1">
        <v>1998.0</v>
      </c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 t="s">
        <v>68</v>
      </c>
      <c r="Y320" s="1" t="s">
        <v>1481</v>
      </c>
    </row>
    <row r="321">
      <c r="A321" s="1">
        <v>6859628.0</v>
      </c>
      <c r="B321" s="1" t="s">
        <v>1482</v>
      </c>
      <c r="C321" s="1" t="s">
        <v>1483</v>
      </c>
      <c r="D321" s="1" t="s">
        <v>1484</v>
      </c>
      <c r="E321" s="1" t="s">
        <v>1485</v>
      </c>
      <c r="F321" s="2" t="str">
        <f>"1416999329"</f>
        <v>1416999329</v>
      </c>
      <c r="G321" s="2" t="str">
        <f>"9781416999324"</f>
        <v>9781416999324</v>
      </c>
      <c r="H321" s="1" t="s">
        <v>1371</v>
      </c>
      <c r="I321" s="1" t="s">
        <v>36</v>
      </c>
      <c r="J321" s="1">
        <v>24.0</v>
      </c>
      <c r="K321" s="1">
        <v>2010.0</v>
      </c>
      <c r="L321" s="1">
        <v>2010.0</v>
      </c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 t="s">
        <v>370</v>
      </c>
      <c r="Y321" s="1" t="s">
        <v>1486</v>
      </c>
    </row>
    <row r="322">
      <c r="A322" s="1">
        <v>2.7209304E7</v>
      </c>
      <c r="B322" s="1" t="s">
        <v>1487</v>
      </c>
      <c r="C322" s="1" t="s">
        <v>1488</v>
      </c>
      <c r="D322" s="1" t="s">
        <v>1489</v>
      </c>
      <c r="F322" s="2" t="str">
        <f>"1426324413"</f>
        <v>1426324413</v>
      </c>
      <c r="G322" s="2" t="str">
        <f>"9781426324413"</f>
        <v>9781426324413</v>
      </c>
      <c r="H322" s="1" t="s">
        <v>1490</v>
      </c>
      <c r="I322" s="1" t="s">
        <v>91</v>
      </c>
      <c r="J322" s="1">
        <v>24.0</v>
      </c>
      <c r="K322" s="1">
        <v>2016.0</v>
      </c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 t="s">
        <v>1491</v>
      </c>
      <c r="Y322" s="1" t="s">
        <v>1492</v>
      </c>
    </row>
    <row r="323">
      <c r="A323" s="1">
        <v>2.6109201E7</v>
      </c>
      <c r="B323" s="1" t="s">
        <v>1493</v>
      </c>
      <c r="C323" s="1" t="s">
        <v>1488</v>
      </c>
      <c r="D323" s="1" t="s">
        <v>1489</v>
      </c>
      <c r="F323" s="2" t="str">
        <f>"1426324138"</f>
        <v>1426324138</v>
      </c>
      <c r="G323" s="2" t="str">
        <f>"9781426324130"</f>
        <v>9781426324130</v>
      </c>
      <c r="H323" s="1" t="s">
        <v>1490</v>
      </c>
      <c r="I323" s="1" t="s">
        <v>36</v>
      </c>
      <c r="J323" s="1">
        <v>24.0</v>
      </c>
      <c r="K323" s="1">
        <v>2016.0</v>
      </c>
      <c r="L323" s="1">
        <v>2016.0</v>
      </c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 t="s">
        <v>1494</v>
      </c>
      <c r="Y323" s="1" t="s">
        <v>1495</v>
      </c>
    </row>
    <row r="324">
      <c r="A324" s="1">
        <v>3.4007276E7</v>
      </c>
      <c r="B324" s="1" t="s">
        <v>1496</v>
      </c>
      <c r="C324" s="1" t="s">
        <v>1497</v>
      </c>
      <c r="D324" s="1" t="s">
        <v>1498</v>
      </c>
      <c r="F324" s="2" t="str">
        <f>"151243390X"</f>
        <v>151243390X</v>
      </c>
      <c r="G324" s="2" t="str">
        <f>"9781512433906"</f>
        <v>9781512433906</v>
      </c>
      <c r="H324" s="1" t="s">
        <v>1499</v>
      </c>
      <c r="I324" s="1" t="s">
        <v>91</v>
      </c>
      <c r="J324" s="1">
        <v>24.0</v>
      </c>
      <c r="K324" s="1">
        <v>2017.0</v>
      </c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 t="s">
        <v>1024</v>
      </c>
      <c r="Y324" s="1" t="s">
        <v>1500</v>
      </c>
    </row>
    <row r="325">
      <c r="A325" s="1">
        <v>2.9325422E7</v>
      </c>
      <c r="B325" s="1" t="s">
        <v>1501</v>
      </c>
      <c r="C325" s="1" t="s">
        <v>1502</v>
      </c>
      <c r="D325" s="1" t="s">
        <v>1503</v>
      </c>
      <c r="F325" s="2" t="str">
        <f>"1503809110"</f>
        <v>1503809110</v>
      </c>
      <c r="G325" s="2" t="str">
        <f>"9781503809116"</f>
        <v>9781503809116</v>
      </c>
      <c r="H325" s="1" t="s">
        <v>1504</v>
      </c>
      <c r="I325" s="1" t="s">
        <v>91</v>
      </c>
      <c r="J325" s="1">
        <v>24.0</v>
      </c>
      <c r="K325" s="1">
        <v>2016.0</v>
      </c>
      <c r="L325" s="1">
        <v>1999.0</v>
      </c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 t="s">
        <v>239</v>
      </c>
      <c r="Y325" s="1" t="s">
        <v>1505</v>
      </c>
    </row>
    <row r="326">
      <c r="A326" s="1">
        <v>2.2546709E7</v>
      </c>
      <c r="B326" s="1" t="s">
        <v>1506</v>
      </c>
      <c r="C326" s="1" t="s">
        <v>1507</v>
      </c>
      <c r="D326" s="1" t="s">
        <v>1508</v>
      </c>
      <c r="F326" s="2" t="str">
        <f>"1481429426"</f>
        <v>1481429426</v>
      </c>
      <c r="G326" s="2" t="str">
        <f>"9781481429429"</f>
        <v>9781481429429</v>
      </c>
      <c r="H326" s="1" t="s">
        <v>1371</v>
      </c>
      <c r="I326" s="1" t="s">
        <v>36</v>
      </c>
      <c r="J326" s="1">
        <v>24.0</v>
      </c>
      <c r="K326" s="1">
        <v>2015.0</v>
      </c>
      <c r="L326" s="1">
        <v>2015.0</v>
      </c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 t="s">
        <v>412</v>
      </c>
      <c r="Y326" s="1" t="s">
        <v>1509</v>
      </c>
    </row>
    <row r="327">
      <c r="A327" s="1">
        <v>1.8051102E7</v>
      </c>
      <c r="B327" s="1" t="s">
        <v>1510</v>
      </c>
      <c r="C327" s="1" t="s">
        <v>1507</v>
      </c>
      <c r="D327" s="1" t="s">
        <v>1508</v>
      </c>
      <c r="E327" s="1" t="s">
        <v>1511</v>
      </c>
      <c r="F327" s="2" t="str">
        <f>"1442497416"</f>
        <v>1442497416</v>
      </c>
      <c r="G327" s="2" t="str">
        <f>"9781442497412"</f>
        <v>9781442497412</v>
      </c>
      <c r="H327" s="1" t="s">
        <v>1371</v>
      </c>
      <c r="I327" s="1" t="s">
        <v>36</v>
      </c>
      <c r="J327" s="1">
        <v>24.0</v>
      </c>
      <c r="K327" s="1">
        <v>2014.0</v>
      </c>
      <c r="L327" s="1">
        <v>2014.0</v>
      </c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 t="s">
        <v>412</v>
      </c>
      <c r="Y327" s="1" t="s">
        <v>1512</v>
      </c>
    </row>
    <row r="328">
      <c r="A328" s="1">
        <v>6185889.0</v>
      </c>
      <c r="B328" s="1" t="s">
        <v>1513</v>
      </c>
      <c r="C328" s="1" t="s">
        <v>1514</v>
      </c>
      <c r="D328" s="1" t="s">
        <v>1515</v>
      </c>
      <c r="E328" s="1" t="s">
        <v>1516</v>
      </c>
      <c r="F328" s="2" t="str">
        <f>"0375855866"</f>
        <v>0375855866</v>
      </c>
      <c r="G328" s="2" t="str">
        <f>"9780375855863"</f>
        <v>9780375855863</v>
      </c>
      <c r="H328" s="1" t="s">
        <v>1517</v>
      </c>
      <c r="I328" s="1" t="s">
        <v>36</v>
      </c>
      <c r="J328" s="1">
        <v>24.0</v>
      </c>
      <c r="K328" s="1">
        <v>2008.0</v>
      </c>
      <c r="L328" s="1">
        <v>2008.0</v>
      </c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 t="s">
        <v>1518</v>
      </c>
      <c r="Y328" s="1" t="s">
        <v>1519</v>
      </c>
    </row>
    <row r="329">
      <c r="A329" s="1">
        <v>3.6633836E7</v>
      </c>
      <c r="B329" s="1" t="s">
        <v>1520</v>
      </c>
      <c r="C329" s="1" t="s">
        <v>1521</v>
      </c>
      <c r="D329" s="1" t="s">
        <v>1522</v>
      </c>
      <c r="F329" s="2" t="str">
        <f>"0692927999"</f>
        <v>0692927999</v>
      </c>
      <c r="G329" s="2" t="str">
        <f>"9780692927991"</f>
        <v>9780692927991</v>
      </c>
      <c r="H329" s="1" t="s">
        <v>1521</v>
      </c>
      <c r="I329" s="1" t="s">
        <v>36</v>
      </c>
      <c r="J329" s="1">
        <v>24.0</v>
      </c>
      <c r="K329" s="1">
        <v>2017.0</v>
      </c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 t="s">
        <v>1024</v>
      </c>
      <c r="Y329" s="1" t="s">
        <v>1523</v>
      </c>
    </row>
    <row r="330">
      <c r="A330" s="1">
        <v>2057240.0</v>
      </c>
      <c r="B330" s="1" t="s">
        <v>1524</v>
      </c>
      <c r="C330" s="1" t="s">
        <v>1525</v>
      </c>
      <c r="D330" s="1" t="s">
        <v>1526</v>
      </c>
      <c r="E330" s="1" t="s">
        <v>1527</v>
      </c>
      <c r="F330" s="2" t="str">
        <f>"0671703463"</f>
        <v>0671703463</v>
      </c>
      <c r="G330" s="2" t="str">
        <f>"9780671703462"</f>
        <v>9780671703462</v>
      </c>
      <c r="H330" s="1" t="s">
        <v>1528</v>
      </c>
      <c r="I330" s="1" t="s">
        <v>36</v>
      </c>
      <c r="J330" s="1">
        <v>24.0</v>
      </c>
      <c r="K330" s="1">
        <v>1990.0</v>
      </c>
      <c r="L330" s="1">
        <v>1990.0</v>
      </c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 t="s">
        <v>863</v>
      </c>
      <c r="Y330" s="1" t="s">
        <v>1529</v>
      </c>
    </row>
    <row r="331">
      <c r="A331" s="1">
        <v>7148103.0</v>
      </c>
      <c r="B331" s="1" t="s">
        <v>1530</v>
      </c>
      <c r="C331" s="1" t="s">
        <v>1531</v>
      </c>
      <c r="D331" s="1" t="s">
        <v>1532</v>
      </c>
      <c r="F331" s="2" t="str">
        <f>"0836848101"</f>
        <v>0836848101</v>
      </c>
      <c r="G331" s="2" t="str">
        <f>"9780836848106"</f>
        <v>9780836848106</v>
      </c>
      <c r="H331" s="1" t="s">
        <v>1533</v>
      </c>
      <c r="I331" s="1" t="s">
        <v>36</v>
      </c>
      <c r="J331" s="1">
        <v>24.0</v>
      </c>
      <c r="K331" s="1">
        <v>2005.0</v>
      </c>
      <c r="L331" s="1">
        <v>2005.0</v>
      </c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 t="s">
        <v>835</v>
      </c>
      <c r="Y331" s="1" t="s">
        <v>1534</v>
      </c>
    </row>
    <row r="332">
      <c r="A332" s="1">
        <v>2.7983606E7</v>
      </c>
      <c r="B332" s="1" t="s">
        <v>1535</v>
      </c>
      <c r="C332" s="1" t="s">
        <v>1536</v>
      </c>
      <c r="D332" s="1" t="s">
        <v>1537</v>
      </c>
      <c r="F332" s="2" t="str">
        <f>"1680801228"</f>
        <v>1680801228</v>
      </c>
      <c r="G332" s="2" t="str">
        <f>"9781680801224"</f>
        <v>9781680801224</v>
      </c>
      <c r="H332" s="1" t="s">
        <v>1538</v>
      </c>
      <c r="I332" s="1" t="s">
        <v>31</v>
      </c>
      <c r="J332" s="1">
        <v>24.0</v>
      </c>
      <c r="K332" s="1">
        <v>2015.0</v>
      </c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 t="s">
        <v>37</v>
      </c>
      <c r="Y332" s="1" t="s">
        <v>1539</v>
      </c>
    </row>
    <row r="333">
      <c r="A333" s="1">
        <v>3.2302331E7</v>
      </c>
      <c r="B333" s="1" t="s">
        <v>1540</v>
      </c>
      <c r="C333" s="1" t="s">
        <v>1536</v>
      </c>
      <c r="D333" s="1" t="s">
        <v>1537</v>
      </c>
      <c r="F333" s="2" t="str">
        <f>"1624026710"</f>
        <v>1624026710</v>
      </c>
      <c r="G333" s="2" t="str">
        <f>"9781624026713"</f>
        <v>9781624026713</v>
      </c>
      <c r="H333" s="1" t="s">
        <v>1538</v>
      </c>
      <c r="I333" s="1" t="s">
        <v>91</v>
      </c>
      <c r="J333" s="1">
        <v>24.0</v>
      </c>
      <c r="K333" s="1">
        <v>2016.0</v>
      </c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 t="s">
        <v>92</v>
      </c>
      <c r="Y333" s="1" t="s">
        <v>1541</v>
      </c>
    </row>
    <row r="334">
      <c r="A334" s="1">
        <v>6369662.0</v>
      </c>
      <c r="B334" s="1" t="s">
        <v>1542</v>
      </c>
      <c r="C334" s="1" t="s">
        <v>1543</v>
      </c>
      <c r="D334" s="1" t="s">
        <v>1544</v>
      </c>
      <c r="F334" s="2" t="str">
        <f>"1580138020"</f>
        <v>1580138020</v>
      </c>
      <c r="G334" s="2" t="str">
        <f>"9781580138024"</f>
        <v>9781580138024</v>
      </c>
      <c r="H334" s="1" t="s">
        <v>1545</v>
      </c>
      <c r="I334" s="1" t="s">
        <v>36</v>
      </c>
      <c r="J334" s="1">
        <v>24.0</v>
      </c>
      <c r="K334" s="1">
        <v>2009.0</v>
      </c>
      <c r="L334" s="1">
        <v>2008.0</v>
      </c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 t="s">
        <v>1546</v>
      </c>
      <c r="Y334" s="1" t="s">
        <v>1547</v>
      </c>
    </row>
    <row r="335">
      <c r="A335" s="1">
        <v>1.2951694E7</v>
      </c>
      <c r="B335" s="1" t="s">
        <v>1548</v>
      </c>
      <c r="C335" s="1" t="s">
        <v>1549</v>
      </c>
      <c r="D335" s="1" t="s">
        <v>1550</v>
      </c>
      <c r="E335" s="1" t="s">
        <v>1551</v>
      </c>
      <c r="F335" s="2" t="str">
        <f>"0545341736"</f>
        <v>0545341736</v>
      </c>
      <c r="G335" s="2" t="str">
        <f>"9780545341738"</f>
        <v>9780545341738</v>
      </c>
      <c r="H335" s="1" t="s">
        <v>817</v>
      </c>
      <c r="I335" s="1" t="s">
        <v>36</v>
      </c>
      <c r="J335" s="1">
        <v>24.0</v>
      </c>
      <c r="K335" s="1">
        <v>2011.0</v>
      </c>
      <c r="L335" s="1">
        <v>2011.0</v>
      </c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 t="s">
        <v>863</v>
      </c>
      <c r="Y335" s="1" t="s">
        <v>1552</v>
      </c>
    </row>
    <row r="336">
      <c r="A336" s="1">
        <v>3002343.0</v>
      </c>
      <c r="B336" s="1" t="s">
        <v>1553</v>
      </c>
      <c r="C336" s="1" t="s">
        <v>1554</v>
      </c>
      <c r="D336" s="1" t="s">
        <v>1555</v>
      </c>
      <c r="E336" s="1" t="s">
        <v>1556</v>
      </c>
      <c r="F336" s="2" t="str">
        <f>"1416951350"</f>
        <v>1416951350</v>
      </c>
      <c r="G336" s="2" t="str">
        <f>"9781416951353"</f>
        <v>9781416951353</v>
      </c>
      <c r="H336" s="1" t="s">
        <v>1371</v>
      </c>
      <c r="I336" s="1" t="s">
        <v>36</v>
      </c>
      <c r="J336" s="1">
        <v>24.0</v>
      </c>
      <c r="K336" s="1">
        <v>2008.0</v>
      </c>
      <c r="L336" s="1">
        <v>2008.0</v>
      </c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 t="s">
        <v>51</v>
      </c>
      <c r="Y336" s="1" t="s">
        <v>1557</v>
      </c>
    </row>
    <row r="337">
      <c r="A337" s="1">
        <v>2.5387516E7</v>
      </c>
      <c r="B337" s="1" t="s">
        <v>1558</v>
      </c>
      <c r="C337" s="1" t="s">
        <v>1559</v>
      </c>
      <c r="D337" s="1" t="s">
        <v>1560</v>
      </c>
      <c r="E337" s="1" t="s">
        <v>849</v>
      </c>
      <c r="F337" s="2" t="str">
        <f>"0736482156"</f>
        <v>0736482156</v>
      </c>
      <c r="G337" s="2" t="str">
        <f>"9780736482158"</f>
        <v>9780736482158</v>
      </c>
      <c r="H337" s="1" t="s">
        <v>1561</v>
      </c>
      <c r="I337" s="1" t="s">
        <v>91</v>
      </c>
      <c r="J337" s="1">
        <v>24.0</v>
      </c>
      <c r="K337" s="1">
        <v>2016.0</v>
      </c>
      <c r="L337" s="1">
        <v>2015.0</v>
      </c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 t="s">
        <v>1562</v>
      </c>
      <c r="Y337" s="1" t="s">
        <v>1563</v>
      </c>
    </row>
    <row r="338">
      <c r="A338" s="1">
        <v>5.6905116E7</v>
      </c>
      <c r="B338" s="1" t="s">
        <v>1564</v>
      </c>
      <c r="C338" s="1" t="s">
        <v>1072</v>
      </c>
      <c r="D338" s="1" t="s">
        <v>1073</v>
      </c>
      <c r="F338" s="2" t="str">
        <f>"0593425278"</f>
        <v>0593425278</v>
      </c>
      <c r="G338" s="2" t="str">
        <f>"9780593425275"</f>
        <v>9780593425275</v>
      </c>
      <c r="H338" s="1" t="s">
        <v>1565</v>
      </c>
      <c r="I338" s="1" t="s">
        <v>36</v>
      </c>
      <c r="J338" s="1">
        <v>24.0</v>
      </c>
      <c r="K338" s="1">
        <v>2021.0</v>
      </c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 t="s">
        <v>83</v>
      </c>
      <c r="Y338" s="1" t="s">
        <v>1566</v>
      </c>
    </row>
    <row r="339">
      <c r="A339" s="1">
        <v>885187.0</v>
      </c>
      <c r="B339" s="1" t="s">
        <v>1567</v>
      </c>
      <c r="C339" s="1" t="s">
        <v>1568</v>
      </c>
      <c r="D339" s="1" t="s">
        <v>1569</v>
      </c>
      <c r="F339" s="2" t="str">
        <f>"0688092349"</f>
        <v>0688092349</v>
      </c>
      <c r="G339" s="2" t="str">
        <f>"9780688092344"</f>
        <v>9780688092344</v>
      </c>
      <c r="H339" s="1" t="s">
        <v>1570</v>
      </c>
      <c r="I339" s="1" t="s">
        <v>36</v>
      </c>
      <c r="J339" s="1">
        <v>24.0</v>
      </c>
      <c r="K339" s="1">
        <v>1989.0</v>
      </c>
      <c r="L339" s="1">
        <v>1986.0</v>
      </c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 t="s">
        <v>1571</v>
      </c>
      <c r="Y339" s="1" t="s">
        <v>1572</v>
      </c>
    </row>
    <row r="340">
      <c r="A340" s="1">
        <v>1938451.0</v>
      </c>
      <c r="B340" s="1" t="s">
        <v>1573</v>
      </c>
      <c r="C340" s="1" t="s">
        <v>817</v>
      </c>
      <c r="D340" s="1" t="s">
        <v>896</v>
      </c>
      <c r="E340" s="1" t="s">
        <v>1574</v>
      </c>
      <c r="F340" s="2" t="str">
        <f>"0439871980"</f>
        <v>0439871980</v>
      </c>
      <c r="G340" s="2" t="str">
        <f>"9780439871983"</f>
        <v>9780439871983</v>
      </c>
      <c r="H340" s="1" t="s">
        <v>1575</v>
      </c>
      <c r="I340" s="1" t="s">
        <v>36</v>
      </c>
      <c r="J340" s="1">
        <v>24.0</v>
      </c>
      <c r="K340" s="1">
        <v>2007.0</v>
      </c>
      <c r="L340" s="1">
        <v>2006.0</v>
      </c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 t="s">
        <v>61</v>
      </c>
      <c r="Y340" s="1" t="s">
        <v>1576</v>
      </c>
    </row>
    <row r="341">
      <c r="A341" s="1">
        <v>1.2766867E7</v>
      </c>
      <c r="B341" s="1" t="s">
        <v>1577</v>
      </c>
      <c r="C341" s="1" t="s">
        <v>817</v>
      </c>
      <c r="D341" s="1" t="s">
        <v>896</v>
      </c>
      <c r="F341" s="2" t="str">
        <f>"0545344646"</f>
        <v>0545344646</v>
      </c>
      <c r="G341" s="2" t="str">
        <f>"9780545344647"</f>
        <v>9780545344647</v>
      </c>
      <c r="H341" s="1" t="s">
        <v>1575</v>
      </c>
      <c r="I341" s="1" t="s">
        <v>36</v>
      </c>
      <c r="J341" s="1">
        <v>24.0</v>
      </c>
      <c r="K341" s="1">
        <v>2011.0</v>
      </c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 t="s">
        <v>61</v>
      </c>
      <c r="Y341" s="1" t="s">
        <v>1578</v>
      </c>
    </row>
    <row r="342">
      <c r="A342" s="1">
        <v>2.358278E7</v>
      </c>
      <c r="B342" s="1" t="s">
        <v>1579</v>
      </c>
      <c r="C342" s="1" t="s">
        <v>1580</v>
      </c>
      <c r="D342" s="1" t="s">
        <v>1581</v>
      </c>
      <c r="E342" s="1" t="s">
        <v>1582</v>
      </c>
      <c r="F342" s="2" t="str">
        <f>"0553522876"</f>
        <v>0553522876</v>
      </c>
      <c r="G342" s="2" t="str">
        <f>"9780553522877"</f>
        <v>9780553522877</v>
      </c>
      <c r="H342" s="1" t="s">
        <v>156</v>
      </c>
      <c r="I342" s="1" t="s">
        <v>91</v>
      </c>
      <c r="J342" s="1">
        <v>24.0</v>
      </c>
      <c r="K342" s="1">
        <v>2015.0</v>
      </c>
      <c r="L342" s="1">
        <v>2015.0</v>
      </c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 t="s">
        <v>83</v>
      </c>
      <c r="Y342" s="1" t="s">
        <v>1583</v>
      </c>
    </row>
    <row r="343">
      <c r="A343" s="1">
        <v>4.9556126E7</v>
      </c>
      <c r="B343" s="1" t="s">
        <v>1584</v>
      </c>
      <c r="C343" s="1" t="s">
        <v>1585</v>
      </c>
      <c r="D343" s="1" t="s">
        <v>1586</v>
      </c>
      <c r="F343" s="2" t="str">
        <f>"1433400006"</f>
        <v>1433400006</v>
      </c>
      <c r="G343" s="2" t="str">
        <f>"9781433400001"</f>
        <v>9781433400001</v>
      </c>
      <c r="H343" s="1" t="s">
        <v>1587</v>
      </c>
      <c r="I343" s="1" t="s">
        <v>36</v>
      </c>
      <c r="J343" s="1">
        <v>24.0</v>
      </c>
      <c r="K343" s="1">
        <v>2008.0</v>
      </c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 t="s">
        <v>116</v>
      </c>
      <c r="Y343" s="1" t="s">
        <v>1588</v>
      </c>
    </row>
    <row r="344">
      <c r="A344" s="1">
        <v>730424.0</v>
      </c>
      <c r="B344" s="1" t="s">
        <v>1589</v>
      </c>
      <c r="C344" s="1" t="s">
        <v>1590</v>
      </c>
      <c r="D344" s="1" t="s">
        <v>1591</v>
      </c>
      <c r="E344" s="1" t="s">
        <v>1592</v>
      </c>
      <c r="F344" s="2" t="str">
        <f>"0811821315"</f>
        <v>0811821315</v>
      </c>
      <c r="G344" s="2" t="str">
        <f>"9780811821315"</f>
        <v>9780811821315</v>
      </c>
      <c r="H344" s="1" t="s">
        <v>1593</v>
      </c>
      <c r="I344" s="1" t="s">
        <v>779</v>
      </c>
      <c r="J344" s="1">
        <v>24.0</v>
      </c>
      <c r="K344" s="1">
        <v>1998.0</v>
      </c>
      <c r="L344" s="1">
        <v>1991.0</v>
      </c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 t="s">
        <v>1084</v>
      </c>
      <c r="Y344" s="1" t="s">
        <v>1594</v>
      </c>
    </row>
    <row r="345">
      <c r="A345" s="1">
        <v>1441975.0</v>
      </c>
      <c r="B345" s="1" t="s">
        <v>1595</v>
      </c>
      <c r="C345" s="1" t="s">
        <v>1596</v>
      </c>
      <c r="D345" s="1" t="s">
        <v>1597</v>
      </c>
      <c r="E345" s="1" t="s">
        <v>1598</v>
      </c>
      <c r="F345" s="2" t="str">
        <f>"0688136397"</f>
        <v>0688136397</v>
      </c>
      <c r="G345" s="2" t="str">
        <f>"9780688136390"</f>
        <v>9780688136390</v>
      </c>
      <c r="H345" s="1" t="s">
        <v>1570</v>
      </c>
      <c r="I345" s="1" t="s">
        <v>36</v>
      </c>
      <c r="J345" s="1">
        <v>24.0</v>
      </c>
      <c r="K345" s="1">
        <v>1994.0</v>
      </c>
      <c r="L345" s="1">
        <v>1988.0</v>
      </c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 t="s">
        <v>116</v>
      </c>
      <c r="Y345" s="1" t="s">
        <v>1599</v>
      </c>
    </row>
    <row r="346">
      <c r="A346" s="1">
        <v>2.6198879E7</v>
      </c>
      <c r="B346" s="1" t="s">
        <v>1600</v>
      </c>
      <c r="C346" s="1" t="s">
        <v>326</v>
      </c>
      <c r="D346" s="1" t="s">
        <v>327</v>
      </c>
      <c r="F346" s="2" t="str">
        <f>"006241075X"</f>
        <v>006241075X</v>
      </c>
      <c r="G346" s="2" t="str">
        <f>"9780062410757"</f>
        <v>9780062410757</v>
      </c>
      <c r="H346" s="1" t="s">
        <v>290</v>
      </c>
      <c r="I346" s="1" t="s">
        <v>36</v>
      </c>
      <c r="J346" s="1">
        <v>24.0</v>
      </c>
      <c r="K346" s="1">
        <v>2016.0</v>
      </c>
      <c r="L346" s="1">
        <v>2016.0</v>
      </c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 t="s">
        <v>370</v>
      </c>
      <c r="Y346" s="1" t="s">
        <v>1601</v>
      </c>
    </row>
    <row r="347">
      <c r="A347" s="1">
        <v>2.5817506E7</v>
      </c>
      <c r="B347" s="1" t="s">
        <v>1602</v>
      </c>
      <c r="C347" s="1" t="s">
        <v>326</v>
      </c>
      <c r="D347" s="1" t="s">
        <v>327</v>
      </c>
      <c r="F347" s="2" t="str">
        <f>"0062410717"</f>
        <v>0062410717</v>
      </c>
      <c r="G347" s="2" t="str">
        <f>"9780062410719"</f>
        <v>9780062410719</v>
      </c>
      <c r="H347" s="1" t="s">
        <v>290</v>
      </c>
      <c r="I347" s="1" t="s">
        <v>36</v>
      </c>
      <c r="J347" s="1">
        <v>24.0</v>
      </c>
      <c r="K347" s="1">
        <v>2016.0</v>
      </c>
      <c r="L347" s="1">
        <v>2016.0</v>
      </c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 t="s">
        <v>1603</v>
      </c>
      <c r="Y347" s="1" t="s">
        <v>1604</v>
      </c>
    </row>
    <row r="348">
      <c r="A348" s="1">
        <v>7850872.0</v>
      </c>
      <c r="B348" s="1" t="s">
        <v>1605</v>
      </c>
      <c r="C348" s="1" t="s">
        <v>326</v>
      </c>
      <c r="D348" s="1" t="s">
        <v>327</v>
      </c>
      <c r="F348" s="2" t="str">
        <f>"0061928771"</f>
        <v>0061928771</v>
      </c>
      <c r="G348" s="2" t="str">
        <f>"9780061928772"</f>
        <v>9780061928772</v>
      </c>
      <c r="H348" s="1" t="s">
        <v>290</v>
      </c>
      <c r="I348" s="1" t="s">
        <v>36</v>
      </c>
      <c r="J348" s="1">
        <v>24.0</v>
      </c>
      <c r="K348" s="1">
        <v>2010.0</v>
      </c>
      <c r="L348" s="1">
        <v>1991.0</v>
      </c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 t="s">
        <v>1606</v>
      </c>
      <c r="Y348" s="1" t="s">
        <v>1607</v>
      </c>
    </row>
    <row r="349">
      <c r="A349" s="1">
        <v>5.0809693E7</v>
      </c>
      <c r="B349" s="1" t="s">
        <v>1608</v>
      </c>
      <c r="C349" s="1" t="s">
        <v>1609</v>
      </c>
      <c r="D349" s="1" t="s">
        <v>1610</v>
      </c>
      <c r="F349" s="2" t="str">
        <f>"1546100571"</f>
        <v>1546100571</v>
      </c>
      <c r="G349" s="2" t="str">
        <f>"9781546100577"</f>
        <v>9781546100577</v>
      </c>
      <c r="H349" s="1" t="s">
        <v>817</v>
      </c>
      <c r="I349" s="1" t="s">
        <v>36</v>
      </c>
      <c r="J349" s="1">
        <v>24.0</v>
      </c>
      <c r="K349" s="1">
        <v>2020.0</v>
      </c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 t="s">
        <v>1611</v>
      </c>
      <c r="Y349" s="1" t="s">
        <v>1612</v>
      </c>
    </row>
    <row r="350">
      <c r="A350" s="1">
        <v>5.0809691E7</v>
      </c>
      <c r="B350" s="1" t="s">
        <v>1613</v>
      </c>
      <c r="C350" s="1" t="s">
        <v>1609</v>
      </c>
      <c r="D350" s="1" t="s">
        <v>1610</v>
      </c>
      <c r="F350" s="2" t="str">
        <f>"1546100563"</f>
        <v>1546100563</v>
      </c>
      <c r="G350" s="2" t="str">
        <f>"9781546100560"</f>
        <v>9781546100560</v>
      </c>
      <c r="H350" s="1" t="s">
        <v>1614</v>
      </c>
      <c r="I350" s="1" t="s">
        <v>36</v>
      </c>
      <c r="J350" s="1">
        <v>24.0</v>
      </c>
      <c r="K350" s="1">
        <v>2020.0</v>
      </c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 t="s">
        <v>629</v>
      </c>
      <c r="Y350" s="1" t="s">
        <v>1615</v>
      </c>
    </row>
    <row r="351">
      <c r="A351" s="1">
        <v>2293154.0</v>
      </c>
      <c r="B351" s="1" t="s">
        <v>1616</v>
      </c>
      <c r="C351" s="1" t="s">
        <v>1617</v>
      </c>
      <c r="D351" s="1" t="s">
        <v>1618</v>
      </c>
      <c r="E351" s="1" t="s">
        <v>1619</v>
      </c>
      <c r="F351" s="2" t="str">
        <f>"006027994X"</f>
        <v>006027994X</v>
      </c>
      <c r="G351" s="2" t="str">
        <f>"9780060279943"</f>
        <v>9780060279943</v>
      </c>
      <c r="H351" s="1" t="s">
        <v>290</v>
      </c>
      <c r="I351" s="1" t="s">
        <v>31</v>
      </c>
      <c r="J351" s="1">
        <v>24.0</v>
      </c>
      <c r="K351" s="1">
        <v>2005.0</v>
      </c>
      <c r="L351" s="1">
        <v>1948.0</v>
      </c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 t="s">
        <v>835</v>
      </c>
      <c r="Y351" s="1" t="s">
        <v>1620</v>
      </c>
    </row>
    <row r="352">
      <c r="A352" s="1">
        <v>1822518.0</v>
      </c>
      <c r="B352" s="1" t="s">
        <v>1621</v>
      </c>
      <c r="C352" s="1" t="s">
        <v>1622</v>
      </c>
      <c r="D352" s="1" t="s">
        <v>1623</v>
      </c>
      <c r="F352" s="2" t="str">
        <f>"0375812172"</f>
        <v>0375812172</v>
      </c>
      <c r="G352" s="2" t="str">
        <f>"9780375812170"</f>
        <v>9780375812170</v>
      </c>
      <c r="H352" s="1" t="s">
        <v>156</v>
      </c>
      <c r="I352" s="1" t="s">
        <v>36</v>
      </c>
      <c r="J352" s="1">
        <v>24.0</v>
      </c>
      <c r="K352" s="1">
        <v>2001.0</v>
      </c>
      <c r="L352" s="1">
        <v>2005.0</v>
      </c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 t="s">
        <v>1494</v>
      </c>
      <c r="Y352" s="1" t="s">
        <v>1624</v>
      </c>
    </row>
    <row r="353">
      <c r="A353" s="1">
        <v>1583869.0</v>
      </c>
      <c r="B353" s="1" t="s">
        <v>1625</v>
      </c>
      <c r="C353" s="1" t="s">
        <v>1626</v>
      </c>
      <c r="D353" s="1" t="s">
        <v>1627</v>
      </c>
      <c r="F353" s="2" t="str">
        <f>"1552094774"</f>
        <v>1552094774</v>
      </c>
      <c r="G353" s="2" t="str">
        <f>"9781552094778"</f>
        <v>9781552094778</v>
      </c>
      <c r="H353" s="1" t="s">
        <v>1628</v>
      </c>
      <c r="I353" s="1" t="s">
        <v>36</v>
      </c>
      <c r="J353" s="1">
        <v>24.0</v>
      </c>
      <c r="K353" s="1">
        <v>2000.0</v>
      </c>
      <c r="L353" s="1">
        <v>2000.0</v>
      </c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 t="s">
        <v>852</v>
      </c>
      <c r="Y353" s="1" t="s">
        <v>1629</v>
      </c>
    </row>
    <row r="354">
      <c r="A354" s="1">
        <v>5.873873E7</v>
      </c>
      <c r="B354" s="1" t="s">
        <v>1630</v>
      </c>
      <c r="C354" s="1" t="s">
        <v>1631</v>
      </c>
      <c r="D354" s="1" t="s">
        <v>1632</v>
      </c>
      <c r="F354" s="2" t="str">
        <f>"1728429064"</f>
        <v>1728429064</v>
      </c>
      <c r="G354" s="2" t="str">
        <f>"9781728429069"</f>
        <v>9781728429069</v>
      </c>
      <c r="H354" s="1" t="s">
        <v>1633</v>
      </c>
      <c r="I354" s="1" t="s">
        <v>779</v>
      </c>
      <c r="J354" s="1">
        <v>24.0</v>
      </c>
      <c r="K354" s="1">
        <v>2021.0</v>
      </c>
      <c r="L354" s="1">
        <v>2021.0</v>
      </c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 t="s">
        <v>1024</v>
      </c>
      <c r="Y354" s="1" t="s">
        <v>1634</v>
      </c>
    </row>
    <row r="355">
      <c r="A355" s="1">
        <v>5.9794783E7</v>
      </c>
      <c r="B355" s="1" t="s">
        <v>1635</v>
      </c>
      <c r="C355" s="1" t="s">
        <v>1636</v>
      </c>
      <c r="D355" s="1" t="s">
        <v>1637</v>
      </c>
      <c r="E355" s="1" t="s">
        <v>1638</v>
      </c>
      <c r="F355" s="2" t="str">
        <f>"1515875083"</f>
        <v>1515875083</v>
      </c>
      <c r="G355" s="2" t="str">
        <f>"9781515875086"</f>
        <v>9781515875086</v>
      </c>
      <c r="H355" s="1" t="s">
        <v>584</v>
      </c>
      <c r="I355" s="1" t="s">
        <v>238</v>
      </c>
      <c r="J355" s="1">
        <v>24.0</v>
      </c>
      <c r="K355" s="1">
        <v>2020.0</v>
      </c>
      <c r="L355" s="1">
        <v>2011.0</v>
      </c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 t="s">
        <v>245</v>
      </c>
      <c r="Y355" s="1" t="s">
        <v>1639</v>
      </c>
    </row>
    <row r="356">
      <c r="A356" s="1">
        <v>832911.0</v>
      </c>
      <c r="B356" s="1" t="s">
        <v>1640</v>
      </c>
      <c r="C356" s="1" t="s">
        <v>1641</v>
      </c>
      <c r="D356" s="1" t="s">
        <v>1642</v>
      </c>
      <c r="F356" s="2" t="str">
        <f>"0316001023"</f>
        <v>0316001023</v>
      </c>
      <c r="G356" s="2" t="str">
        <f>"9780316001021"</f>
        <v>9780316001021</v>
      </c>
      <c r="H356" s="1" t="s">
        <v>112</v>
      </c>
      <c r="I356" s="1" t="s">
        <v>31</v>
      </c>
      <c r="J356" s="1">
        <v>24.0</v>
      </c>
      <c r="K356" s="1">
        <v>2005.0</v>
      </c>
      <c r="L356" s="1">
        <v>2005.0</v>
      </c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 t="s">
        <v>897</v>
      </c>
      <c r="Y356" s="1" t="s">
        <v>1643</v>
      </c>
    </row>
    <row r="357">
      <c r="A357" s="1">
        <v>2722767.0</v>
      </c>
      <c r="B357" s="1" t="s">
        <v>1644</v>
      </c>
      <c r="C357" s="1" t="s">
        <v>1645</v>
      </c>
      <c r="D357" s="1" t="s">
        <v>1646</v>
      </c>
      <c r="E357" s="1" t="s">
        <v>1647</v>
      </c>
      <c r="F357" s="2" t="str">
        <f>"1601310072"</f>
        <v>1601310072</v>
      </c>
      <c r="G357" s="2" t="str">
        <f>"9781601310071"</f>
        <v>9781601310071</v>
      </c>
      <c r="H357" s="1" t="s">
        <v>1648</v>
      </c>
      <c r="I357" s="1" t="s">
        <v>31</v>
      </c>
      <c r="J357" s="1">
        <v>24.0</v>
      </c>
      <c r="K357" s="1">
        <v>2008.0</v>
      </c>
      <c r="L357" s="1">
        <v>2007.0</v>
      </c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 t="s">
        <v>1317</v>
      </c>
      <c r="Y357" s="1" t="s">
        <v>1649</v>
      </c>
    </row>
    <row r="358">
      <c r="A358" s="1">
        <v>2.1563178E7</v>
      </c>
      <c r="B358" s="1" t="s">
        <v>1650</v>
      </c>
      <c r="C358" s="1" t="s">
        <v>1651</v>
      </c>
      <c r="D358" s="1" t="s">
        <v>1652</v>
      </c>
      <c r="F358" s="2" t="str">
        <f>"1627173080"</f>
        <v>1627173080</v>
      </c>
      <c r="G358" s="2" t="str">
        <f>"9781627173087"</f>
        <v>9781627173087</v>
      </c>
      <c r="H358" s="1" t="s">
        <v>1653</v>
      </c>
      <c r="I358" s="1" t="s">
        <v>36</v>
      </c>
      <c r="J358" s="1">
        <v>24.0</v>
      </c>
      <c r="K358" s="1">
        <v>2014.0</v>
      </c>
      <c r="L358" s="1">
        <v>2012.0</v>
      </c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 t="s">
        <v>92</v>
      </c>
      <c r="Y358" s="1" t="s">
        <v>1654</v>
      </c>
    </row>
    <row r="359">
      <c r="A359" s="1">
        <v>7269199.0</v>
      </c>
      <c r="B359" s="1" t="s">
        <v>1655</v>
      </c>
      <c r="C359" s="1" t="s">
        <v>1656</v>
      </c>
      <c r="D359" s="1" t="s">
        <v>1657</v>
      </c>
      <c r="F359" s="2" t="str">
        <f>"1433924714"</f>
        <v>1433924714</v>
      </c>
      <c r="G359" s="2" t="str">
        <f>"9781433924712"</f>
        <v>9781433924712</v>
      </c>
      <c r="H359" s="1" t="s">
        <v>1277</v>
      </c>
      <c r="I359" s="1" t="s">
        <v>36</v>
      </c>
      <c r="J359" s="1">
        <v>24.0</v>
      </c>
      <c r="K359" s="1">
        <v>2009.0</v>
      </c>
      <c r="L359" s="1">
        <v>2004.0</v>
      </c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 t="s">
        <v>245</v>
      </c>
      <c r="Y359" s="1" t="s">
        <v>1658</v>
      </c>
    </row>
    <row r="360">
      <c r="A360" s="1">
        <v>1.0876155E7</v>
      </c>
      <c r="B360" s="1" t="s">
        <v>1659</v>
      </c>
      <c r="C360" s="1" t="s">
        <v>1660</v>
      </c>
      <c r="D360" s="1" t="s">
        <v>1661</v>
      </c>
      <c r="F360" s="2" t="str">
        <f>"1435123263"</f>
        <v>1435123263</v>
      </c>
      <c r="G360" s="2" t="str">
        <f>"9781435123267"</f>
        <v>9781435123267</v>
      </c>
      <c r="H360" s="1" t="s">
        <v>1662</v>
      </c>
      <c r="I360" s="1" t="s">
        <v>31</v>
      </c>
      <c r="J360" s="1">
        <v>24.0</v>
      </c>
      <c r="K360" s="1">
        <v>2009.0</v>
      </c>
      <c r="L360" s="1">
        <v>2010.0</v>
      </c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 t="s">
        <v>510</v>
      </c>
      <c r="Y360" s="1" t="s">
        <v>1663</v>
      </c>
    </row>
    <row r="361">
      <c r="A361" s="1">
        <v>2.04642452E8</v>
      </c>
      <c r="B361" s="1" t="s">
        <v>1664</v>
      </c>
      <c r="C361" s="1" t="s">
        <v>1665</v>
      </c>
      <c r="D361" s="1" t="s">
        <v>1666</v>
      </c>
      <c r="F361" s="2" t="str">
        <f>"1536232335"</f>
        <v>1536232335</v>
      </c>
      <c r="G361" s="2" t="str">
        <f>"9781536232332"</f>
        <v>9781536232332</v>
      </c>
      <c r="H361" s="1" t="s">
        <v>945</v>
      </c>
      <c r="I361" s="1" t="s">
        <v>67</v>
      </c>
      <c r="J361" s="1">
        <v>24.0</v>
      </c>
      <c r="K361" s="1">
        <v>2024.0</v>
      </c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 t="s">
        <v>61</v>
      </c>
      <c r="Y361" s="1" t="s">
        <v>1667</v>
      </c>
    </row>
    <row r="362">
      <c r="A362" s="1">
        <v>5.8874695E7</v>
      </c>
      <c r="B362" s="1" t="s">
        <v>1668</v>
      </c>
      <c r="C362" s="1" t="s">
        <v>1669</v>
      </c>
      <c r="D362" s="1" t="s">
        <v>1670</v>
      </c>
      <c r="F362" s="2" t="str">
        <f>"1338830848"</f>
        <v>1338830848</v>
      </c>
      <c r="G362" s="2" t="str">
        <f>"9781338830842"</f>
        <v>9781338830842</v>
      </c>
      <c r="H362" s="1" t="s">
        <v>1575</v>
      </c>
      <c r="I362" s="1" t="s">
        <v>36</v>
      </c>
      <c r="J362" s="1">
        <v>24.0</v>
      </c>
      <c r="K362" s="1">
        <v>2022.0</v>
      </c>
      <c r="L362" s="1">
        <v>2021.0</v>
      </c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 t="s">
        <v>61</v>
      </c>
      <c r="Y362" s="1" t="s">
        <v>1671</v>
      </c>
    </row>
    <row r="363">
      <c r="A363" s="1">
        <v>1.2080172E7</v>
      </c>
      <c r="B363" s="1" t="s">
        <v>1672</v>
      </c>
      <c r="C363" s="1" t="s">
        <v>415</v>
      </c>
      <c r="D363" s="1" t="s">
        <v>416</v>
      </c>
      <c r="F363" s="2" t="str">
        <f>"0061478016"</f>
        <v>0061478016</v>
      </c>
      <c r="G363" s="2" t="str">
        <f>"9780061478017"</f>
        <v>9780061478017</v>
      </c>
      <c r="H363" s="1" t="s">
        <v>1673</v>
      </c>
      <c r="I363" s="1" t="s">
        <v>36</v>
      </c>
      <c r="J363" s="1">
        <v>24.0</v>
      </c>
      <c r="K363" s="1">
        <v>2011.0</v>
      </c>
      <c r="L363" s="1">
        <v>2011.0</v>
      </c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 t="s">
        <v>510</v>
      </c>
      <c r="Y363" s="1" t="s">
        <v>1674</v>
      </c>
    </row>
    <row r="364">
      <c r="A364" s="1">
        <v>239381.0</v>
      </c>
      <c r="B364" s="1" t="s">
        <v>1675</v>
      </c>
      <c r="C364" s="1" t="s">
        <v>415</v>
      </c>
      <c r="D364" s="1" t="s">
        <v>416</v>
      </c>
      <c r="F364" s="2" t="str">
        <f>"0307119483"</f>
        <v>0307119483</v>
      </c>
      <c r="G364" s="2" t="str">
        <f>"9780307119483"</f>
        <v>9780307119483</v>
      </c>
      <c r="H364" s="1" t="s">
        <v>156</v>
      </c>
      <c r="I364" s="1" t="s">
        <v>36</v>
      </c>
      <c r="J364" s="1">
        <v>24.0</v>
      </c>
      <c r="K364" s="1">
        <v>2000.0</v>
      </c>
      <c r="L364" s="1">
        <v>1987.0</v>
      </c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 t="s">
        <v>1352</v>
      </c>
      <c r="Y364" s="1" t="s">
        <v>1676</v>
      </c>
    </row>
    <row r="365">
      <c r="A365" s="1">
        <v>239388.0</v>
      </c>
      <c r="B365" s="1" t="s">
        <v>1677</v>
      </c>
      <c r="C365" s="1" t="s">
        <v>415</v>
      </c>
      <c r="D365" s="1" t="s">
        <v>416</v>
      </c>
      <c r="F365" s="2" t="str">
        <f>"0307118398"</f>
        <v>0307118398</v>
      </c>
      <c r="G365" s="2" t="str">
        <f>"9780307118394"</f>
        <v>9780307118394</v>
      </c>
      <c r="H365" s="1" t="s">
        <v>1678</v>
      </c>
      <c r="I365" s="1" t="s">
        <v>36</v>
      </c>
      <c r="J365" s="1">
        <v>24.0</v>
      </c>
      <c r="K365" s="1">
        <v>2001.0</v>
      </c>
      <c r="L365" s="1">
        <v>1977.0</v>
      </c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 t="s">
        <v>1352</v>
      </c>
      <c r="Y365" s="1" t="s">
        <v>1679</v>
      </c>
    </row>
    <row r="366">
      <c r="A366" s="1">
        <v>279305.0</v>
      </c>
      <c r="B366" s="1" t="s">
        <v>1680</v>
      </c>
      <c r="C366" s="1" t="s">
        <v>415</v>
      </c>
      <c r="D366" s="1" t="s">
        <v>416</v>
      </c>
      <c r="F366" s="2" t="str">
        <f>"0307119750"</f>
        <v>0307119750</v>
      </c>
      <c r="G366" s="2" t="str">
        <f>"9780307119759"</f>
        <v>9780307119759</v>
      </c>
      <c r="H366" s="1" t="s">
        <v>156</v>
      </c>
      <c r="I366" s="1" t="s">
        <v>36</v>
      </c>
      <c r="J366" s="1">
        <v>24.0</v>
      </c>
      <c r="K366" s="1">
        <v>1999.0</v>
      </c>
      <c r="L366" s="1">
        <v>1988.0</v>
      </c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 t="s">
        <v>1352</v>
      </c>
      <c r="Y366" s="1" t="s">
        <v>1681</v>
      </c>
    </row>
    <row r="367">
      <c r="A367" s="1">
        <v>821018.0</v>
      </c>
      <c r="B367" s="1" t="s">
        <v>1682</v>
      </c>
      <c r="C367" s="1" t="s">
        <v>415</v>
      </c>
      <c r="D367" s="1" t="s">
        <v>416</v>
      </c>
      <c r="F367" s="2" t="str">
        <f>"0307118932"</f>
        <v>0307118932</v>
      </c>
      <c r="G367" s="2" t="str">
        <f>"9780307118936"</f>
        <v>9780307118936</v>
      </c>
      <c r="H367" s="1" t="s">
        <v>156</v>
      </c>
      <c r="I367" s="1" t="s">
        <v>36</v>
      </c>
      <c r="J367" s="1">
        <v>24.0</v>
      </c>
      <c r="K367" s="1">
        <v>2001.0</v>
      </c>
      <c r="L367" s="1">
        <v>1983.0</v>
      </c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 t="s">
        <v>1683</v>
      </c>
      <c r="Y367" s="1" t="s">
        <v>1684</v>
      </c>
    </row>
    <row r="368">
      <c r="A368" s="1">
        <v>386227.0</v>
      </c>
      <c r="B368" s="1" t="s">
        <v>1685</v>
      </c>
      <c r="C368" s="1" t="s">
        <v>415</v>
      </c>
      <c r="D368" s="1" t="s">
        <v>416</v>
      </c>
      <c r="F368" s="2" t="str">
        <f>"0307125831"</f>
        <v>0307125831</v>
      </c>
      <c r="G368" s="2" t="str">
        <f>"9780307125835"</f>
        <v>9780307125835</v>
      </c>
      <c r="H368" s="1" t="s">
        <v>156</v>
      </c>
      <c r="I368" s="1" t="s">
        <v>36</v>
      </c>
      <c r="J368" s="1">
        <v>24.0</v>
      </c>
      <c r="K368" s="1">
        <v>2001.0</v>
      </c>
      <c r="L368" s="1">
        <v>1990.0</v>
      </c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 t="s">
        <v>1686</v>
      </c>
      <c r="Y368" s="1" t="s">
        <v>1687</v>
      </c>
    </row>
    <row r="369">
      <c r="A369" s="1">
        <v>386421.0</v>
      </c>
      <c r="B369" s="1" t="s">
        <v>1688</v>
      </c>
      <c r="C369" s="1" t="s">
        <v>415</v>
      </c>
      <c r="D369" s="1" t="s">
        <v>416</v>
      </c>
      <c r="F369" s="2" t="str">
        <f>"0307119394"</f>
        <v>0307119394</v>
      </c>
      <c r="G369" s="2" t="str">
        <f>"9780307119391"</f>
        <v>9780307119391</v>
      </c>
      <c r="H369" s="1" t="s">
        <v>156</v>
      </c>
      <c r="I369" s="1" t="s">
        <v>36</v>
      </c>
      <c r="J369" s="1">
        <v>24.0</v>
      </c>
      <c r="K369" s="1">
        <v>2000.0</v>
      </c>
      <c r="L369" s="1">
        <v>1983.0</v>
      </c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 t="s">
        <v>1156</v>
      </c>
      <c r="Y369" s="1" t="s">
        <v>1689</v>
      </c>
    </row>
    <row r="370">
      <c r="A370" s="1">
        <v>3.045436E7</v>
      </c>
      <c r="B370" s="1" t="s">
        <v>1690</v>
      </c>
      <c r="C370" s="1" t="s">
        <v>1691</v>
      </c>
      <c r="D370" s="1" t="s">
        <v>1692</v>
      </c>
      <c r="F370" s="2" t="str">
        <f>"1489644822"</f>
        <v>1489644822</v>
      </c>
      <c r="G370" s="2" t="str">
        <f>"9781489644824"</f>
        <v>9781489644824</v>
      </c>
      <c r="H370" s="1" t="s">
        <v>1412</v>
      </c>
      <c r="I370" s="1" t="s">
        <v>91</v>
      </c>
      <c r="J370" s="1">
        <v>24.0</v>
      </c>
      <c r="K370" s="1">
        <v>2016.0</v>
      </c>
      <c r="L370" s="1">
        <v>2015.0</v>
      </c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 t="s">
        <v>92</v>
      </c>
      <c r="Y370" s="1" t="s">
        <v>1693</v>
      </c>
    </row>
    <row r="371">
      <c r="A371" s="1">
        <v>7.6236908E7</v>
      </c>
      <c r="B371" s="1" t="s">
        <v>1694</v>
      </c>
      <c r="C371" s="1" t="s">
        <v>1695</v>
      </c>
      <c r="D371" s="1" t="s">
        <v>1696</v>
      </c>
      <c r="E371" s="1" t="s">
        <v>1697</v>
      </c>
      <c r="F371" s="2" t="str">
        <f>"0322061032"</f>
        <v>0322061032</v>
      </c>
      <c r="G371" s="2" t="str">
        <f>"9780322061033"</f>
        <v>9780322061033</v>
      </c>
      <c r="H371" s="1" t="s">
        <v>1698</v>
      </c>
      <c r="I371" s="1" t="s">
        <v>36</v>
      </c>
      <c r="J371" s="1">
        <v>24.0</v>
      </c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 t="s">
        <v>1433</v>
      </c>
      <c r="Y371" s="1" t="s">
        <v>1699</v>
      </c>
    </row>
    <row r="372">
      <c r="A372" s="1">
        <v>620407.0</v>
      </c>
      <c r="B372" s="1" t="s">
        <v>1700</v>
      </c>
      <c r="C372" s="1" t="s">
        <v>1701</v>
      </c>
      <c r="D372" s="1" t="s">
        <v>1702</v>
      </c>
      <c r="E372" s="1" t="s">
        <v>1703</v>
      </c>
      <c r="F372" s="2" t="str">
        <f>"075345307X"</f>
        <v>075345307X</v>
      </c>
      <c r="G372" s="2" t="str">
        <f>"9780753453070"</f>
        <v>9780753453070</v>
      </c>
      <c r="H372" s="1" t="s">
        <v>1704</v>
      </c>
      <c r="I372" s="1" t="s">
        <v>36</v>
      </c>
      <c r="J372" s="1">
        <v>24.0</v>
      </c>
      <c r="K372" s="1">
        <v>2000.0</v>
      </c>
      <c r="L372" s="1">
        <v>1998.0</v>
      </c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 t="s">
        <v>1705</v>
      </c>
      <c r="Y372" s="1" t="s">
        <v>1706</v>
      </c>
    </row>
    <row r="373">
      <c r="A373" s="1">
        <v>1.9733177E7</v>
      </c>
      <c r="B373" s="1" t="s">
        <v>1707</v>
      </c>
      <c r="C373" s="1" t="s">
        <v>1708</v>
      </c>
      <c r="D373" s="1" t="s">
        <v>1709</v>
      </c>
      <c r="F373" s="2" t="str">
        <f>"0547416776"</f>
        <v>0547416776</v>
      </c>
      <c r="G373" s="2" t="str">
        <f>"9780547416779"</f>
        <v>9780547416779</v>
      </c>
      <c r="H373" s="1" t="s">
        <v>1710</v>
      </c>
      <c r="I373" s="1" t="s">
        <v>238</v>
      </c>
      <c r="J373" s="1">
        <v>24.0</v>
      </c>
      <c r="K373" s="1">
        <v>2007.0</v>
      </c>
      <c r="L373" s="1">
        <v>2007.0</v>
      </c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 t="s">
        <v>1711</v>
      </c>
      <c r="Y373" s="1" t="s">
        <v>1712</v>
      </c>
    </row>
    <row r="374">
      <c r="A374" s="1">
        <v>6220482.0</v>
      </c>
      <c r="B374" s="1" t="s">
        <v>1713</v>
      </c>
      <c r="C374" s="1" t="s">
        <v>1714</v>
      </c>
      <c r="D374" s="1" t="s">
        <v>1715</v>
      </c>
      <c r="F374" s="2" t="str">
        <f>"1572550147"</f>
        <v>1572550147</v>
      </c>
      <c r="G374" s="2" t="str">
        <f>"9781572550148"</f>
        <v>9781572550148</v>
      </c>
      <c r="H374" s="1" t="s">
        <v>1716</v>
      </c>
      <c r="I374" s="1" t="s">
        <v>31</v>
      </c>
      <c r="J374" s="1">
        <v>24.0</v>
      </c>
      <c r="K374" s="1">
        <v>1995.0</v>
      </c>
      <c r="L374" s="1">
        <v>1995.0</v>
      </c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 t="s">
        <v>323</v>
      </c>
      <c r="Y374" s="1" t="s">
        <v>1717</v>
      </c>
    </row>
    <row r="375">
      <c r="A375" s="1">
        <v>285740.0</v>
      </c>
      <c r="B375" s="1" t="s">
        <v>1718</v>
      </c>
      <c r="C375" s="1" t="s">
        <v>1719</v>
      </c>
      <c r="D375" s="1" t="s">
        <v>1720</v>
      </c>
      <c r="E375" s="1" t="s">
        <v>1721</v>
      </c>
      <c r="F375" s="2" t="str">
        <f>"1550374842"</f>
        <v>1550374842</v>
      </c>
      <c r="G375" s="2" t="str">
        <f>"9781550374841"</f>
        <v>9781550374841</v>
      </c>
      <c r="H375" s="1" t="s">
        <v>1722</v>
      </c>
      <c r="I375" s="1" t="s">
        <v>36</v>
      </c>
      <c r="J375" s="1">
        <v>24.0</v>
      </c>
      <c r="K375" s="1">
        <v>1996.0</v>
      </c>
      <c r="L375" s="1">
        <v>1996.0</v>
      </c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 t="s">
        <v>1352</v>
      </c>
      <c r="Y375" s="1" t="s">
        <v>1723</v>
      </c>
    </row>
    <row r="376">
      <c r="A376" s="1">
        <v>2255650.0</v>
      </c>
      <c r="B376" s="1" t="s">
        <v>1724</v>
      </c>
      <c r="C376" s="1" t="s">
        <v>1719</v>
      </c>
      <c r="D376" s="1" t="s">
        <v>1720</v>
      </c>
      <c r="F376" s="2" t="str">
        <f>"1550371894"</f>
        <v>1550371894</v>
      </c>
      <c r="G376" s="2" t="str">
        <f>"9781550371895"</f>
        <v>9781550371895</v>
      </c>
      <c r="H376" s="1" t="s">
        <v>1722</v>
      </c>
      <c r="I376" s="1" t="s">
        <v>36</v>
      </c>
      <c r="J376" s="1">
        <v>24.0</v>
      </c>
      <c r="K376" s="1">
        <v>1991.0</v>
      </c>
      <c r="L376" s="1">
        <v>1988.0</v>
      </c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 t="s">
        <v>245</v>
      </c>
      <c r="Y376" s="1" t="s">
        <v>1725</v>
      </c>
    </row>
    <row r="377">
      <c r="A377" s="1">
        <v>3.2302299E7</v>
      </c>
      <c r="B377" s="1" t="s">
        <v>1726</v>
      </c>
      <c r="C377" s="1" t="s">
        <v>1727</v>
      </c>
      <c r="D377" s="1" t="s">
        <v>1728</v>
      </c>
      <c r="F377" s="2" t="str">
        <f>"1624026397"</f>
        <v>1624026397</v>
      </c>
      <c r="G377" s="2" t="str">
        <f>"9781624026393"</f>
        <v>9781624026393</v>
      </c>
      <c r="H377" s="1" t="s">
        <v>1538</v>
      </c>
      <c r="I377" s="1" t="s">
        <v>91</v>
      </c>
      <c r="J377" s="1">
        <v>24.0</v>
      </c>
      <c r="K377" s="1">
        <v>2016.0</v>
      </c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 t="s">
        <v>92</v>
      </c>
      <c r="Y377" s="1" t="s">
        <v>1729</v>
      </c>
    </row>
    <row r="378">
      <c r="A378" s="1">
        <v>1.8339852E7</v>
      </c>
      <c r="B378" s="1" t="s">
        <v>1730</v>
      </c>
      <c r="C378" s="1" t="s">
        <v>1731</v>
      </c>
      <c r="D378" s="1" t="s">
        <v>1732</v>
      </c>
      <c r="F378" s="2" t="str">
        <f>"1426315082"</f>
        <v>1426315082</v>
      </c>
      <c r="G378" s="2" t="str">
        <f>"9781426315084"</f>
        <v>9781426315084</v>
      </c>
      <c r="H378" s="1" t="s">
        <v>650</v>
      </c>
      <c r="I378" s="1" t="s">
        <v>36</v>
      </c>
      <c r="J378" s="1">
        <v>24.0</v>
      </c>
      <c r="K378" s="1">
        <v>2014.0</v>
      </c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 t="s">
        <v>51</v>
      </c>
      <c r="Y378" s="1" t="s">
        <v>1733</v>
      </c>
    </row>
    <row r="379">
      <c r="A379" s="1">
        <v>1.9352969E7</v>
      </c>
      <c r="B379" s="1" t="s">
        <v>1734</v>
      </c>
      <c r="C379" s="1" t="s">
        <v>1731</v>
      </c>
      <c r="D379" s="1" t="s">
        <v>1732</v>
      </c>
      <c r="F379" s="2" t="str">
        <f>"1426317557"</f>
        <v>1426317557</v>
      </c>
      <c r="G379" s="2" t="str">
        <f>"9781426317552"</f>
        <v>9781426317552</v>
      </c>
      <c r="H379" s="1" t="s">
        <v>1735</v>
      </c>
      <c r="I379" s="1" t="s">
        <v>36</v>
      </c>
      <c r="J379" s="1">
        <v>24.0</v>
      </c>
      <c r="K379" s="1">
        <v>2014.0</v>
      </c>
      <c r="L379" s="1">
        <v>2014.0</v>
      </c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 t="s">
        <v>51</v>
      </c>
      <c r="Y379" s="1" t="s">
        <v>1736</v>
      </c>
    </row>
    <row r="380">
      <c r="A380" s="1">
        <v>1.8769891E7</v>
      </c>
      <c r="B380" s="1" t="s">
        <v>1737</v>
      </c>
      <c r="C380" s="1" t="s">
        <v>1738</v>
      </c>
      <c r="D380" s="1" t="s">
        <v>1739</v>
      </c>
      <c r="F380" s="2" t="str">
        <f>"0385384475"</f>
        <v>0385384475</v>
      </c>
      <c r="G380" s="2" t="str">
        <f>"9780385384476"</f>
        <v>9780385384476</v>
      </c>
      <c r="H380" s="1" t="s">
        <v>1565</v>
      </c>
      <c r="I380" s="1" t="s">
        <v>36</v>
      </c>
      <c r="J380" s="1">
        <v>24.0</v>
      </c>
      <c r="K380" s="1">
        <v>2014.0</v>
      </c>
      <c r="L380" s="1">
        <v>2014.0</v>
      </c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 t="s">
        <v>83</v>
      </c>
      <c r="Y380" s="1" t="s">
        <v>1740</v>
      </c>
    </row>
    <row r="381">
      <c r="A381" s="1">
        <v>4008345.0</v>
      </c>
      <c r="B381" s="1" t="s">
        <v>1741</v>
      </c>
      <c r="C381" s="1" t="s">
        <v>1742</v>
      </c>
      <c r="D381" s="1" t="s">
        <v>1743</v>
      </c>
      <c r="F381" s="2" t="str">
        <f>"1933605936"</f>
        <v>1933605936</v>
      </c>
      <c r="G381" s="2" t="str">
        <f>"9781933605937"</f>
        <v>9781933605937</v>
      </c>
      <c r="H381" s="1" t="s">
        <v>1744</v>
      </c>
      <c r="I381" s="1" t="s">
        <v>36</v>
      </c>
      <c r="J381" s="1">
        <v>24.0</v>
      </c>
      <c r="K381" s="1">
        <v>2008.0</v>
      </c>
      <c r="L381" s="1">
        <v>2007.0</v>
      </c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 t="s">
        <v>61</v>
      </c>
      <c r="Y381" s="1" t="s">
        <v>1745</v>
      </c>
    </row>
    <row r="382">
      <c r="A382" s="1">
        <v>6407321.0</v>
      </c>
      <c r="B382" s="1" t="s">
        <v>1746</v>
      </c>
      <c r="C382" s="1" t="s">
        <v>1747</v>
      </c>
      <c r="D382" s="1" t="s">
        <v>1748</v>
      </c>
      <c r="E382" s="1" t="s">
        <v>1749</v>
      </c>
      <c r="F382" s="2" t="str">
        <f>"0061804320"</f>
        <v>0061804320</v>
      </c>
      <c r="G382" s="2" t="str">
        <f>"9780061804328"</f>
        <v>9780061804328</v>
      </c>
      <c r="H382" s="1" t="s">
        <v>290</v>
      </c>
      <c r="I382" s="1" t="s">
        <v>67</v>
      </c>
      <c r="J382" s="1">
        <v>24.0</v>
      </c>
      <c r="K382" s="1">
        <v>2009.0</v>
      </c>
      <c r="L382" s="1">
        <v>2008.0</v>
      </c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 t="s">
        <v>1750</v>
      </c>
      <c r="Y382" s="1" t="s">
        <v>1751</v>
      </c>
    </row>
    <row r="383">
      <c r="A383" s="1">
        <v>1.2722702E7</v>
      </c>
      <c r="B383" s="1" t="s">
        <v>1752</v>
      </c>
      <c r="C383" s="1" t="s">
        <v>905</v>
      </c>
      <c r="D383" s="1" t="s">
        <v>906</v>
      </c>
      <c r="E383" s="1" t="s">
        <v>1753</v>
      </c>
      <c r="F383" s="2" t="str">
        <f>"0061235970"</f>
        <v>0061235970</v>
      </c>
      <c r="G383" s="2" t="str">
        <f>"9780061235979"</f>
        <v>9780061235979</v>
      </c>
      <c r="H383" s="1" t="s">
        <v>290</v>
      </c>
      <c r="I383" s="1" t="s">
        <v>36</v>
      </c>
      <c r="J383" s="1">
        <v>24.0</v>
      </c>
      <c r="K383" s="1">
        <v>2012.0</v>
      </c>
      <c r="L383" s="1">
        <v>2012.0</v>
      </c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 t="s">
        <v>370</v>
      </c>
      <c r="Y383" s="1" t="s">
        <v>1754</v>
      </c>
    </row>
    <row r="384">
      <c r="A384" s="1">
        <v>7211181.0</v>
      </c>
      <c r="B384" s="1" t="s">
        <v>1755</v>
      </c>
      <c r="C384" s="1" t="s">
        <v>905</v>
      </c>
      <c r="D384" s="1" t="s">
        <v>906</v>
      </c>
      <c r="E384" s="1" t="s">
        <v>1753</v>
      </c>
      <c r="F384" s="2" t="str">
        <f>"006170377X"</f>
        <v>006170377X</v>
      </c>
      <c r="G384" s="2" t="str">
        <f>"9780061703775"</f>
        <v>9780061703775</v>
      </c>
      <c r="H384" s="1" t="s">
        <v>290</v>
      </c>
      <c r="I384" s="1" t="s">
        <v>36</v>
      </c>
      <c r="J384" s="1">
        <v>24.0</v>
      </c>
      <c r="K384" s="1">
        <v>2010.0</v>
      </c>
      <c r="L384" s="1">
        <v>2010.0</v>
      </c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 t="s">
        <v>370</v>
      </c>
      <c r="Y384" s="1" t="s">
        <v>1756</v>
      </c>
    </row>
    <row r="385">
      <c r="A385" s="1">
        <v>7211182.0</v>
      </c>
      <c r="B385" s="1" t="s">
        <v>1757</v>
      </c>
      <c r="C385" s="1" t="s">
        <v>905</v>
      </c>
      <c r="D385" s="1" t="s">
        <v>906</v>
      </c>
      <c r="E385" s="1" t="s">
        <v>1758</v>
      </c>
      <c r="F385" s="2" t="str">
        <f>"0061703788"</f>
        <v>0061703788</v>
      </c>
      <c r="G385" s="2" t="str">
        <f>"9780061703782"</f>
        <v>9780061703782</v>
      </c>
      <c r="H385" s="1" t="s">
        <v>290</v>
      </c>
      <c r="I385" s="1" t="s">
        <v>36</v>
      </c>
      <c r="J385" s="1">
        <v>24.0</v>
      </c>
      <c r="K385" s="1">
        <v>2010.0</v>
      </c>
      <c r="L385" s="1">
        <v>2010.0</v>
      </c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 t="s">
        <v>370</v>
      </c>
      <c r="Y385" s="1" t="s">
        <v>1759</v>
      </c>
    </row>
    <row r="386">
      <c r="A386" s="1">
        <v>1.7349098E7</v>
      </c>
      <c r="B386" s="1" t="s">
        <v>1760</v>
      </c>
      <c r="C386" s="1" t="s">
        <v>905</v>
      </c>
      <c r="D386" s="1" t="s">
        <v>906</v>
      </c>
      <c r="E386" s="1" t="s">
        <v>1753</v>
      </c>
      <c r="F386" s="2" t="str">
        <f>"0062086286"</f>
        <v>0062086286</v>
      </c>
      <c r="G386" s="2" t="str">
        <f>"9780062086280"</f>
        <v>9780062086280</v>
      </c>
      <c r="H386" s="1" t="s">
        <v>290</v>
      </c>
      <c r="I386" s="1" t="s">
        <v>36</v>
      </c>
      <c r="J386" s="1">
        <v>24.0</v>
      </c>
      <c r="K386" s="1">
        <v>2013.0</v>
      </c>
      <c r="L386" s="1">
        <v>2013.0</v>
      </c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 t="s">
        <v>370</v>
      </c>
      <c r="Y386" s="1" t="s">
        <v>1761</v>
      </c>
    </row>
    <row r="387">
      <c r="A387" s="1">
        <v>1.6248086E7</v>
      </c>
      <c r="B387" s="1" t="s">
        <v>1762</v>
      </c>
      <c r="C387" s="1" t="s">
        <v>905</v>
      </c>
      <c r="D387" s="1" t="s">
        <v>906</v>
      </c>
      <c r="E387" s="1" t="s">
        <v>1763</v>
      </c>
      <c r="F387" s="2" t="str">
        <f>"0062086278"</f>
        <v>0062086278</v>
      </c>
      <c r="G387" s="2" t="str">
        <f>"9780062086273"</f>
        <v>9780062086273</v>
      </c>
      <c r="H387" s="1" t="s">
        <v>290</v>
      </c>
      <c r="I387" s="1" t="s">
        <v>36</v>
      </c>
      <c r="J387" s="1">
        <v>24.0</v>
      </c>
      <c r="K387" s="1">
        <v>2013.0</v>
      </c>
      <c r="L387" s="1">
        <v>2013.0</v>
      </c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 t="s">
        <v>370</v>
      </c>
      <c r="Y387" s="1" t="s">
        <v>1764</v>
      </c>
    </row>
    <row r="388">
      <c r="A388" s="1">
        <v>2.3362692E7</v>
      </c>
      <c r="B388" s="1" t="s">
        <v>1765</v>
      </c>
      <c r="C388" s="1" t="s">
        <v>905</v>
      </c>
      <c r="D388" s="1" t="s">
        <v>906</v>
      </c>
      <c r="E388" s="1" t="s">
        <v>1763</v>
      </c>
      <c r="F388" s="2" t="str">
        <f>"0062269585"</f>
        <v>0062269585</v>
      </c>
      <c r="G388" s="2" t="str">
        <f>"9780062269584"</f>
        <v>9780062269584</v>
      </c>
      <c r="H388" s="1" t="s">
        <v>290</v>
      </c>
      <c r="I388" s="1" t="s">
        <v>36</v>
      </c>
      <c r="J388" s="1">
        <v>24.0</v>
      </c>
      <c r="K388" s="1">
        <v>2015.0</v>
      </c>
      <c r="L388" s="1">
        <v>2015.0</v>
      </c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 t="s">
        <v>370</v>
      </c>
      <c r="Y388" s="1" t="s">
        <v>1766</v>
      </c>
    </row>
    <row r="389">
      <c r="A389" s="1">
        <v>5028946.0</v>
      </c>
      <c r="B389" s="1" t="s">
        <v>1767</v>
      </c>
      <c r="C389" s="1" t="s">
        <v>1768</v>
      </c>
      <c r="D389" s="1" t="s">
        <v>1769</v>
      </c>
      <c r="F389" s="2" t="str">
        <f>"1404276653"</f>
        <v>1404276653</v>
      </c>
      <c r="G389" s="2" t="str">
        <f>"9781404276659"</f>
        <v>9781404276659</v>
      </c>
      <c r="H389" s="1" t="s">
        <v>1770</v>
      </c>
      <c r="I389" s="1" t="s">
        <v>91</v>
      </c>
      <c r="J389" s="1">
        <v>24.0</v>
      </c>
      <c r="K389" s="1">
        <v>2008.0</v>
      </c>
      <c r="L389" s="1">
        <v>2008.0</v>
      </c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 t="s">
        <v>245</v>
      </c>
      <c r="Y389" s="1" t="s">
        <v>1771</v>
      </c>
    </row>
    <row r="390">
      <c r="A390" s="1">
        <v>2575647.0</v>
      </c>
      <c r="B390" s="1" t="s">
        <v>1772</v>
      </c>
      <c r="C390" s="1" t="s">
        <v>1768</v>
      </c>
      <c r="D390" s="1" t="s">
        <v>1769</v>
      </c>
      <c r="F390" s="2" t="str">
        <f>"1404276645"</f>
        <v>1404276645</v>
      </c>
      <c r="G390" s="2" t="str">
        <f>"9781404276642"</f>
        <v>9781404276642</v>
      </c>
      <c r="H390" s="1" t="s">
        <v>1773</v>
      </c>
      <c r="I390" s="1" t="s">
        <v>91</v>
      </c>
      <c r="J390" s="1">
        <v>24.0</v>
      </c>
      <c r="K390" s="1">
        <v>2008.0</v>
      </c>
      <c r="L390" s="1">
        <v>2008.0</v>
      </c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 t="s">
        <v>245</v>
      </c>
      <c r="Y390" s="1" t="s">
        <v>1774</v>
      </c>
    </row>
    <row r="391">
      <c r="A391" s="1">
        <v>832751.0</v>
      </c>
      <c r="B391" s="1" t="s">
        <v>1775</v>
      </c>
      <c r="C391" s="1" t="s">
        <v>1776</v>
      </c>
      <c r="D391" s="1" t="s">
        <v>1777</v>
      </c>
      <c r="E391" s="1" t="s">
        <v>1778</v>
      </c>
      <c r="F391" s="2" t="str">
        <f>"0439773822"</f>
        <v>0439773822</v>
      </c>
      <c r="G391" s="2" t="str">
        <f>"9780439773829"</f>
        <v>9780439773829</v>
      </c>
      <c r="H391" s="1" t="s">
        <v>1575</v>
      </c>
      <c r="I391" s="1" t="s">
        <v>36</v>
      </c>
      <c r="J391" s="1">
        <v>24.0</v>
      </c>
      <c r="K391" s="1">
        <v>2006.0</v>
      </c>
      <c r="L391" s="1">
        <v>2004.0</v>
      </c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 t="s">
        <v>297</v>
      </c>
      <c r="Y391" s="1" t="s">
        <v>1779</v>
      </c>
    </row>
    <row r="392">
      <c r="A392" s="1">
        <v>343112.0</v>
      </c>
      <c r="B392" s="1" t="s">
        <v>1780</v>
      </c>
      <c r="C392" s="1" t="s">
        <v>1776</v>
      </c>
      <c r="D392" s="1" t="s">
        <v>1777</v>
      </c>
      <c r="E392" s="1" t="s">
        <v>1781</v>
      </c>
      <c r="F392" s="2" t="str">
        <f>"0439773768"</f>
        <v>0439773768</v>
      </c>
      <c r="G392" s="2" t="str">
        <f>"9780439773768"</f>
        <v>9780439773768</v>
      </c>
      <c r="H392" s="1" t="s">
        <v>1575</v>
      </c>
      <c r="I392" s="1" t="s">
        <v>36</v>
      </c>
      <c r="J392" s="1">
        <v>24.0</v>
      </c>
      <c r="K392" s="1">
        <v>2006.0</v>
      </c>
      <c r="L392" s="1">
        <v>2004.0</v>
      </c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 t="s">
        <v>61</v>
      </c>
      <c r="Y392" s="1" t="s">
        <v>1782</v>
      </c>
    </row>
    <row r="393">
      <c r="A393" s="1">
        <v>832753.0</v>
      </c>
      <c r="B393" s="1" t="s">
        <v>1783</v>
      </c>
      <c r="C393" s="1" t="s">
        <v>1776</v>
      </c>
      <c r="D393" s="1" t="s">
        <v>1777</v>
      </c>
      <c r="E393" s="1" t="s">
        <v>1776</v>
      </c>
      <c r="F393" s="2" t="str">
        <f>"043977375X"</f>
        <v>043977375X</v>
      </c>
      <c r="G393" s="2" t="str">
        <f>"9780439773751"</f>
        <v>9780439773751</v>
      </c>
      <c r="H393" s="1" t="s">
        <v>1575</v>
      </c>
      <c r="I393" s="1" t="s">
        <v>36</v>
      </c>
      <c r="J393" s="1">
        <v>24.0</v>
      </c>
      <c r="K393" s="1">
        <v>2006.0</v>
      </c>
      <c r="L393" s="1">
        <v>2006.0</v>
      </c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 t="s">
        <v>61</v>
      </c>
      <c r="Y393" s="1" t="s">
        <v>1784</v>
      </c>
    </row>
    <row r="394">
      <c r="A394" s="1">
        <v>1.04839776E8</v>
      </c>
      <c r="B394" s="1" t="s">
        <v>1785</v>
      </c>
      <c r="C394" s="1" t="s">
        <v>1786</v>
      </c>
      <c r="D394" s="1" t="s">
        <v>1787</v>
      </c>
      <c r="E394" s="1" t="s">
        <v>1788</v>
      </c>
      <c r="F394" s="2" t="str">
        <f>"968494053X"</f>
        <v>968494053X</v>
      </c>
      <c r="G394" s="2" t="str">
        <f>"9789684940536"</f>
        <v>9789684940536</v>
      </c>
      <c r="H394" s="1" t="s">
        <v>1789</v>
      </c>
      <c r="I394" s="1" t="s">
        <v>36</v>
      </c>
      <c r="J394" s="1">
        <v>24.0</v>
      </c>
      <c r="K394" s="1">
        <v>2013.0</v>
      </c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 t="s">
        <v>61</v>
      </c>
      <c r="Y394" s="1" t="s">
        <v>1790</v>
      </c>
    </row>
    <row r="395">
      <c r="A395" s="1">
        <v>5.08496E7</v>
      </c>
      <c r="B395" s="1" t="s">
        <v>1791</v>
      </c>
      <c r="C395" s="1" t="s">
        <v>1250</v>
      </c>
      <c r="D395" s="1" t="s">
        <v>1251</v>
      </c>
      <c r="E395" s="1" t="s">
        <v>1792</v>
      </c>
      <c r="F395" s="2" t="str">
        <f>"1945635258"</f>
        <v>1945635258</v>
      </c>
      <c r="G395" s="2" t="str">
        <f>"9781945635250"</f>
        <v>9781945635250</v>
      </c>
      <c r="H395" s="1" t="s">
        <v>1253</v>
      </c>
      <c r="I395" s="1" t="s">
        <v>779</v>
      </c>
      <c r="J395" s="1">
        <v>24.0</v>
      </c>
      <c r="K395" s="1">
        <v>2019.0</v>
      </c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 t="s">
        <v>1254</v>
      </c>
      <c r="Y395" s="1" t="s">
        <v>1793</v>
      </c>
    </row>
    <row r="396">
      <c r="A396" s="1">
        <v>1173682.0</v>
      </c>
      <c r="B396" s="1" t="s">
        <v>1794</v>
      </c>
      <c r="C396" s="1" t="s">
        <v>1795</v>
      </c>
      <c r="D396" s="1" t="s">
        <v>1796</v>
      </c>
      <c r="F396" s="2" t="str">
        <f>"1592960189"</f>
        <v>1592960189</v>
      </c>
      <c r="G396" s="2" t="str">
        <f>"9781592960187"</f>
        <v>9781592960187</v>
      </c>
      <c r="H396" s="1" t="s">
        <v>1504</v>
      </c>
      <c r="I396" s="1" t="s">
        <v>91</v>
      </c>
      <c r="J396" s="1">
        <v>24.0</v>
      </c>
      <c r="K396" s="1">
        <v>2004.0</v>
      </c>
      <c r="L396" s="1">
        <v>2004.0</v>
      </c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 t="s">
        <v>1413</v>
      </c>
      <c r="Y396" s="1" t="s">
        <v>1797</v>
      </c>
    </row>
    <row r="397">
      <c r="A397" s="1">
        <v>2.8114483E7</v>
      </c>
      <c r="B397" s="1" t="s">
        <v>1798</v>
      </c>
      <c r="C397" s="1" t="s">
        <v>546</v>
      </c>
      <c r="D397" s="1" t="s">
        <v>547</v>
      </c>
      <c r="F397" s="2" t="str">
        <f>"0544813251"</f>
        <v>0544813251</v>
      </c>
      <c r="G397" s="2" t="str">
        <f>"9780544813250"</f>
        <v>9780544813250</v>
      </c>
      <c r="H397" s="1" t="s">
        <v>1799</v>
      </c>
      <c r="I397" s="1" t="s">
        <v>31</v>
      </c>
      <c r="J397" s="1">
        <v>24.0</v>
      </c>
      <c r="K397" s="1">
        <v>2016.0</v>
      </c>
      <c r="L397" s="1">
        <v>1997.0</v>
      </c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 t="s">
        <v>32</v>
      </c>
      <c r="Y397" s="1" t="s">
        <v>1800</v>
      </c>
    </row>
    <row r="398">
      <c r="A398" s="1">
        <v>9462333.0</v>
      </c>
      <c r="B398" s="1" t="s">
        <v>1801</v>
      </c>
      <c r="C398" s="1" t="s">
        <v>1802</v>
      </c>
      <c r="D398" s="1" t="s">
        <v>1803</v>
      </c>
      <c r="E398" s="1" t="s">
        <v>1804</v>
      </c>
      <c r="F398" s="2" t="str">
        <f>"1605539589"</f>
        <v>1605539589</v>
      </c>
      <c r="G398" s="2" t="str">
        <f>"9781605539584"</f>
        <v>9781605539584</v>
      </c>
      <c r="H398" s="1" t="s">
        <v>1805</v>
      </c>
      <c r="I398" s="1" t="s">
        <v>31</v>
      </c>
      <c r="J398" s="1">
        <v>24.0</v>
      </c>
      <c r="K398" s="1">
        <v>2017.0</v>
      </c>
      <c r="L398" s="1">
        <v>1939.0</v>
      </c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 t="s">
        <v>863</v>
      </c>
      <c r="Y398" s="1" t="s">
        <v>1806</v>
      </c>
    </row>
    <row r="399">
      <c r="A399" s="1">
        <v>8644036.0</v>
      </c>
      <c r="B399" s="1" t="s">
        <v>1807</v>
      </c>
      <c r="C399" s="1" t="s">
        <v>582</v>
      </c>
      <c r="D399" s="1" t="s">
        <v>583</v>
      </c>
      <c r="E399" s="1" t="s">
        <v>1808</v>
      </c>
      <c r="F399" s="2" t="str">
        <f>"1404838317"</f>
        <v>1404838317</v>
      </c>
      <c r="G399" s="2" t="str">
        <f>"9781404838314"</f>
        <v>9781404838314</v>
      </c>
      <c r="H399" s="1" t="s">
        <v>584</v>
      </c>
      <c r="I399" s="1" t="s">
        <v>91</v>
      </c>
      <c r="J399" s="1">
        <v>24.0</v>
      </c>
      <c r="K399" s="1">
        <v>2008.0</v>
      </c>
      <c r="L399" s="1">
        <v>2008.0</v>
      </c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 t="s">
        <v>92</v>
      </c>
      <c r="Y399" s="1" t="s">
        <v>1809</v>
      </c>
    </row>
    <row r="400">
      <c r="A400" s="1">
        <v>2950616.0</v>
      </c>
      <c r="B400" s="1" t="s">
        <v>1810</v>
      </c>
      <c r="C400" s="1" t="s">
        <v>582</v>
      </c>
      <c r="D400" s="1" t="s">
        <v>583</v>
      </c>
      <c r="E400" s="1" t="s">
        <v>1808</v>
      </c>
      <c r="F400" s="2" t="str">
        <f>"1404838333"</f>
        <v>1404838333</v>
      </c>
      <c r="G400" s="2" t="str">
        <f>"9781404838338"</f>
        <v>9781404838338</v>
      </c>
      <c r="H400" s="1" t="s">
        <v>584</v>
      </c>
      <c r="I400" s="1" t="s">
        <v>91</v>
      </c>
      <c r="J400" s="1">
        <v>24.0</v>
      </c>
      <c r="K400" s="1">
        <v>2008.0</v>
      </c>
      <c r="L400" s="1">
        <v>2005.0</v>
      </c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 t="s">
        <v>92</v>
      </c>
      <c r="Y400" s="1" t="s">
        <v>1811</v>
      </c>
    </row>
    <row r="401">
      <c r="A401" s="1">
        <v>2597768.0</v>
      </c>
      <c r="B401" s="1" t="s">
        <v>1812</v>
      </c>
      <c r="C401" s="1" t="s">
        <v>582</v>
      </c>
      <c r="D401" s="1" t="s">
        <v>583</v>
      </c>
      <c r="F401" s="2" t="str">
        <f>"1404838325"</f>
        <v>1404838325</v>
      </c>
      <c r="G401" s="2" t="str">
        <f>"9781404838321"</f>
        <v>9781404838321</v>
      </c>
      <c r="H401" s="1" t="s">
        <v>584</v>
      </c>
      <c r="I401" s="1" t="s">
        <v>91</v>
      </c>
      <c r="J401" s="1">
        <v>24.0</v>
      </c>
      <c r="K401" s="1">
        <v>2008.0</v>
      </c>
      <c r="L401" s="1">
        <v>2005.0</v>
      </c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 t="s">
        <v>92</v>
      </c>
      <c r="Y401" s="1" t="s">
        <v>1813</v>
      </c>
    </row>
    <row r="402">
      <c r="A402" s="1">
        <v>2930618.0</v>
      </c>
      <c r="B402" s="1" t="s">
        <v>1814</v>
      </c>
      <c r="C402" s="1" t="s">
        <v>582</v>
      </c>
      <c r="D402" s="1" t="s">
        <v>583</v>
      </c>
      <c r="E402" s="1" t="s">
        <v>1815</v>
      </c>
      <c r="F402" s="2" t="str">
        <f>"0761424113"</f>
        <v>0761424113</v>
      </c>
      <c r="G402" s="2" t="str">
        <f>"9780761424116"</f>
        <v>9780761424116</v>
      </c>
      <c r="H402" s="1" t="s">
        <v>1816</v>
      </c>
      <c r="I402" s="1" t="s">
        <v>91</v>
      </c>
      <c r="J402" s="1">
        <v>24.0</v>
      </c>
      <c r="K402" s="1">
        <v>2008.0</v>
      </c>
      <c r="L402" s="1">
        <v>2006.0</v>
      </c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 t="s">
        <v>92</v>
      </c>
      <c r="Y402" s="1" t="s">
        <v>1817</v>
      </c>
    </row>
    <row r="403">
      <c r="A403" s="1">
        <v>1971759.0</v>
      </c>
      <c r="B403" s="1" t="s">
        <v>1818</v>
      </c>
      <c r="C403" s="1" t="s">
        <v>582</v>
      </c>
      <c r="D403" s="1" t="s">
        <v>583</v>
      </c>
      <c r="F403" s="2" t="str">
        <f>"0761424121"</f>
        <v>0761424121</v>
      </c>
      <c r="G403" s="2" t="str">
        <f>"9780761424123"</f>
        <v>9780761424123</v>
      </c>
      <c r="H403" s="1" t="s">
        <v>1816</v>
      </c>
      <c r="I403" s="1" t="s">
        <v>91</v>
      </c>
      <c r="J403" s="1">
        <v>24.0</v>
      </c>
      <c r="K403" s="1">
        <v>2008.0</v>
      </c>
      <c r="L403" s="1">
        <v>2005.0</v>
      </c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 t="s">
        <v>245</v>
      </c>
      <c r="Y403" s="1" t="s">
        <v>1819</v>
      </c>
    </row>
    <row r="404">
      <c r="A404" s="1">
        <v>1.3773538E7</v>
      </c>
      <c r="B404" s="1" t="s">
        <v>1820</v>
      </c>
      <c r="C404" s="1" t="s">
        <v>582</v>
      </c>
      <c r="D404" s="1" t="s">
        <v>583</v>
      </c>
      <c r="E404" s="1" t="s">
        <v>1815</v>
      </c>
      <c r="F404" s="2" t="str">
        <f>"076142413X"</f>
        <v>076142413X</v>
      </c>
      <c r="G404" s="2" t="str">
        <f>"9780761424130"</f>
        <v>9780761424130</v>
      </c>
      <c r="H404" s="1" t="s">
        <v>1816</v>
      </c>
      <c r="I404" s="1" t="s">
        <v>91</v>
      </c>
      <c r="J404" s="1">
        <v>24.0</v>
      </c>
      <c r="K404" s="1">
        <v>2008.0</v>
      </c>
      <c r="L404" s="1">
        <v>2006.0</v>
      </c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 t="s">
        <v>245</v>
      </c>
      <c r="Y404" s="1" t="s">
        <v>1821</v>
      </c>
    </row>
    <row r="405">
      <c r="A405" s="1">
        <v>2248925.0</v>
      </c>
      <c r="B405" s="1" t="s">
        <v>1822</v>
      </c>
      <c r="C405" s="1" t="s">
        <v>582</v>
      </c>
      <c r="D405" s="1" t="s">
        <v>583</v>
      </c>
      <c r="F405" s="2" t="str">
        <f>"0761424105"</f>
        <v>0761424105</v>
      </c>
      <c r="G405" s="2" t="str">
        <f>"9780761424109"</f>
        <v>9780761424109</v>
      </c>
      <c r="H405" s="1" t="s">
        <v>1816</v>
      </c>
      <c r="I405" s="1" t="s">
        <v>91</v>
      </c>
      <c r="J405" s="1">
        <v>24.0</v>
      </c>
      <c r="K405" s="1">
        <v>2008.0</v>
      </c>
      <c r="L405" s="1">
        <v>2006.0</v>
      </c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 t="s">
        <v>245</v>
      </c>
      <c r="Y405" s="1" t="s">
        <v>1823</v>
      </c>
    </row>
    <row r="406">
      <c r="A406" s="1">
        <v>2950655.0</v>
      </c>
      <c r="B406" s="1" t="s">
        <v>1824</v>
      </c>
      <c r="C406" s="1" t="s">
        <v>582</v>
      </c>
      <c r="D406" s="1" t="s">
        <v>583</v>
      </c>
      <c r="E406" s="1" t="s">
        <v>1815</v>
      </c>
      <c r="F406" s="2" t="str">
        <f>"0761424202"</f>
        <v>0761424202</v>
      </c>
      <c r="G406" s="2" t="str">
        <f>"9780761424208"</f>
        <v>9780761424208</v>
      </c>
      <c r="H406" s="1" t="s">
        <v>1816</v>
      </c>
      <c r="I406" s="1" t="s">
        <v>91</v>
      </c>
      <c r="J406" s="1">
        <v>24.0</v>
      </c>
      <c r="K406" s="1">
        <v>2008.0</v>
      </c>
      <c r="L406" s="1">
        <v>2006.0</v>
      </c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 t="s">
        <v>245</v>
      </c>
      <c r="Y406" s="1" t="s">
        <v>1825</v>
      </c>
    </row>
    <row r="407">
      <c r="A407" s="1">
        <v>1.3773539E7</v>
      </c>
      <c r="B407" s="1" t="s">
        <v>1826</v>
      </c>
      <c r="C407" s="1" t="s">
        <v>582</v>
      </c>
      <c r="D407" s="1" t="s">
        <v>583</v>
      </c>
      <c r="E407" s="1" t="s">
        <v>1815</v>
      </c>
      <c r="F407" s="2" t="str">
        <f>"0761424199"</f>
        <v>0761424199</v>
      </c>
      <c r="G407" s="2" t="str">
        <f>"9780761424192"</f>
        <v>9780761424192</v>
      </c>
      <c r="H407" s="1" t="s">
        <v>1816</v>
      </c>
      <c r="I407" s="1" t="s">
        <v>91</v>
      </c>
      <c r="J407" s="1">
        <v>24.0</v>
      </c>
      <c r="K407" s="1">
        <v>2008.0</v>
      </c>
      <c r="L407" s="1">
        <v>2006.0</v>
      </c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 t="s">
        <v>1413</v>
      </c>
      <c r="Y407" s="1" t="s">
        <v>1827</v>
      </c>
    </row>
    <row r="408">
      <c r="A408" s="1">
        <v>3.4896364E7</v>
      </c>
      <c r="B408" s="1" t="s">
        <v>1828</v>
      </c>
      <c r="C408" s="1" t="s">
        <v>1829</v>
      </c>
      <c r="D408" s="1" t="s">
        <v>1830</v>
      </c>
      <c r="E408" s="1" t="s">
        <v>1831</v>
      </c>
      <c r="F408" s="2" t="str">
        <f>"1681512815"</f>
        <v>1681512815</v>
      </c>
      <c r="G408" s="2" t="str">
        <f>"9781681512815"</f>
        <v>9781681512815</v>
      </c>
      <c r="H408" s="1" t="s">
        <v>233</v>
      </c>
      <c r="I408" s="1" t="s">
        <v>91</v>
      </c>
      <c r="J408" s="1">
        <v>24.0</v>
      </c>
      <c r="K408" s="1">
        <v>2017.0</v>
      </c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 t="s">
        <v>109</v>
      </c>
      <c r="Y408" s="1" t="s">
        <v>1832</v>
      </c>
    </row>
    <row r="409">
      <c r="A409" s="1">
        <v>3.3503506E7</v>
      </c>
      <c r="B409" s="1" t="s">
        <v>1833</v>
      </c>
      <c r="C409" s="1" t="s">
        <v>1834</v>
      </c>
      <c r="D409" s="1" t="s">
        <v>1835</v>
      </c>
      <c r="F409" s="2" t="str">
        <f>"1328695573"</f>
        <v>1328695573</v>
      </c>
      <c r="G409" s="2" t="str">
        <f>"9781328695574"</f>
        <v>9781328695574</v>
      </c>
      <c r="H409" s="1" t="s">
        <v>1799</v>
      </c>
      <c r="I409" s="1" t="s">
        <v>31</v>
      </c>
      <c r="J409" s="1">
        <v>24.0</v>
      </c>
      <c r="K409" s="1">
        <v>2017.0</v>
      </c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 t="s">
        <v>863</v>
      </c>
      <c r="Y409" s="1" t="s">
        <v>1836</v>
      </c>
    </row>
    <row r="410">
      <c r="A410" s="1">
        <v>291375.0</v>
      </c>
      <c r="B410" s="1" t="s">
        <v>1837</v>
      </c>
      <c r="C410" s="1" t="s">
        <v>1834</v>
      </c>
      <c r="D410" s="1" t="s">
        <v>1835</v>
      </c>
      <c r="E410" s="1" t="s">
        <v>1838</v>
      </c>
      <c r="F410" s="2" t="str">
        <f>"0618152407"</f>
        <v>0618152407</v>
      </c>
      <c r="G410" s="2" t="str">
        <f>"9780618152407"</f>
        <v>9780618152407</v>
      </c>
      <c r="H410" s="1" t="s">
        <v>1799</v>
      </c>
      <c r="I410" s="1" t="s">
        <v>36</v>
      </c>
      <c r="J410" s="1">
        <v>24.0</v>
      </c>
      <c r="K410" s="1">
        <v>2001.0</v>
      </c>
      <c r="L410" s="1">
        <v>2001.0</v>
      </c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 t="s">
        <v>1839</v>
      </c>
      <c r="Y410" s="1" t="s">
        <v>1840</v>
      </c>
    </row>
    <row r="411">
      <c r="A411" s="1">
        <v>2.811441E7</v>
      </c>
      <c r="B411" s="1" t="s">
        <v>1841</v>
      </c>
      <c r="C411" s="1" t="s">
        <v>1834</v>
      </c>
      <c r="D411" s="1" t="s">
        <v>1835</v>
      </c>
      <c r="F411" s="2" t="str">
        <f>"054480032X"</f>
        <v>054480032X</v>
      </c>
      <c r="G411" s="2" t="str">
        <f>"9780544800328"</f>
        <v>9780544800328</v>
      </c>
      <c r="H411" s="1" t="s">
        <v>1799</v>
      </c>
      <c r="I411" s="1" t="s">
        <v>36</v>
      </c>
      <c r="J411" s="1">
        <v>24.0</v>
      </c>
      <c r="K411" s="1">
        <v>2016.0</v>
      </c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 t="s">
        <v>83</v>
      </c>
      <c r="Y411" s="1" t="s">
        <v>1842</v>
      </c>
    </row>
    <row r="412">
      <c r="A412" s="1">
        <v>2.5897723E7</v>
      </c>
      <c r="B412" s="1" t="s">
        <v>1843</v>
      </c>
      <c r="C412" s="1" t="s">
        <v>1834</v>
      </c>
      <c r="D412" s="1" t="s">
        <v>1835</v>
      </c>
      <c r="F412" s="2" t="str">
        <f>"0544652231"</f>
        <v>0544652231</v>
      </c>
      <c r="G412" s="2" t="str">
        <f>"9780544652231"</f>
        <v>9780544652231</v>
      </c>
      <c r="H412" s="1" t="s">
        <v>1799</v>
      </c>
      <c r="I412" s="1" t="s">
        <v>36</v>
      </c>
      <c r="J412" s="1">
        <v>24.0</v>
      </c>
      <c r="K412" s="1">
        <v>2016.0</v>
      </c>
      <c r="L412" s="1">
        <v>2016.0</v>
      </c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 t="s">
        <v>83</v>
      </c>
      <c r="Y412" s="1" t="s">
        <v>1844</v>
      </c>
    </row>
    <row r="413">
      <c r="A413" s="1">
        <v>1.2651953E7</v>
      </c>
      <c r="B413" s="1" t="s">
        <v>1845</v>
      </c>
      <c r="C413" s="1" t="s">
        <v>1834</v>
      </c>
      <c r="D413" s="1" t="s">
        <v>1835</v>
      </c>
      <c r="F413" s="2" t="str">
        <f>"0547691181"</f>
        <v>0547691181</v>
      </c>
      <c r="G413" s="2" t="str">
        <f>"9780547691183"</f>
        <v>9780547691183</v>
      </c>
      <c r="H413" s="1" t="s">
        <v>1799</v>
      </c>
      <c r="I413" s="1" t="s">
        <v>36</v>
      </c>
      <c r="J413" s="1">
        <v>24.0</v>
      </c>
      <c r="K413" s="1">
        <v>2012.0</v>
      </c>
      <c r="L413" s="1">
        <v>2012.0</v>
      </c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 t="s">
        <v>1711</v>
      </c>
      <c r="Y413" s="1" t="s">
        <v>1846</v>
      </c>
    </row>
    <row r="414">
      <c r="A414" s="1">
        <v>141930.0</v>
      </c>
      <c r="B414" s="1" t="s">
        <v>1847</v>
      </c>
      <c r="C414" s="1" t="s">
        <v>1838</v>
      </c>
      <c r="D414" s="1" t="s">
        <v>1848</v>
      </c>
      <c r="E414" s="1" t="s">
        <v>1834</v>
      </c>
      <c r="F414" s="2" t="str">
        <f>"0395978343"</f>
        <v>0395978343</v>
      </c>
      <c r="G414" s="2" t="str">
        <f>"9780395978344"</f>
        <v>9780395978344</v>
      </c>
      <c r="H414" s="1" t="s">
        <v>1799</v>
      </c>
      <c r="I414" s="1" t="s">
        <v>31</v>
      </c>
      <c r="J414" s="1">
        <v>24.0</v>
      </c>
      <c r="K414" s="1">
        <v>1999.0</v>
      </c>
      <c r="L414" s="1">
        <v>1988.0</v>
      </c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 t="s">
        <v>1839</v>
      </c>
      <c r="Y414" s="1" t="s">
        <v>1849</v>
      </c>
    </row>
    <row r="415">
      <c r="A415" s="1">
        <v>7157790.0</v>
      </c>
      <c r="B415" s="1" t="s">
        <v>1850</v>
      </c>
      <c r="C415" s="1" t="s">
        <v>1838</v>
      </c>
      <c r="D415" s="1" t="s">
        <v>1848</v>
      </c>
      <c r="E415" s="1" t="s">
        <v>1851</v>
      </c>
      <c r="F415" s="2" t="str">
        <f>"0547048254"</f>
        <v>0547048254</v>
      </c>
      <c r="G415" s="2" t="str">
        <f>"9780547048253"</f>
        <v>9780547048253</v>
      </c>
      <c r="H415" s="1" t="s">
        <v>1799</v>
      </c>
      <c r="I415" s="1" t="s">
        <v>31</v>
      </c>
      <c r="J415" s="1">
        <v>24.0</v>
      </c>
      <c r="K415" s="1">
        <v>2010.0</v>
      </c>
      <c r="L415" s="1">
        <v>2010.0</v>
      </c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 t="s">
        <v>1852</v>
      </c>
      <c r="Y415" s="1" t="s">
        <v>1853</v>
      </c>
    </row>
    <row r="416">
      <c r="A416" s="1">
        <v>1353039.0</v>
      </c>
      <c r="B416" s="1" t="s">
        <v>1854</v>
      </c>
      <c r="C416" s="1" t="s">
        <v>1838</v>
      </c>
      <c r="D416" s="1" t="s">
        <v>1848</v>
      </c>
      <c r="E416" s="1" t="s">
        <v>1855</v>
      </c>
      <c r="F416" s="2" t="str">
        <f>"0618663770"</f>
        <v>0618663770</v>
      </c>
      <c r="G416" s="2" t="str">
        <f>"9780618663774"</f>
        <v>9780618663774</v>
      </c>
      <c r="H416" s="1" t="s">
        <v>1799</v>
      </c>
      <c r="I416" s="1" t="s">
        <v>36</v>
      </c>
      <c r="J416" s="1">
        <v>24.0</v>
      </c>
      <c r="K416" s="1">
        <v>2006.0</v>
      </c>
      <c r="L416" s="1">
        <v>2006.0</v>
      </c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 t="s">
        <v>1839</v>
      </c>
      <c r="Y416" s="1" t="s">
        <v>1856</v>
      </c>
    </row>
    <row r="417">
      <c r="A417" s="1">
        <v>574750.0</v>
      </c>
      <c r="B417" s="1" t="s">
        <v>1857</v>
      </c>
      <c r="C417" s="1" t="s">
        <v>1838</v>
      </c>
      <c r="D417" s="1" t="s">
        <v>1848</v>
      </c>
      <c r="E417" s="1" t="s">
        <v>1834</v>
      </c>
      <c r="F417" s="2" t="str">
        <f>"0395919118"</f>
        <v>0395919118</v>
      </c>
      <c r="G417" s="2" t="str">
        <f>"9780395919118"</f>
        <v>9780395919118</v>
      </c>
      <c r="H417" s="1" t="s">
        <v>1858</v>
      </c>
      <c r="I417" s="1" t="s">
        <v>36</v>
      </c>
      <c r="J417" s="1">
        <v>24.0</v>
      </c>
      <c r="K417" s="1">
        <v>1998.0</v>
      </c>
      <c r="L417" s="1">
        <v>1998.0</v>
      </c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 t="s">
        <v>1839</v>
      </c>
      <c r="Y417" s="1" t="s">
        <v>1859</v>
      </c>
    </row>
    <row r="418">
      <c r="A418" s="1">
        <v>291369.0</v>
      </c>
      <c r="B418" s="1" t="s">
        <v>1860</v>
      </c>
      <c r="C418" s="1" t="s">
        <v>1838</v>
      </c>
      <c r="D418" s="1" t="s">
        <v>1848</v>
      </c>
      <c r="E418" s="1" t="s">
        <v>1861</v>
      </c>
      <c r="F418" s="2" t="str">
        <f>"0618065679"</f>
        <v>0618065679</v>
      </c>
      <c r="G418" s="2" t="str">
        <f>"9780618065677"</f>
        <v>9780618065677</v>
      </c>
      <c r="H418" s="1" t="s">
        <v>1858</v>
      </c>
      <c r="I418" s="1" t="s">
        <v>36</v>
      </c>
      <c r="J418" s="1">
        <v>24.0</v>
      </c>
      <c r="K418" s="1">
        <v>2002.0</v>
      </c>
      <c r="L418" s="1">
        <v>2002.0</v>
      </c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 t="s">
        <v>1839</v>
      </c>
      <c r="Y418" s="1" t="s">
        <v>1862</v>
      </c>
    </row>
    <row r="419">
      <c r="A419" s="1">
        <v>819045.0</v>
      </c>
      <c r="B419" s="1" t="s">
        <v>1863</v>
      </c>
      <c r="C419" s="1" t="s">
        <v>1838</v>
      </c>
      <c r="D419" s="1" t="s">
        <v>1848</v>
      </c>
      <c r="E419" s="1" t="s">
        <v>1834</v>
      </c>
      <c r="F419" s="2" t="str">
        <f>"0395919061"</f>
        <v>0395919061</v>
      </c>
      <c r="G419" s="2" t="str">
        <f>"9780395919064"</f>
        <v>9780395919064</v>
      </c>
      <c r="H419" s="1" t="s">
        <v>1710</v>
      </c>
      <c r="I419" s="1" t="s">
        <v>36</v>
      </c>
      <c r="J419" s="1">
        <v>24.0</v>
      </c>
      <c r="K419" s="1">
        <v>1998.0</v>
      </c>
      <c r="L419" s="1">
        <v>1998.0</v>
      </c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 t="s">
        <v>1839</v>
      </c>
      <c r="Y419" s="1" t="s">
        <v>1864</v>
      </c>
    </row>
    <row r="420">
      <c r="A420" s="1">
        <v>819048.0</v>
      </c>
      <c r="B420" s="1" t="s">
        <v>1865</v>
      </c>
      <c r="C420" s="1" t="s">
        <v>1838</v>
      </c>
      <c r="D420" s="1" t="s">
        <v>1848</v>
      </c>
      <c r="E420" s="1" t="s">
        <v>1866</v>
      </c>
      <c r="F420" s="2" t="str">
        <f>"0618494960"</f>
        <v>0618494960</v>
      </c>
      <c r="G420" s="2" t="str">
        <f>"9780618494965"</f>
        <v>9780618494965</v>
      </c>
      <c r="H420" s="1" t="s">
        <v>1710</v>
      </c>
      <c r="I420" s="1" t="s">
        <v>36</v>
      </c>
      <c r="J420" s="1">
        <v>24.0</v>
      </c>
      <c r="K420" s="1">
        <v>2004.0</v>
      </c>
      <c r="L420" s="1">
        <v>2004.0</v>
      </c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 t="s">
        <v>1839</v>
      </c>
      <c r="Y420" s="1" t="s">
        <v>1867</v>
      </c>
    </row>
    <row r="421">
      <c r="A421" s="1">
        <v>141929.0</v>
      </c>
      <c r="B421" s="1" t="s">
        <v>1868</v>
      </c>
      <c r="C421" s="1" t="s">
        <v>1838</v>
      </c>
      <c r="D421" s="1" t="s">
        <v>1848</v>
      </c>
      <c r="E421" s="1" t="s">
        <v>1834</v>
      </c>
      <c r="F421" s="2" t="str">
        <f>"039591907X"</f>
        <v>039591907X</v>
      </c>
      <c r="G421" s="2" t="str">
        <f>"9780395919071"</f>
        <v>9780395919071</v>
      </c>
      <c r="H421" s="1" t="s">
        <v>1799</v>
      </c>
      <c r="I421" s="1" t="s">
        <v>36</v>
      </c>
      <c r="J421" s="1">
        <v>24.0</v>
      </c>
      <c r="K421" s="1">
        <v>1998.0</v>
      </c>
      <c r="L421" s="1">
        <v>1997.0</v>
      </c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 t="s">
        <v>1839</v>
      </c>
      <c r="Y421" s="1" t="s">
        <v>1869</v>
      </c>
    </row>
    <row r="422">
      <c r="A422" s="1">
        <v>574781.0</v>
      </c>
      <c r="B422" s="1" t="s">
        <v>1870</v>
      </c>
      <c r="C422" s="1" t="s">
        <v>1838</v>
      </c>
      <c r="D422" s="1" t="s">
        <v>1848</v>
      </c>
      <c r="E422" s="1" t="s">
        <v>1871</v>
      </c>
      <c r="F422" s="2" t="str">
        <f>"0618723951"</f>
        <v>0618723951</v>
      </c>
      <c r="G422" s="2" t="str">
        <f>"9780618723959"</f>
        <v>9780618723959</v>
      </c>
      <c r="H422" s="1" t="s">
        <v>1799</v>
      </c>
      <c r="I422" s="1" t="s">
        <v>36</v>
      </c>
      <c r="J422" s="1">
        <v>24.0</v>
      </c>
      <c r="K422" s="1">
        <v>2006.0</v>
      </c>
      <c r="L422" s="1">
        <v>2006.0</v>
      </c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 t="s">
        <v>1839</v>
      </c>
      <c r="Y422" s="1" t="s">
        <v>1872</v>
      </c>
    </row>
    <row r="423">
      <c r="A423" s="1">
        <v>574753.0</v>
      </c>
      <c r="B423" s="1" t="s">
        <v>1873</v>
      </c>
      <c r="C423" s="1" t="s">
        <v>1838</v>
      </c>
      <c r="D423" s="1" t="s">
        <v>1848</v>
      </c>
      <c r="E423" s="1" t="s">
        <v>1834</v>
      </c>
      <c r="F423" s="2" t="str">
        <f>"0618065695"</f>
        <v>0618065695</v>
      </c>
      <c r="G423" s="2" t="str">
        <f>"9780618065691"</f>
        <v>9780618065691</v>
      </c>
      <c r="H423" s="1" t="s">
        <v>1799</v>
      </c>
      <c r="I423" s="1" t="s">
        <v>36</v>
      </c>
      <c r="J423" s="1">
        <v>24.0</v>
      </c>
      <c r="K423" s="1">
        <v>2001.0</v>
      </c>
      <c r="L423" s="1">
        <v>1986.0</v>
      </c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 t="s">
        <v>1839</v>
      </c>
      <c r="Y423" s="1" t="s">
        <v>1874</v>
      </c>
    </row>
    <row r="424">
      <c r="A424" s="1">
        <v>291359.0</v>
      </c>
      <c r="B424" s="1" t="s">
        <v>1875</v>
      </c>
      <c r="C424" s="1" t="s">
        <v>1838</v>
      </c>
      <c r="D424" s="1" t="s">
        <v>1848</v>
      </c>
      <c r="E424" s="1" t="s">
        <v>1866</v>
      </c>
      <c r="F424" s="2" t="str">
        <f>"0618605649"</f>
        <v>0618605649</v>
      </c>
      <c r="G424" s="2" t="str">
        <f>"9780618605644"</f>
        <v>9780618605644</v>
      </c>
      <c r="H424" s="1" t="s">
        <v>1799</v>
      </c>
      <c r="I424" s="1" t="s">
        <v>36</v>
      </c>
      <c r="J424" s="1">
        <v>24.0</v>
      </c>
      <c r="K424" s="1">
        <v>2005.0</v>
      </c>
      <c r="L424" s="1">
        <v>2005.0</v>
      </c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 t="s">
        <v>1839</v>
      </c>
      <c r="Y424" s="1" t="s">
        <v>1876</v>
      </c>
    </row>
    <row r="425">
      <c r="A425" s="1">
        <v>141935.0</v>
      </c>
      <c r="B425" s="1" t="s">
        <v>1877</v>
      </c>
      <c r="C425" s="1" t="s">
        <v>1838</v>
      </c>
      <c r="D425" s="1" t="s">
        <v>1848</v>
      </c>
      <c r="E425" s="1" t="s">
        <v>1861</v>
      </c>
      <c r="F425" s="2" t="str">
        <f>"0618065687"</f>
        <v>0618065687</v>
      </c>
      <c r="G425" s="2" t="str">
        <f>"9780618065684"</f>
        <v>9780618065684</v>
      </c>
      <c r="H425" s="1" t="s">
        <v>1710</v>
      </c>
      <c r="I425" s="1" t="s">
        <v>36</v>
      </c>
      <c r="J425" s="1">
        <v>24.0</v>
      </c>
      <c r="K425" s="1">
        <v>2003.0</v>
      </c>
      <c r="L425" s="1">
        <v>2003.0</v>
      </c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 t="s">
        <v>1878</v>
      </c>
      <c r="Y425" s="1" t="s">
        <v>1879</v>
      </c>
    </row>
    <row r="426">
      <c r="A426" s="1">
        <v>574756.0</v>
      </c>
      <c r="B426" s="1" t="s">
        <v>1880</v>
      </c>
      <c r="C426" s="1" t="s">
        <v>1838</v>
      </c>
      <c r="D426" s="1" t="s">
        <v>1848</v>
      </c>
      <c r="E426" s="1" t="s">
        <v>1881</v>
      </c>
      <c r="F426" s="2" t="str">
        <f>"0618663754"</f>
        <v>0618663754</v>
      </c>
      <c r="G426" s="2" t="str">
        <f>"9780618663750"</f>
        <v>9780618663750</v>
      </c>
      <c r="H426" s="1" t="s">
        <v>1858</v>
      </c>
      <c r="I426" s="1" t="s">
        <v>36</v>
      </c>
      <c r="J426" s="1">
        <v>24.0</v>
      </c>
      <c r="K426" s="1">
        <v>2006.0</v>
      </c>
      <c r="L426" s="1">
        <v>2015.0</v>
      </c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 t="s">
        <v>1711</v>
      </c>
      <c r="Y426" s="1" t="s">
        <v>1882</v>
      </c>
    </row>
    <row r="427">
      <c r="A427" s="1">
        <v>819046.0</v>
      </c>
      <c r="B427" s="1" t="s">
        <v>1883</v>
      </c>
      <c r="C427" s="1" t="s">
        <v>1838</v>
      </c>
      <c r="D427" s="1" t="s">
        <v>1848</v>
      </c>
      <c r="E427" s="1" t="s">
        <v>1834</v>
      </c>
      <c r="F427" s="2" t="str">
        <f>"0395912156"</f>
        <v>0395912156</v>
      </c>
      <c r="G427" s="2" t="str">
        <f>"9780395912157"</f>
        <v>9780395912157</v>
      </c>
      <c r="H427" s="1" t="s">
        <v>1710</v>
      </c>
      <c r="I427" s="1" t="s">
        <v>36</v>
      </c>
      <c r="J427" s="1">
        <v>24.0</v>
      </c>
      <c r="K427" s="1">
        <v>2013.0</v>
      </c>
      <c r="L427" s="1">
        <v>1998.0</v>
      </c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 t="s">
        <v>1852</v>
      </c>
      <c r="Y427" s="1" t="s">
        <v>1884</v>
      </c>
    </row>
    <row r="428">
      <c r="A428" s="1">
        <v>819043.0</v>
      </c>
      <c r="B428" s="1" t="s">
        <v>1885</v>
      </c>
      <c r="C428" s="1" t="s">
        <v>1838</v>
      </c>
      <c r="D428" s="1" t="s">
        <v>1848</v>
      </c>
      <c r="E428" s="1" t="s">
        <v>1834</v>
      </c>
      <c r="F428" s="2" t="str">
        <f>"0395919088"</f>
        <v>0395919088</v>
      </c>
      <c r="G428" s="2" t="str">
        <f>"9780395919088"</f>
        <v>9780395919088</v>
      </c>
      <c r="H428" s="1" t="s">
        <v>1799</v>
      </c>
      <c r="I428" s="1" t="s">
        <v>36</v>
      </c>
      <c r="J428" s="1">
        <v>24.0</v>
      </c>
      <c r="K428" s="1">
        <v>1998.0</v>
      </c>
      <c r="L428" s="1">
        <v>1998.0</v>
      </c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 t="s">
        <v>1711</v>
      </c>
      <c r="Y428" s="1" t="s">
        <v>1886</v>
      </c>
    </row>
    <row r="429">
      <c r="A429" s="1">
        <v>1.2879302E7</v>
      </c>
      <c r="B429" s="1" t="s">
        <v>1887</v>
      </c>
      <c r="C429" s="1" t="s">
        <v>1888</v>
      </c>
      <c r="D429" s="1" t="s">
        <v>1889</v>
      </c>
      <c r="F429" s="2" t="str">
        <f>"158341990X"</f>
        <v>158341990X</v>
      </c>
      <c r="G429" s="2" t="str">
        <f>"9781583419908"</f>
        <v>9781583419908</v>
      </c>
      <c r="H429" s="1" t="s">
        <v>1303</v>
      </c>
      <c r="I429" s="1" t="s">
        <v>31</v>
      </c>
      <c r="J429" s="1">
        <v>24.0</v>
      </c>
      <c r="K429" s="1">
        <v>2011.0</v>
      </c>
      <c r="L429" s="1">
        <v>2010.0</v>
      </c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 t="s">
        <v>1890</v>
      </c>
      <c r="Y429" s="1" t="s">
        <v>1891</v>
      </c>
    </row>
    <row r="430">
      <c r="A430" s="1">
        <v>3.1921002E7</v>
      </c>
      <c r="B430" s="1" t="s">
        <v>1892</v>
      </c>
      <c r="C430" s="1" t="s">
        <v>1888</v>
      </c>
      <c r="D430" s="1" t="s">
        <v>1889</v>
      </c>
      <c r="F430" s="2" t="str">
        <f>"1608187853"</f>
        <v>1608187853</v>
      </c>
      <c r="G430" s="2" t="str">
        <f>"9781608187850"</f>
        <v>9781608187850</v>
      </c>
      <c r="H430" s="1" t="s">
        <v>1310</v>
      </c>
      <c r="I430" s="1" t="s">
        <v>91</v>
      </c>
      <c r="J430" s="1">
        <v>24.0</v>
      </c>
      <c r="K430" s="1">
        <v>2017.0</v>
      </c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 t="s">
        <v>96</v>
      </c>
      <c r="Y430" s="1" t="s">
        <v>1893</v>
      </c>
    </row>
    <row r="431">
      <c r="A431" s="1">
        <v>3.5605582E7</v>
      </c>
      <c r="B431" s="1" t="s">
        <v>1894</v>
      </c>
      <c r="C431" s="1" t="s">
        <v>1888</v>
      </c>
      <c r="D431" s="1" t="s">
        <v>1889</v>
      </c>
      <c r="F431" s="2" t="str">
        <f>"1628324945"</f>
        <v>1628324945</v>
      </c>
      <c r="G431" s="2" t="str">
        <f>"9781628324945"</f>
        <v>9781628324945</v>
      </c>
      <c r="H431" s="1" t="s">
        <v>1895</v>
      </c>
      <c r="I431" s="1" t="s">
        <v>36</v>
      </c>
      <c r="J431" s="1">
        <v>24.0</v>
      </c>
      <c r="K431" s="1">
        <v>2018.0</v>
      </c>
      <c r="L431" s="1">
        <v>2018.0</v>
      </c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 t="s">
        <v>96</v>
      </c>
      <c r="Y431" s="1" t="s">
        <v>1896</v>
      </c>
    </row>
    <row r="432">
      <c r="A432" s="1">
        <v>2.2536809E7</v>
      </c>
      <c r="B432" s="1" t="s">
        <v>1897</v>
      </c>
      <c r="C432" s="1" t="s">
        <v>1898</v>
      </c>
      <c r="D432" s="1" t="s">
        <v>1899</v>
      </c>
      <c r="F432" s="2" t="str">
        <f>"0062265334"</f>
        <v>0062265334</v>
      </c>
      <c r="G432" s="2" t="str">
        <f>"9780062265333"</f>
        <v>9780062265333</v>
      </c>
      <c r="H432" s="1" t="s">
        <v>1570</v>
      </c>
      <c r="I432" s="1" t="s">
        <v>238</v>
      </c>
      <c r="J432" s="1">
        <v>24.0</v>
      </c>
      <c r="K432" s="1">
        <v>2023.0</v>
      </c>
      <c r="L432" s="1">
        <v>2013.0</v>
      </c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 t="s">
        <v>51</v>
      </c>
      <c r="Y432" s="1" t="s">
        <v>1900</v>
      </c>
    </row>
    <row r="433">
      <c r="A433" s="1">
        <v>5610261.0</v>
      </c>
      <c r="B433" s="1" t="s">
        <v>1901</v>
      </c>
      <c r="C433" s="1" t="s">
        <v>1902</v>
      </c>
      <c r="D433" s="1" t="s">
        <v>1903</v>
      </c>
      <c r="F433" s="2" t="str">
        <f>"1561486574"</f>
        <v>1561486574</v>
      </c>
      <c r="G433" s="2" t="str">
        <f>"9781561486571"</f>
        <v>9781561486571</v>
      </c>
      <c r="H433" s="1" t="s">
        <v>1904</v>
      </c>
      <c r="I433" s="1" t="s">
        <v>31</v>
      </c>
      <c r="J433" s="1">
        <v>24.0</v>
      </c>
      <c r="K433" s="1">
        <v>2009.0</v>
      </c>
      <c r="L433" s="1">
        <v>2009.0</v>
      </c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 t="s">
        <v>1905</v>
      </c>
      <c r="Y433" s="1" t="s">
        <v>1906</v>
      </c>
    </row>
    <row r="434">
      <c r="A434" s="1">
        <v>1.3622124E7</v>
      </c>
      <c r="B434" s="1" t="s">
        <v>1907</v>
      </c>
      <c r="C434" s="1" t="s">
        <v>1908</v>
      </c>
      <c r="D434" s="1" t="s">
        <v>1909</v>
      </c>
      <c r="E434" s="1" t="s">
        <v>1910</v>
      </c>
      <c r="F434" s="2" t="str">
        <f>"0061885320"</f>
        <v>0061885320</v>
      </c>
      <c r="G434" s="2" t="str">
        <f>"9780061885327"</f>
        <v>9780061885327</v>
      </c>
      <c r="H434" s="1" t="s">
        <v>1673</v>
      </c>
      <c r="I434" s="1" t="s">
        <v>36</v>
      </c>
      <c r="J434" s="1">
        <v>24.0</v>
      </c>
      <c r="K434" s="1">
        <v>2011.0</v>
      </c>
      <c r="L434" s="1">
        <v>2011.0</v>
      </c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 t="s">
        <v>412</v>
      </c>
      <c r="Y434" s="1" t="s">
        <v>1911</v>
      </c>
    </row>
    <row r="435">
      <c r="A435" s="1">
        <v>7042498.0</v>
      </c>
      <c r="B435" s="1" t="s">
        <v>1912</v>
      </c>
      <c r="C435" s="1" t="s">
        <v>1913</v>
      </c>
      <c r="D435" s="1" t="s">
        <v>1914</v>
      </c>
      <c r="E435" s="1" t="s">
        <v>1915</v>
      </c>
      <c r="F435" s="2" t="str">
        <f>"1404800131"</f>
        <v>1404800131</v>
      </c>
      <c r="G435" s="2" t="str">
        <f>"9781404800137"</f>
        <v>9781404800137</v>
      </c>
      <c r="H435" s="1" t="s">
        <v>584</v>
      </c>
      <c r="I435" s="1" t="s">
        <v>91</v>
      </c>
      <c r="J435" s="1">
        <v>24.0</v>
      </c>
      <c r="K435" s="1">
        <v>2002.0</v>
      </c>
      <c r="L435" s="1">
        <v>2002.0</v>
      </c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 t="s">
        <v>116</v>
      </c>
      <c r="Y435" s="1" t="s">
        <v>1916</v>
      </c>
    </row>
    <row r="436">
      <c r="A436" s="1">
        <v>1831509.0</v>
      </c>
      <c r="B436" s="1" t="s">
        <v>1917</v>
      </c>
      <c r="C436" s="1" t="s">
        <v>1918</v>
      </c>
      <c r="D436" s="1" t="s">
        <v>1919</v>
      </c>
      <c r="E436" s="1" t="s">
        <v>1920</v>
      </c>
      <c r="F436" s="2" t="str">
        <f>"0756630193"</f>
        <v>0756630193</v>
      </c>
      <c r="G436" s="2" t="str">
        <f>"9780756630195"</f>
        <v>9780756630195</v>
      </c>
      <c r="H436" s="1" t="s">
        <v>1089</v>
      </c>
      <c r="I436" s="1" t="s">
        <v>36</v>
      </c>
      <c r="J436" s="1">
        <v>24.0</v>
      </c>
      <c r="K436" s="1">
        <v>2007.0</v>
      </c>
      <c r="L436" s="1">
        <v>1991.0</v>
      </c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 t="s">
        <v>1494</v>
      </c>
      <c r="Y436" s="1" t="s">
        <v>1921</v>
      </c>
    </row>
    <row r="437">
      <c r="A437" s="1">
        <v>117178.0</v>
      </c>
      <c r="B437" s="1" t="s">
        <v>1922</v>
      </c>
      <c r="C437" s="1" t="s">
        <v>1923</v>
      </c>
      <c r="D437" s="1" t="s">
        <v>1924</v>
      </c>
      <c r="F437" s="2" t="str">
        <f>"0375812024"</f>
        <v>0375812024</v>
      </c>
      <c r="G437" s="2" t="str">
        <f>"9780375812026"</f>
        <v>9780375812026</v>
      </c>
      <c r="H437" s="1" t="s">
        <v>156</v>
      </c>
      <c r="I437" s="1" t="s">
        <v>36</v>
      </c>
      <c r="J437" s="1">
        <v>24.0</v>
      </c>
      <c r="K437" s="1">
        <v>2001.0</v>
      </c>
      <c r="L437" s="1">
        <v>2001.0</v>
      </c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 t="s">
        <v>452</v>
      </c>
      <c r="Y437" s="1" t="s">
        <v>1925</v>
      </c>
    </row>
    <row r="438">
      <c r="A438" s="1">
        <v>2.6067531E7</v>
      </c>
      <c r="B438" s="1" t="s">
        <v>1926</v>
      </c>
      <c r="C438" s="1" t="s">
        <v>1927</v>
      </c>
      <c r="D438" s="1" t="s">
        <v>1928</v>
      </c>
      <c r="F438" s="2" t="str">
        <f>"0736482318"</f>
        <v>0736482318</v>
      </c>
      <c r="G438" s="2" t="str">
        <f>"9780736482318"</f>
        <v>9780736482318</v>
      </c>
      <c r="H438" s="1" t="s">
        <v>1561</v>
      </c>
      <c r="I438" s="1" t="s">
        <v>91</v>
      </c>
      <c r="J438" s="1">
        <v>24.0</v>
      </c>
      <c r="K438" s="1">
        <v>2016.0</v>
      </c>
      <c r="L438" s="1">
        <v>2016.0</v>
      </c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 t="s">
        <v>83</v>
      </c>
      <c r="Y438" s="1" t="s">
        <v>1929</v>
      </c>
    </row>
    <row r="439">
      <c r="A439" s="1">
        <v>1.8282956E7</v>
      </c>
      <c r="B439" s="1" t="s">
        <v>1930</v>
      </c>
      <c r="C439" s="1" t="s">
        <v>1927</v>
      </c>
      <c r="D439" s="1" t="s">
        <v>1928</v>
      </c>
      <c r="E439" s="1" t="s">
        <v>849</v>
      </c>
      <c r="F439" s="2" t="str">
        <f>"0736430938"</f>
        <v>0736430938</v>
      </c>
      <c r="G439" s="2" t="str">
        <f>"9780736430937"</f>
        <v>9780736430937</v>
      </c>
      <c r="H439" s="1" t="s">
        <v>1561</v>
      </c>
      <c r="I439" s="1" t="s">
        <v>36</v>
      </c>
      <c r="J439" s="1">
        <v>24.0</v>
      </c>
      <c r="K439" s="1">
        <v>2015.0</v>
      </c>
      <c r="L439" s="1">
        <v>2015.0</v>
      </c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 t="s">
        <v>83</v>
      </c>
      <c r="Y439" s="1" t="s">
        <v>1931</v>
      </c>
    </row>
    <row r="440">
      <c r="A440" s="1">
        <v>1.7797344E7</v>
      </c>
      <c r="B440" s="1" t="s">
        <v>1932</v>
      </c>
      <c r="C440" s="1" t="s">
        <v>1182</v>
      </c>
      <c r="D440" s="1" t="s">
        <v>1183</v>
      </c>
      <c r="F440" s="2" t="str">
        <f>"0385375166"</f>
        <v>0385375166</v>
      </c>
      <c r="G440" s="2" t="str">
        <f>"9780385375160"</f>
        <v>9780385375160</v>
      </c>
      <c r="H440" s="1" t="s">
        <v>156</v>
      </c>
      <c r="I440" s="1" t="s">
        <v>67</v>
      </c>
      <c r="J440" s="1">
        <v>24.0</v>
      </c>
      <c r="K440" s="1">
        <v>2014.0</v>
      </c>
      <c r="L440" s="1">
        <v>1963.0</v>
      </c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 t="s">
        <v>1933</v>
      </c>
      <c r="Y440" s="1" t="s">
        <v>1934</v>
      </c>
    </row>
    <row r="441">
      <c r="A441" s="1">
        <v>2.3548136E7</v>
      </c>
      <c r="B441" s="1" t="s">
        <v>1935</v>
      </c>
      <c r="C441" s="1" t="s">
        <v>1936</v>
      </c>
      <c r="D441" s="1" t="s">
        <v>1937</v>
      </c>
      <c r="F441" s="2" t="str">
        <f>"0552573108"</f>
        <v>0552573108</v>
      </c>
      <c r="G441" s="2" t="str">
        <f>"9780552573108"</f>
        <v>9780552573108</v>
      </c>
      <c r="H441" s="1" t="s">
        <v>1938</v>
      </c>
      <c r="I441" s="1" t="s">
        <v>36</v>
      </c>
      <c r="J441" s="1">
        <v>24.0</v>
      </c>
      <c r="K441" s="1">
        <v>2015.0</v>
      </c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 t="s">
        <v>405</v>
      </c>
      <c r="Y441" s="1" t="s">
        <v>1939</v>
      </c>
    </row>
    <row r="442">
      <c r="A442" s="1">
        <v>615346.0</v>
      </c>
      <c r="B442" s="1" t="s">
        <v>1940</v>
      </c>
      <c r="C442" s="1" t="s">
        <v>1936</v>
      </c>
      <c r="D442" s="1" t="s">
        <v>1937</v>
      </c>
      <c r="F442" s="2" t="str">
        <f>"0552549770"</f>
        <v>0552549770</v>
      </c>
      <c r="G442" s="2" t="str">
        <f>"9780552549776"</f>
        <v>9780552549776</v>
      </c>
      <c r="H442" s="1" t="s">
        <v>1941</v>
      </c>
      <c r="I442" s="1" t="s">
        <v>36</v>
      </c>
      <c r="J442" s="1">
        <v>24.0</v>
      </c>
      <c r="K442" s="1">
        <v>2007.0</v>
      </c>
      <c r="L442" s="1">
        <v>2000.0</v>
      </c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 t="s">
        <v>1942</v>
      </c>
      <c r="Y442" s="1" t="s">
        <v>1943</v>
      </c>
    </row>
    <row r="443">
      <c r="A443" s="1">
        <v>7171611.0</v>
      </c>
      <c r="B443" s="1" t="s">
        <v>1944</v>
      </c>
      <c r="C443" s="1" t="s">
        <v>1945</v>
      </c>
      <c r="D443" s="1" t="s">
        <v>1946</v>
      </c>
      <c r="E443" s="1" t="s">
        <v>1947</v>
      </c>
      <c r="F443" s="2" t="str">
        <f>"1442401826"</f>
        <v>1442401826</v>
      </c>
      <c r="G443" s="2" t="str">
        <f>"9781442401822"</f>
        <v>9781442401822</v>
      </c>
      <c r="H443" s="1" t="s">
        <v>1371</v>
      </c>
      <c r="I443" s="1" t="s">
        <v>36</v>
      </c>
      <c r="J443" s="1">
        <v>24.0</v>
      </c>
      <c r="K443" s="1">
        <v>2010.0</v>
      </c>
      <c r="L443" s="1">
        <v>2010.0</v>
      </c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 t="s">
        <v>370</v>
      </c>
      <c r="Y443" s="1" t="s">
        <v>1948</v>
      </c>
    </row>
    <row r="444">
      <c r="A444" s="1">
        <v>1.8848087E7</v>
      </c>
      <c r="B444" s="1" t="s">
        <v>1949</v>
      </c>
      <c r="C444" s="1" t="s">
        <v>1950</v>
      </c>
      <c r="D444" s="1" t="s">
        <v>1951</v>
      </c>
      <c r="E444" s="1" t="s">
        <v>1952</v>
      </c>
      <c r="F444" s="2" t="str">
        <f>"0385369999"</f>
        <v>0385369999</v>
      </c>
      <c r="G444" s="2" t="str">
        <f>"9780385369992"</f>
        <v>9780385369992</v>
      </c>
      <c r="H444" s="1" t="s">
        <v>156</v>
      </c>
      <c r="I444" s="1" t="s">
        <v>31</v>
      </c>
      <c r="J444" s="1">
        <v>24.0</v>
      </c>
      <c r="K444" s="1">
        <v>2014.0</v>
      </c>
      <c r="L444" s="1">
        <v>2014.0</v>
      </c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 t="s">
        <v>863</v>
      </c>
      <c r="Y444" s="1" t="s">
        <v>1953</v>
      </c>
    </row>
    <row r="445">
      <c r="A445" s="1">
        <v>7699554.0</v>
      </c>
      <c r="B445" s="1" t="s">
        <v>1954</v>
      </c>
      <c r="C445" s="1" t="s">
        <v>1955</v>
      </c>
      <c r="D445" s="1" t="s">
        <v>1956</v>
      </c>
      <c r="E445" s="1" t="s">
        <v>1957</v>
      </c>
      <c r="F445" s="2" t="str">
        <f>"1869439260"</f>
        <v>1869439260</v>
      </c>
      <c r="G445" s="2" t="str">
        <f>"9781869439262"</f>
        <v>9781869439262</v>
      </c>
      <c r="H445" s="1" t="s">
        <v>1958</v>
      </c>
      <c r="I445" s="1" t="s">
        <v>36</v>
      </c>
      <c r="J445" s="1">
        <v>24.0</v>
      </c>
      <c r="K445" s="1">
        <v>2009.0</v>
      </c>
      <c r="L445" s="1">
        <v>2009.0</v>
      </c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 t="s">
        <v>363</v>
      </c>
      <c r="Y445" s="1" t="s">
        <v>1959</v>
      </c>
    </row>
    <row r="446">
      <c r="A446" s="1">
        <v>5.2047849E7</v>
      </c>
      <c r="B446" s="1" t="s">
        <v>1960</v>
      </c>
      <c r="C446" s="1" t="s">
        <v>1955</v>
      </c>
      <c r="D446" s="1" t="s">
        <v>1956</v>
      </c>
      <c r="E446" s="1" t="s">
        <v>1957</v>
      </c>
      <c r="F446" s="2" t="str">
        <f>"1338692275"</f>
        <v>1338692275</v>
      </c>
      <c r="G446" s="2" t="str">
        <f>"9781338692273"</f>
        <v>9781338692273</v>
      </c>
      <c r="H446" s="1" t="s">
        <v>817</v>
      </c>
      <c r="I446" s="1" t="s">
        <v>36</v>
      </c>
      <c r="J446" s="1">
        <v>24.0</v>
      </c>
      <c r="K446" s="1">
        <v>2020.0</v>
      </c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 t="s">
        <v>323</v>
      </c>
      <c r="Y446" s="1" t="s">
        <v>1961</v>
      </c>
    </row>
    <row r="447">
      <c r="A447" s="1">
        <v>2203949.0</v>
      </c>
      <c r="B447" s="1" t="s">
        <v>1962</v>
      </c>
      <c r="C447" s="1" t="s">
        <v>644</v>
      </c>
      <c r="D447" s="1" t="s">
        <v>645</v>
      </c>
      <c r="F447" s="2" t="str">
        <f>"0246128054"</f>
        <v>0246128054</v>
      </c>
      <c r="G447" s="2" t="str">
        <f>"9780246128058"</f>
        <v>9780246128058</v>
      </c>
      <c r="H447" s="1" t="s">
        <v>698</v>
      </c>
      <c r="I447" s="1" t="s">
        <v>31</v>
      </c>
      <c r="J447" s="1">
        <v>24.0</v>
      </c>
      <c r="K447" s="1">
        <v>1985.0</v>
      </c>
      <c r="L447" s="1">
        <v>1985.0</v>
      </c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 t="s">
        <v>116</v>
      </c>
      <c r="Y447" s="1" t="s">
        <v>1963</v>
      </c>
    </row>
    <row r="448">
      <c r="A448" s="1">
        <v>1.1309419E7</v>
      </c>
      <c r="B448" s="1" t="s">
        <v>1964</v>
      </c>
      <c r="C448" s="1" t="s">
        <v>644</v>
      </c>
      <c r="D448" s="1" t="s">
        <v>645</v>
      </c>
      <c r="E448" s="1" t="s">
        <v>646</v>
      </c>
      <c r="F448" s="2" t="str">
        <f>"052887134X"</f>
        <v>052887134X</v>
      </c>
      <c r="G448" s="2" t="str">
        <f>"9780528871344"</f>
        <v>9780528871344</v>
      </c>
      <c r="H448" s="1" t="s">
        <v>647</v>
      </c>
      <c r="I448" s="1" t="s">
        <v>36</v>
      </c>
      <c r="J448" s="1">
        <v>24.0</v>
      </c>
      <c r="K448" s="1">
        <v>1985.0</v>
      </c>
      <c r="L448" s="1">
        <v>1985.0</v>
      </c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 t="s">
        <v>116</v>
      </c>
      <c r="Y448" s="1" t="s">
        <v>1965</v>
      </c>
    </row>
    <row r="449">
      <c r="A449" s="1">
        <v>2203957.0</v>
      </c>
      <c r="B449" s="1" t="s">
        <v>1966</v>
      </c>
      <c r="C449" s="1" t="s">
        <v>644</v>
      </c>
      <c r="D449" s="1" t="s">
        <v>645</v>
      </c>
      <c r="F449" s="2" t="str">
        <f>"0528871331"</f>
        <v>0528871331</v>
      </c>
      <c r="G449" s="2" t="str">
        <f>"9780528871337"</f>
        <v>9780528871337</v>
      </c>
      <c r="H449" s="1" t="s">
        <v>647</v>
      </c>
      <c r="I449" s="1" t="s">
        <v>36</v>
      </c>
      <c r="J449" s="1">
        <v>24.0</v>
      </c>
      <c r="K449" s="1">
        <v>1985.0</v>
      </c>
      <c r="L449" s="1">
        <v>1985.0</v>
      </c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 t="s">
        <v>74</v>
      </c>
      <c r="Y449" s="1" t="s">
        <v>1967</v>
      </c>
    </row>
    <row r="450">
      <c r="A450" s="1">
        <v>1.035284E7</v>
      </c>
      <c r="B450" s="1" t="s">
        <v>1968</v>
      </c>
      <c r="C450" s="1" t="s">
        <v>644</v>
      </c>
      <c r="D450" s="1" t="s">
        <v>645</v>
      </c>
      <c r="E450" s="1" t="s">
        <v>646</v>
      </c>
      <c r="F450" s="2" t="str">
        <f t="shared" ref="F450:G450" si="83">""</f>
        <v/>
      </c>
      <c r="G450" s="2" t="str">
        <f t="shared" si="83"/>
        <v/>
      </c>
      <c r="H450" s="1" t="s">
        <v>1969</v>
      </c>
      <c r="I450" s="1" t="s">
        <v>36</v>
      </c>
      <c r="J450" s="1">
        <v>24.0</v>
      </c>
      <c r="K450" s="1">
        <v>1985.0</v>
      </c>
      <c r="L450" s="1">
        <v>1985.0</v>
      </c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 t="s">
        <v>629</v>
      </c>
      <c r="Y450" s="1" t="s">
        <v>1970</v>
      </c>
    </row>
    <row r="451">
      <c r="A451" s="1">
        <v>7735476.0</v>
      </c>
      <c r="B451" s="1" t="s">
        <v>1971</v>
      </c>
      <c r="C451" s="1" t="s">
        <v>644</v>
      </c>
      <c r="D451" s="1" t="s">
        <v>645</v>
      </c>
      <c r="E451" s="1" t="s">
        <v>646</v>
      </c>
      <c r="F451" s="2" t="str">
        <f>"0583308511"</f>
        <v>0583308511</v>
      </c>
      <c r="G451" s="2" t="str">
        <f>"9780583308519"</f>
        <v>9780583308519</v>
      </c>
      <c r="H451" s="1" t="s">
        <v>1972</v>
      </c>
      <c r="I451" s="1" t="s">
        <v>36</v>
      </c>
      <c r="J451" s="1">
        <v>24.0</v>
      </c>
      <c r="K451" s="1">
        <v>1985.0</v>
      </c>
      <c r="L451" s="1">
        <v>1985.0</v>
      </c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 t="s">
        <v>629</v>
      </c>
      <c r="Y451" s="1" t="s">
        <v>1973</v>
      </c>
    </row>
    <row r="452">
      <c r="A452" s="1">
        <v>6816750.0</v>
      </c>
      <c r="B452" s="1" t="s">
        <v>1974</v>
      </c>
      <c r="C452" s="1" t="s">
        <v>1975</v>
      </c>
      <c r="D452" s="1" t="s">
        <v>1976</v>
      </c>
      <c r="E452" s="1" t="s">
        <v>1977</v>
      </c>
      <c r="F452" s="2" t="str">
        <f>"1416971874"</f>
        <v>1416971874</v>
      </c>
      <c r="G452" s="2" t="str">
        <f>"9781416971870"</f>
        <v>9781416971870</v>
      </c>
      <c r="H452" s="1" t="s">
        <v>1371</v>
      </c>
      <c r="I452" s="1" t="s">
        <v>36</v>
      </c>
      <c r="J452" s="1">
        <v>24.0</v>
      </c>
      <c r="K452" s="1">
        <v>2009.0</v>
      </c>
      <c r="L452" s="1">
        <v>2009.0</v>
      </c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 t="s">
        <v>370</v>
      </c>
      <c r="Y452" s="1" t="s">
        <v>1978</v>
      </c>
    </row>
    <row r="453">
      <c r="A453" s="1">
        <v>1.5809643E7</v>
      </c>
      <c r="B453" s="1" t="s">
        <v>1979</v>
      </c>
      <c r="C453" s="1" t="s">
        <v>1980</v>
      </c>
      <c r="D453" s="1" t="s">
        <v>1981</v>
      </c>
      <c r="F453" s="2" t="str">
        <f>"0545491932"</f>
        <v>0545491932</v>
      </c>
      <c r="G453" s="2" t="str">
        <f>"9780545491938"</f>
        <v>9780545491938</v>
      </c>
      <c r="H453" s="1" t="s">
        <v>504</v>
      </c>
      <c r="I453" s="1" t="s">
        <v>36</v>
      </c>
      <c r="J453" s="1">
        <v>24.0</v>
      </c>
      <c r="K453" s="1">
        <v>2013.0</v>
      </c>
      <c r="L453" s="1">
        <v>2015.0</v>
      </c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 t="s">
        <v>61</v>
      </c>
      <c r="Y453" s="1" t="s">
        <v>1982</v>
      </c>
    </row>
    <row r="454">
      <c r="A454" s="1">
        <v>6193848.0</v>
      </c>
      <c r="B454" s="1" t="s">
        <v>1983</v>
      </c>
      <c r="C454" s="1" t="s">
        <v>1984</v>
      </c>
      <c r="D454" s="1" t="s">
        <v>1985</v>
      </c>
      <c r="E454" s="1" t="s">
        <v>1986</v>
      </c>
      <c r="F454" s="2" t="str">
        <f>"0756630142"</f>
        <v>0756630142</v>
      </c>
      <c r="G454" s="2" t="str">
        <f>"9780756630140"</f>
        <v>9780756630140</v>
      </c>
      <c r="H454" s="1" t="s">
        <v>1089</v>
      </c>
      <c r="I454" s="1" t="s">
        <v>36</v>
      </c>
      <c r="J454" s="1">
        <v>24.0</v>
      </c>
      <c r="K454" s="1">
        <v>2007.0</v>
      </c>
      <c r="L454" s="1">
        <v>2007.0</v>
      </c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 t="s">
        <v>1494</v>
      </c>
      <c r="Y454" s="1" t="s">
        <v>1987</v>
      </c>
    </row>
    <row r="455">
      <c r="A455" s="1">
        <v>1103508.0</v>
      </c>
      <c r="B455" s="1" t="s">
        <v>1988</v>
      </c>
      <c r="C455" s="1" t="s">
        <v>1989</v>
      </c>
      <c r="D455" s="1" t="s">
        <v>1990</v>
      </c>
      <c r="E455" s="1" t="s">
        <v>1991</v>
      </c>
      <c r="F455" s="2" t="str">
        <f>"0439318165"</f>
        <v>0439318165</v>
      </c>
      <c r="G455" s="2" t="str">
        <f>"9780439318167"</f>
        <v>9780439318167</v>
      </c>
      <c r="H455" s="1" t="s">
        <v>1992</v>
      </c>
      <c r="I455" s="1" t="s">
        <v>36</v>
      </c>
      <c r="J455" s="1">
        <v>24.0</v>
      </c>
      <c r="K455" s="1">
        <v>2001.0</v>
      </c>
      <c r="L455" s="1">
        <v>2001.0</v>
      </c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 t="s">
        <v>674</v>
      </c>
      <c r="Y455" s="1" t="s">
        <v>1993</v>
      </c>
    </row>
    <row r="456">
      <c r="A456" s="1">
        <v>967253.0</v>
      </c>
      <c r="B456" s="1" t="s">
        <v>1994</v>
      </c>
      <c r="C456" s="1" t="s">
        <v>1995</v>
      </c>
      <c r="D456" s="1" t="s">
        <v>1996</v>
      </c>
      <c r="F456" s="2" t="str">
        <f>"0688099300"</f>
        <v>0688099300</v>
      </c>
      <c r="G456" s="2" t="str">
        <f>"9780688099305"</f>
        <v>9780688099305</v>
      </c>
      <c r="H456" s="1" t="s">
        <v>1997</v>
      </c>
      <c r="I456" s="1" t="s">
        <v>36</v>
      </c>
      <c r="J456" s="1">
        <v>24.0</v>
      </c>
      <c r="K456" s="1">
        <v>1986.0</v>
      </c>
      <c r="L456" s="1">
        <v>1986.0</v>
      </c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 t="s">
        <v>579</v>
      </c>
      <c r="Y456" s="1" t="s">
        <v>1998</v>
      </c>
    </row>
    <row r="457">
      <c r="A457" s="1">
        <v>913975.0</v>
      </c>
      <c r="B457" s="1" t="s">
        <v>1999</v>
      </c>
      <c r="C457" s="1" t="s">
        <v>2000</v>
      </c>
      <c r="D457" s="1" t="s">
        <v>2001</v>
      </c>
      <c r="E457" s="1" t="s">
        <v>2002</v>
      </c>
      <c r="F457" s="2" t="str">
        <f>"0688168043"</f>
        <v>0688168043</v>
      </c>
      <c r="G457" s="2" t="str">
        <f>"9780688168049"</f>
        <v>9780688168049</v>
      </c>
      <c r="H457" s="1" t="s">
        <v>2003</v>
      </c>
      <c r="I457" s="1" t="s">
        <v>31</v>
      </c>
      <c r="J457" s="1">
        <v>24.0</v>
      </c>
      <c r="K457" s="1">
        <v>1999.0</v>
      </c>
      <c r="L457" s="1">
        <v>1999.0</v>
      </c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 t="s">
        <v>863</v>
      </c>
      <c r="Y457" s="1" t="s">
        <v>2004</v>
      </c>
    </row>
    <row r="458">
      <c r="A458" s="1">
        <v>2.825087E7</v>
      </c>
      <c r="B458" s="1" t="s">
        <v>2005</v>
      </c>
      <c r="C458" s="1" t="s">
        <v>2006</v>
      </c>
      <c r="D458" s="1" t="s">
        <v>2007</v>
      </c>
      <c r="E458" s="1" t="s">
        <v>2008</v>
      </c>
      <c r="F458" s="2" t="str">
        <f>"0399552057"</f>
        <v>0399552057</v>
      </c>
      <c r="G458" s="2" t="str">
        <f>"9780399552052"</f>
        <v>9780399552052</v>
      </c>
      <c r="H458" s="1" t="s">
        <v>2009</v>
      </c>
      <c r="I458" s="1" t="s">
        <v>31</v>
      </c>
      <c r="J458" s="1">
        <v>24.0</v>
      </c>
      <c r="K458" s="1">
        <v>2016.0</v>
      </c>
      <c r="L458" s="1">
        <v>1952.0</v>
      </c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 t="s">
        <v>92</v>
      </c>
      <c r="Y458" s="1" t="s">
        <v>2010</v>
      </c>
    </row>
    <row r="459">
      <c r="A459" s="1">
        <v>1074222.0</v>
      </c>
      <c r="B459" s="1" t="s">
        <v>2011</v>
      </c>
      <c r="C459" s="1" t="s">
        <v>2012</v>
      </c>
      <c r="D459" s="1" t="s">
        <v>2013</v>
      </c>
      <c r="F459" s="2" t="str">
        <f>"0448447835"</f>
        <v>0448447835</v>
      </c>
      <c r="G459" s="2" t="str">
        <f>"9780448447834"</f>
        <v>9780448447834</v>
      </c>
      <c r="H459" s="1" t="s">
        <v>2014</v>
      </c>
      <c r="I459" s="1" t="s">
        <v>36</v>
      </c>
      <c r="J459" s="1">
        <v>24.0</v>
      </c>
      <c r="K459" s="1">
        <v>2008.0</v>
      </c>
      <c r="L459" s="1">
        <v>2008.0</v>
      </c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 t="s">
        <v>863</v>
      </c>
      <c r="Y459" s="1" t="s">
        <v>2015</v>
      </c>
    </row>
    <row r="460">
      <c r="A460" s="1">
        <v>1.3639372E7</v>
      </c>
      <c r="B460" s="1" t="s">
        <v>2016</v>
      </c>
      <c r="C460" s="1" t="s">
        <v>2017</v>
      </c>
      <c r="D460" s="1" t="s">
        <v>2018</v>
      </c>
      <c r="E460" s="1" t="s">
        <v>2019</v>
      </c>
      <c r="F460" s="2" t="str">
        <f>"0307595803"</f>
        <v>0307595803</v>
      </c>
      <c r="G460" s="2" t="str">
        <f>""</f>
        <v/>
      </c>
      <c r="H460" s="1" t="s">
        <v>2009</v>
      </c>
      <c r="I460" s="1" t="s">
        <v>36</v>
      </c>
      <c r="J460" s="1">
        <v>24.0</v>
      </c>
      <c r="K460" s="1">
        <v>2001.0</v>
      </c>
      <c r="L460" s="1">
        <v>2001.0</v>
      </c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 t="s">
        <v>510</v>
      </c>
      <c r="Y460" s="1" t="s">
        <v>2020</v>
      </c>
    </row>
    <row r="461">
      <c r="A461" s="1">
        <v>3.4726679E7</v>
      </c>
      <c r="B461" s="1" t="s">
        <v>2021</v>
      </c>
      <c r="C461" s="1" t="s">
        <v>2022</v>
      </c>
      <c r="D461" s="1" t="s">
        <v>2023</v>
      </c>
      <c r="E461" s="1" t="s">
        <v>2024</v>
      </c>
      <c r="F461" s="2" t="str">
        <f t="shared" ref="F461:G461" si="84">""</f>
        <v/>
      </c>
      <c r="G461" s="2" t="str">
        <f t="shared" si="84"/>
        <v/>
      </c>
      <c r="H461" s="1" t="s">
        <v>2022</v>
      </c>
      <c r="I461" s="1" t="s">
        <v>238</v>
      </c>
      <c r="J461" s="1">
        <v>24.0</v>
      </c>
      <c r="K461" s="1">
        <v>2017.0</v>
      </c>
      <c r="L461" s="1">
        <v>2017.0</v>
      </c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 t="s">
        <v>1219</v>
      </c>
      <c r="Y461" s="1" t="s">
        <v>2025</v>
      </c>
    </row>
    <row r="462">
      <c r="A462" s="1">
        <v>636026.0</v>
      </c>
      <c r="B462" s="1" t="s">
        <v>2026</v>
      </c>
      <c r="C462" s="1" t="s">
        <v>2027</v>
      </c>
      <c r="D462" s="1" t="s">
        <v>2028</v>
      </c>
      <c r="E462" s="1" t="s">
        <v>2029</v>
      </c>
      <c r="F462" s="2" t="str">
        <f>"1402747829"</f>
        <v>1402747829</v>
      </c>
      <c r="G462" s="2" t="str">
        <f>"9781402747823"</f>
        <v>9781402747823</v>
      </c>
      <c r="H462" s="1" t="s">
        <v>1271</v>
      </c>
      <c r="I462" s="1" t="s">
        <v>31</v>
      </c>
      <c r="J462" s="1">
        <v>24.0</v>
      </c>
      <c r="K462" s="1">
        <v>2007.0</v>
      </c>
      <c r="L462" s="1">
        <v>2007.0</v>
      </c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 t="s">
        <v>68</v>
      </c>
      <c r="Y462" s="1" t="s">
        <v>2030</v>
      </c>
    </row>
    <row r="463">
      <c r="A463" s="1">
        <v>8798498.0</v>
      </c>
      <c r="B463" s="1" t="s">
        <v>2031</v>
      </c>
      <c r="C463" s="1" t="s">
        <v>2032</v>
      </c>
      <c r="D463" s="1" t="s">
        <v>2033</v>
      </c>
      <c r="E463" s="1" t="s">
        <v>2034</v>
      </c>
      <c r="F463" s="2" t="str">
        <f>"0230706509"</f>
        <v>0230706509</v>
      </c>
      <c r="G463" s="2" t="str">
        <f>"9780230706507"</f>
        <v>9780230706507</v>
      </c>
      <c r="H463" s="1" t="s">
        <v>2035</v>
      </c>
      <c r="I463" s="1" t="s">
        <v>36</v>
      </c>
      <c r="J463" s="1">
        <v>25.0</v>
      </c>
      <c r="K463" s="1">
        <v>2010.0</v>
      </c>
      <c r="L463" s="1">
        <v>2009.0</v>
      </c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 t="s">
        <v>1317</v>
      </c>
      <c r="Y463" s="1" t="s">
        <v>2036</v>
      </c>
    </row>
    <row r="464">
      <c r="A464" s="1">
        <v>2.6006259E7</v>
      </c>
      <c r="B464" s="1" t="s">
        <v>2037</v>
      </c>
      <c r="C464" s="1" t="s">
        <v>2038</v>
      </c>
      <c r="D464" s="1" t="s">
        <v>2039</v>
      </c>
      <c r="E464" s="1" t="s">
        <v>2040</v>
      </c>
      <c r="F464" s="2" t="str">
        <f t="shared" ref="F464:G464" si="85">""</f>
        <v/>
      </c>
      <c r="G464" s="2" t="str">
        <f t="shared" si="85"/>
        <v/>
      </c>
      <c r="H464" s="1" t="s">
        <v>2041</v>
      </c>
      <c r="I464" s="1" t="s">
        <v>238</v>
      </c>
      <c r="J464" s="1">
        <v>25.0</v>
      </c>
      <c r="K464" s="1">
        <v>2015.0</v>
      </c>
      <c r="L464" s="1">
        <v>2015.0</v>
      </c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 t="s">
        <v>1084</v>
      </c>
      <c r="Y464" s="1" t="s">
        <v>2042</v>
      </c>
    </row>
    <row r="465">
      <c r="A465" s="1">
        <v>3.529715E7</v>
      </c>
      <c r="B465" s="1" t="s">
        <v>2043</v>
      </c>
      <c r="C465" s="1" t="s">
        <v>2044</v>
      </c>
      <c r="D465" s="1" t="s">
        <v>2045</v>
      </c>
      <c r="E465" s="1" t="s">
        <v>2046</v>
      </c>
      <c r="F465" s="2" t="str">
        <f>"1534412514"</f>
        <v>1534412514</v>
      </c>
      <c r="G465" s="2" t="str">
        <f>"9781534412514"</f>
        <v>9781534412514</v>
      </c>
      <c r="H465" s="1" t="s">
        <v>1371</v>
      </c>
      <c r="I465" s="1" t="s">
        <v>67</v>
      </c>
      <c r="J465" s="1">
        <v>26.0</v>
      </c>
      <c r="K465" s="1">
        <v>2018.0</v>
      </c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 t="s">
        <v>113</v>
      </c>
      <c r="Y465" s="1" t="s">
        <v>2047</v>
      </c>
    </row>
    <row r="466">
      <c r="A466" s="1">
        <v>2.2716062E7</v>
      </c>
      <c r="B466" s="1" t="s">
        <v>2048</v>
      </c>
      <c r="C466" s="1" t="s">
        <v>2049</v>
      </c>
      <c r="D466" s="1" t="s">
        <v>2050</v>
      </c>
      <c r="E466" s="1" t="s">
        <v>2051</v>
      </c>
      <c r="F466" s="2" t="str">
        <f>"1449464904"</f>
        <v>1449464904</v>
      </c>
      <c r="G466" s="2" t="str">
        <f>"9781449464905"</f>
        <v>9781449464905</v>
      </c>
      <c r="H466" s="1" t="s">
        <v>2052</v>
      </c>
      <c r="I466" s="1" t="s">
        <v>67</v>
      </c>
      <c r="J466" s="1">
        <v>26.0</v>
      </c>
      <c r="K466" s="1">
        <v>2015.0</v>
      </c>
      <c r="L466" s="1">
        <v>1997.0</v>
      </c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 t="s">
        <v>1254</v>
      </c>
      <c r="Y466" s="1" t="s">
        <v>2053</v>
      </c>
    </row>
    <row r="467">
      <c r="A467" s="1">
        <v>2016388.0</v>
      </c>
      <c r="B467" s="1" t="s">
        <v>2054</v>
      </c>
      <c r="C467" s="1" t="s">
        <v>1400</v>
      </c>
      <c r="D467" s="1" t="s">
        <v>1401</v>
      </c>
      <c r="E467" s="1" t="s">
        <v>1402</v>
      </c>
      <c r="F467" s="2" t="str">
        <f>"0064442128"</f>
        <v>0064442128</v>
      </c>
      <c r="G467" s="2" t="str">
        <f>"9780064442121"</f>
        <v>9780064442121</v>
      </c>
      <c r="H467" s="1" t="s">
        <v>2055</v>
      </c>
      <c r="I467" s="1" t="s">
        <v>36</v>
      </c>
      <c r="J467" s="1">
        <v>26.0</v>
      </c>
      <c r="K467" s="1">
        <v>1997.0</v>
      </c>
      <c r="L467" s="1">
        <v>1996.0</v>
      </c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 t="s">
        <v>2056</v>
      </c>
      <c r="Y467" s="1" t="s">
        <v>2057</v>
      </c>
    </row>
    <row r="468">
      <c r="A468" s="1">
        <v>3317137.0</v>
      </c>
      <c r="B468" s="1" t="s">
        <v>2058</v>
      </c>
      <c r="C468" s="1" t="s">
        <v>2059</v>
      </c>
      <c r="D468" s="1" t="s">
        <v>2060</v>
      </c>
      <c r="F468" s="2" t="str">
        <f>"0517571048"</f>
        <v>0517571048</v>
      </c>
      <c r="G468" s="2" t="str">
        <f>"9780517571040"</f>
        <v>9780517571040</v>
      </c>
      <c r="H468" s="1" t="s">
        <v>2061</v>
      </c>
      <c r="I468" s="1" t="s">
        <v>31</v>
      </c>
      <c r="J468" s="1">
        <v>26.0</v>
      </c>
      <c r="K468" s="1">
        <v>1989.0</v>
      </c>
      <c r="L468" s="1">
        <v>1988.0</v>
      </c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 t="s">
        <v>68</v>
      </c>
      <c r="Y468" s="1" t="s">
        <v>2062</v>
      </c>
    </row>
    <row r="469">
      <c r="A469" s="1">
        <v>2.0355629E7</v>
      </c>
      <c r="B469" s="1" t="s">
        <v>2063</v>
      </c>
      <c r="C469" s="1" t="s">
        <v>1727</v>
      </c>
      <c r="D469" s="1" t="s">
        <v>1728</v>
      </c>
      <c r="F469" s="2" t="str">
        <f>"1306237904"</f>
        <v>1306237904</v>
      </c>
      <c r="G469" s="2" t="str">
        <f>"9781306237901"</f>
        <v>9781306237901</v>
      </c>
      <c r="H469" s="1" t="s">
        <v>2064</v>
      </c>
      <c r="I469" s="1" t="s">
        <v>1278</v>
      </c>
      <c r="J469" s="1">
        <v>26.0</v>
      </c>
      <c r="K469" s="1">
        <v>2013.0</v>
      </c>
      <c r="L469" s="1">
        <v>2003.0</v>
      </c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 t="s">
        <v>92</v>
      </c>
      <c r="Y469" s="1" t="s">
        <v>2065</v>
      </c>
    </row>
    <row r="470">
      <c r="A470" s="1">
        <v>2988487.0</v>
      </c>
      <c r="B470" s="1" t="s">
        <v>2066</v>
      </c>
      <c r="C470" s="1" t="s">
        <v>2067</v>
      </c>
      <c r="D470" s="1" t="s">
        <v>2068</v>
      </c>
      <c r="E470" s="1" t="s">
        <v>2069</v>
      </c>
      <c r="F470" s="2" t="str">
        <f>"1402210272"</f>
        <v>1402210272</v>
      </c>
      <c r="G470" s="2" t="str">
        <f>"9781402210273"</f>
        <v>9781402210273</v>
      </c>
      <c r="H470" s="1" t="s">
        <v>1465</v>
      </c>
      <c r="I470" s="1" t="s">
        <v>31</v>
      </c>
      <c r="J470" s="1">
        <v>26.0</v>
      </c>
      <c r="K470" s="1">
        <v>2008.0</v>
      </c>
      <c r="L470" s="1">
        <v>1936.0</v>
      </c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 t="s">
        <v>510</v>
      </c>
      <c r="Y470" s="1" t="s">
        <v>2070</v>
      </c>
    </row>
    <row r="471">
      <c r="A471" s="1">
        <v>2.6078637E7</v>
      </c>
      <c r="B471" s="1" t="s">
        <v>2071</v>
      </c>
      <c r="C471" s="1" t="s">
        <v>2072</v>
      </c>
      <c r="D471" s="1" t="s">
        <v>2073</v>
      </c>
      <c r="E471" s="1" t="s">
        <v>2074</v>
      </c>
      <c r="F471" s="2" t="str">
        <f>"0994283903"</f>
        <v>0994283903</v>
      </c>
      <c r="G471" s="2" t="str">
        <f>"9780994283900"</f>
        <v>9780994283900</v>
      </c>
      <c r="H471" s="1" t="s">
        <v>2075</v>
      </c>
      <c r="I471" s="1" t="s">
        <v>31</v>
      </c>
      <c r="J471" s="1">
        <v>26.0</v>
      </c>
      <c r="K471" s="1">
        <v>2015.0</v>
      </c>
      <c r="L471" s="1">
        <v>2015.0</v>
      </c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 t="s">
        <v>113</v>
      </c>
      <c r="Y471" s="1" t="s">
        <v>2076</v>
      </c>
    </row>
    <row r="472">
      <c r="A472" s="1">
        <v>1.8776789E7</v>
      </c>
      <c r="B472" s="1" t="s">
        <v>2077</v>
      </c>
      <c r="C472" s="1" t="s">
        <v>2078</v>
      </c>
      <c r="D472" s="1" t="s">
        <v>2079</v>
      </c>
      <c r="F472" s="2" t="str">
        <f>"1623953995"</f>
        <v>1623953995</v>
      </c>
      <c r="G472" s="2" t="str">
        <f>"9781623953997"</f>
        <v>9781623953997</v>
      </c>
      <c r="H472" s="1" t="s">
        <v>99</v>
      </c>
      <c r="I472" s="1" t="s">
        <v>238</v>
      </c>
      <c r="J472" s="1">
        <v>26.0</v>
      </c>
      <c r="K472" s="1">
        <v>2013.0</v>
      </c>
      <c r="L472" s="1">
        <v>2012.0</v>
      </c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 t="s">
        <v>32</v>
      </c>
      <c r="Y472" s="1" t="s">
        <v>2080</v>
      </c>
    </row>
    <row r="473">
      <c r="A473" s="1">
        <v>3768442.0</v>
      </c>
      <c r="B473" s="1" t="s">
        <v>2081</v>
      </c>
      <c r="C473" s="1" t="s">
        <v>2082</v>
      </c>
      <c r="D473" s="1" t="s">
        <v>2083</v>
      </c>
      <c r="F473" s="2" t="str">
        <f>"0811859215"</f>
        <v>0811859215</v>
      </c>
      <c r="G473" s="2" t="str">
        <f>"9780811859219"</f>
        <v>9780811859219</v>
      </c>
      <c r="H473" s="1" t="s">
        <v>1593</v>
      </c>
      <c r="I473" s="1" t="s">
        <v>892</v>
      </c>
      <c r="J473" s="1">
        <v>26.0</v>
      </c>
      <c r="K473" s="1">
        <v>2007.0</v>
      </c>
      <c r="L473" s="1">
        <v>2007.0</v>
      </c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 t="s">
        <v>897</v>
      </c>
      <c r="Y473" s="1" t="s">
        <v>2084</v>
      </c>
    </row>
    <row r="474">
      <c r="A474" s="1">
        <v>1.600205E7</v>
      </c>
      <c r="B474" s="1" t="s">
        <v>2085</v>
      </c>
      <c r="C474" s="1" t="s">
        <v>860</v>
      </c>
      <c r="D474" s="1" t="s">
        <v>861</v>
      </c>
      <c r="F474" s="2" t="str">
        <f>"0312516460"</f>
        <v>0312516460</v>
      </c>
      <c r="G474" s="2" t="str">
        <f>"9780312516468"</f>
        <v>9780312516468</v>
      </c>
      <c r="H474" s="1" t="s">
        <v>862</v>
      </c>
      <c r="I474" s="1" t="s">
        <v>779</v>
      </c>
      <c r="J474" s="1">
        <v>26.0</v>
      </c>
      <c r="K474" s="1">
        <v>2013.0</v>
      </c>
      <c r="L474" s="1">
        <v>2013.0</v>
      </c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 t="s">
        <v>897</v>
      </c>
      <c r="Y474" s="1" t="s">
        <v>2086</v>
      </c>
    </row>
    <row r="475">
      <c r="A475" s="1">
        <v>3.8245199E7</v>
      </c>
      <c r="B475" s="1" t="s">
        <v>2087</v>
      </c>
      <c r="C475" s="1" t="s">
        <v>1120</v>
      </c>
      <c r="D475" s="1" t="s">
        <v>1121</v>
      </c>
      <c r="F475" s="2" t="str">
        <f>"1524718033"</f>
        <v>1524718033</v>
      </c>
      <c r="G475" s="2" t="str">
        <f>"9781524718039"</f>
        <v>9781524718039</v>
      </c>
      <c r="H475" s="1" t="s">
        <v>156</v>
      </c>
      <c r="I475" s="1" t="s">
        <v>67</v>
      </c>
      <c r="J475" s="1">
        <v>26.0</v>
      </c>
      <c r="K475" s="1">
        <v>2018.0</v>
      </c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 t="s">
        <v>863</v>
      </c>
      <c r="Y475" s="1" t="s">
        <v>2088</v>
      </c>
    </row>
    <row r="476">
      <c r="A476" s="1">
        <v>4.6221949E7</v>
      </c>
      <c r="B476" s="1" t="s">
        <v>2089</v>
      </c>
      <c r="C476" s="1" t="s">
        <v>2090</v>
      </c>
      <c r="D476" s="1" t="s">
        <v>2091</v>
      </c>
      <c r="F476" s="2" t="str">
        <f>"1534454896"</f>
        <v>1534454896</v>
      </c>
      <c r="G476" s="2" t="str">
        <f>"9781534454897"</f>
        <v>9781534454897</v>
      </c>
      <c r="H476" s="1" t="s">
        <v>1234</v>
      </c>
      <c r="I476" s="1" t="s">
        <v>67</v>
      </c>
      <c r="J476" s="1">
        <v>26.0</v>
      </c>
      <c r="K476" s="1">
        <v>2019.0</v>
      </c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 t="s">
        <v>113</v>
      </c>
      <c r="Y476" s="1" t="s">
        <v>2092</v>
      </c>
    </row>
    <row r="477">
      <c r="A477" s="1">
        <v>5.146756E7</v>
      </c>
      <c r="B477" s="1" t="s">
        <v>2093</v>
      </c>
      <c r="C477" s="1" t="s">
        <v>209</v>
      </c>
      <c r="D477" s="1" t="s">
        <v>210</v>
      </c>
      <c r="E477" s="1" t="s">
        <v>1697</v>
      </c>
      <c r="F477" s="2" t="str">
        <f>"1338656236"</f>
        <v>1338656236</v>
      </c>
      <c r="G477" s="2" t="str">
        <f>"9781338656237"</f>
        <v>9781338656237</v>
      </c>
      <c r="H477" s="1" t="s">
        <v>269</v>
      </c>
      <c r="I477" s="1" t="s">
        <v>36</v>
      </c>
      <c r="J477" s="1">
        <v>27.0</v>
      </c>
      <c r="K477" s="1">
        <v>2020.0</v>
      </c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 t="s">
        <v>212</v>
      </c>
      <c r="Y477" s="1" t="s">
        <v>2094</v>
      </c>
    </row>
    <row r="478">
      <c r="A478" s="1">
        <v>2.5233413E7</v>
      </c>
      <c r="B478" s="1" t="s">
        <v>2095</v>
      </c>
      <c r="C478" s="1" t="s">
        <v>2096</v>
      </c>
      <c r="D478" s="1" t="s">
        <v>2097</v>
      </c>
      <c r="E478" s="1" t="s">
        <v>2098</v>
      </c>
      <c r="F478" s="2" t="str">
        <f>"1613986920"</f>
        <v>1613986920</v>
      </c>
      <c r="G478" s="2" t="str">
        <f>"9781613986929"</f>
        <v>9781613986929</v>
      </c>
      <c r="H478" s="1" t="s">
        <v>2099</v>
      </c>
      <c r="I478" s="1" t="s">
        <v>238</v>
      </c>
      <c r="J478" s="1">
        <v>27.0</v>
      </c>
      <c r="K478" s="1">
        <v>2016.0</v>
      </c>
      <c r="L478" s="1">
        <v>2014.0</v>
      </c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 t="s">
        <v>2100</v>
      </c>
      <c r="Y478" s="1" t="s">
        <v>2101</v>
      </c>
    </row>
    <row r="479">
      <c r="A479" s="1">
        <v>2.4773679E7</v>
      </c>
      <c r="B479" s="1" t="s">
        <v>2102</v>
      </c>
      <c r="C479" s="1" t="s">
        <v>159</v>
      </c>
      <c r="D479" s="1" t="s">
        <v>160</v>
      </c>
      <c r="F479" s="2" t="str">
        <f>"1743625804"</f>
        <v>1743625804</v>
      </c>
      <c r="G479" s="2" t="str">
        <f>"9781743625804"</f>
        <v>9781743625804</v>
      </c>
      <c r="H479" s="1" t="s">
        <v>1355</v>
      </c>
      <c r="I479" s="1" t="s">
        <v>31</v>
      </c>
      <c r="J479" s="1">
        <v>28.0</v>
      </c>
      <c r="K479" s="1">
        <v>2015.0</v>
      </c>
      <c r="L479" s="1">
        <v>2015.0</v>
      </c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 t="s">
        <v>1084</v>
      </c>
      <c r="Y479" s="1" t="s">
        <v>2103</v>
      </c>
    </row>
    <row r="480">
      <c r="A480" s="1">
        <v>2.2070309E7</v>
      </c>
      <c r="B480" s="1" t="s">
        <v>2104</v>
      </c>
      <c r="C480" s="1" t="s">
        <v>2105</v>
      </c>
      <c r="D480" s="1" t="s">
        <v>2106</v>
      </c>
      <c r="F480" s="2" t="str">
        <f>"1445407965"</f>
        <v>1445407965</v>
      </c>
      <c r="G480" s="2" t="str">
        <f>"9781445407968"</f>
        <v>9781445407968</v>
      </c>
      <c r="H480" s="1" t="s">
        <v>2107</v>
      </c>
      <c r="I480" s="1" t="s">
        <v>31</v>
      </c>
      <c r="J480" s="1">
        <v>28.0</v>
      </c>
      <c r="K480" s="1">
        <v>2011.0</v>
      </c>
      <c r="L480" s="1">
        <v>2011.0</v>
      </c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 t="s">
        <v>323</v>
      </c>
      <c r="Y480" s="1" t="s">
        <v>2108</v>
      </c>
    </row>
    <row r="481">
      <c r="A481" s="1">
        <v>2715066.0</v>
      </c>
      <c r="B481" s="1" t="s">
        <v>2109</v>
      </c>
      <c r="C481" s="1" t="s">
        <v>2110</v>
      </c>
      <c r="D481" s="1" t="s">
        <v>2111</v>
      </c>
      <c r="F481" s="2" t="str">
        <f>"0590430955"</f>
        <v>0590430955</v>
      </c>
      <c r="G481" s="2" t="str">
        <f>"9780590430951"</f>
        <v>9780590430951</v>
      </c>
      <c r="H481" s="1" t="s">
        <v>1992</v>
      </c>
      <c r="I481" s="1" t="s">
        <v>36</v>
      </c>
      <c r="J481" s="1">
        <v>28.0</v>
      </c>
      <c r="K481" s="1">
        <v>1990.0</v>
      </c>
      <c r="L481" s="1">
        <v>1990.0</v>
      </c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 t="s">
        <v>1839</v>
      </c>
      <c r="Y481" s="1" t="s">
        <v>2112</v>
      </c>
    </row>
    <row r="482">
      <c r="A482" s="1">
        <v>205294.0</v>
      </c>
      <c r="B482" s="1" t="s">
        <v>2113</v>
      </c>
      <c r="C482" s="1" t="s">
        <v>209</v>
      </c>
      <c r="D482" s="1" t="s">
        <v>210</v>
      </c>
      <c r="F482" s="2" t="str">
        <f>"0439827914"</f>
        <v>0439827914</v>
      </c>
      <c r="G482" s="2" t="str">
        <f>"9780439827911"</f>
        <v>9780439827911</v>
      </c>
      <c r="H482" s="1" t="s">
        <v>50</v>
      </c>
      <c r="I482" s="1" t="s">
        <v>36</v>
      </c>
      <c r="J482" s="1">
        <v>28.0</v>
      </c>
      <c r="K482" s="1">
        <v>2006.0</v>
      </c>
      <c r="L482" s="1">
        <v>2002.0</v>
      </c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 t="s">
        <v>212</v>
      </c>
      <c r="Y482" s="1" t="s">
        <v>2114</v>
      </c>
    </row>
    <row r="483">
      <c r="A483" s="1">
        <v>4.4280998E7</v>
      </c>
      <c r="B483" s="1" t="s">
        <v>2115</v>
      </c>
      <c r="C483" s="1" t="s">
        <v>2116</v>
      </c>
      <c r="D483" s="1" t="s">
        <v>2117</v>
      </c>
      <c r="E483" s="1" t="s">
        <v>2116</v>
      </c>
      <c r="F483" s="2" t="str">
        <f>"1250230810"</f>
        <v>1250230810</v>
      </c>
      <c r="G483" s="2" t="str">
        <f>"9781250230812"</f>
        <v>9781250230812</v>
      </c>
      <c r="H483" s="1" t="s">
        <v>2118</v>
      </c>
      <c r="I483" s="1" t="s">
        <v>67</v>
      </c>
      <c r="J483" s="1">
        <v>28.0</v>
      </c>
      <c r="K483" s="1">
        <v>2020.0</v>
      </c>
      <c r="L483" s="1">
        <v>2017.0</v>
      </c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 t="s">
        <v>37</v>
      </c>
      <c r="Y483" s="1" t="s">
        <v>2119</v>
      </c>
    </row>
    <row r="484">
      <c r="A484" s="1">
        <v>889786.0</v>
      </c>
      <c r="B484" s="1" t="s">
        <v>2120</v>
      </c>
      <c r="C484" s="1" t="s">
        <v>2121</v>
      </c>
      <c r="D484" s="1" t="s">
        <v>2122</v>
      </c>
      <c r="E484" s="1" t="s">
        <v>2123</v>
      </c>
      <c r="F484" s="2" t="str">
        <f>"156148475X"</f>
        <v>156148475X</v>
      </c>
      <c r="G484" s="2" t="str">
        <f>"9781561484751"</f>
        <v>9781561484751</v>
      </c>
      <c r="H484" s="1" t="s">
        <v>2124</v>
      </c>
      <c r="I484" s="1" t="s">
        <v>31</v>
      </c>
      <c r="J484" s="1">
        <v>28.0</v>
      </c>
      <c r="K484" s="1">
        <v>2005.0</v>
      </c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 t="s">
        <v>412</v>
      </c>
      <c r="Y484" s="1" t="s">
        <v>2125</v>
      </c>
    </row>
    <row r="485">
      <c r="A485" s="1">
        <v>761168.0</v>
      </c>
      <c r="B485" s="1" t="s">
        <v>2126</v>
      </c>
      <c r="C485" s="1" t="s">
        <v>2127</v>
      </c>
      <c r="D485" s="1" t="s">
        <v>2128</v>
      </c>
      <c r="F485" s="2" t="str">
        <f>"0140543635"</f>
        <v>0140543635</v>
      </c>
      <c r="G485" s="2" t="str">
        <f>"9780140543636"</f>
        <v>9780140543636</v>
      </c>
      <c r="H485" s="1" t="s">
        <v>753</v>
      </c>
      <c r="I485" s="1" t="s">
        <v>36</v>
      </c>
      <c r="J485" s="1">
        <v>28.0</v>
      </c>
      <c r="K485" s="1">
        <v>1991.0</v>
      </c>
      <c r="L485" s="1">
        <v>1962.0</v>
      </c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 t="s">
        <v>61</v>
      </c>
      <c r="Y485" s="1" t="s">
        <v>2129</v>
      </c>
    </row>
    <row r="486">
      <c r="A486" s="1">
        <v>1745081.0</v>
      </c>
      <c r="B486" s="1" t="s">
        <v>2130</v>
      </c>
      <c r="C486" s="1" t="s">
        <v>2131</v>
      </c>
      <c r="D486" s="1" t="s">
        <v>2132</v>
      </c>
      <c r="F486" s="2" t="str">
        <f>"0863151604"</f>
        <v>0863151604</v>
      </c>
      <c r="G486" s="2" t="str">
        <f>"9780863151606"</f>
        <v>9780863151606</v>
      </c>
      <c r="H486" s="1" t="s">
        <v>2133</v>
      </c>
      <c r="I486" s="1" t="s">
        <v>31</v>
      </c>
      <c r="J486" s="1">
        <v>28.0</v>
      </c>
      <c r="K486" s="1">
        <v>1992.0</v>
      </c>
      <c r="L486" s="1">
        <v>1990.0</v>
      </c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 t="s">
        <v>1317</v>
      </c>
      <c r="Y486" s="1" t="s">
        <v>2134</v>
      </c>
    </row>
    <row r="487">
      <c r="A487" s="1">
        <v>5.1725207E7</v>
      </c>
      <c r="B487" s="1" t="s">
        <v>2135</v>
      </c>
      <c r="C487" s="1" t="s">
        <v>1250</v>
      </c>
      <c r="D487" s="1" t="s">
        <v>1251</v>
      </c>
      <c r="E487" s="1" t="s">
        <v>2136</v>
      </c>
      <c r="F487" s="2" t="str">
        <f>"194563524X"</f>
        <v>194563524X</v>
      </c>
      <c r="G487" s="2" t="str">
        <f>"9781945635243"</f>
        <v>9781945635243</v>
      </c>
      <c r="H487" s="1" t="s">
        <v>1253</v>
      </c>
      <c r="I487" s="1" t="s">
        <v>779</v>
      </c>
      <c r="J487" s="1">
        <v>28.0</v>
      </c>
      <c r="K487" s="1">
        <v>2020.0</v>
      </c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 t="s">
        <v>1254</v>
      </c>
      <c r="Y487" s="1" t="s">
        <v>2137</v>
      </c>
    </row>
    <row r="488">
      <c r="A488" s="1">
        <v>1.5243205E7</v>
      </c>
      <c r="B488" s="1" t="s">
        <v>2138</v>
      </c>
      <c r="C488" s="1" t="s">
        <v>2139</v>
      </c>
      <c r="D488" s="1" t="s">
        <v>2140</v>
      </c>
      <c r="F488" s="2" t="str">
        <f>"9802571067"</f>
        <v>9802571067</v>
      </c>
      <c r="G488" s="2" t="str">
        <f>"9789802571062"</f>
        <v>9789802571062</v>
      </c>
      <c r="H488" s="1" t="s">
        <v>2141</v>
      </c>
      <c r="I488" s="1" t="s">
        <v>36</v>
      </c>
      <c r="J488" s="1">
        <v>28.0</v>
      </c>
      <c r="K488" s="1">
        <v>2013.0</v>
      </c>
      <c r="L488" s="1">
        <v>1994.0</v>
      </c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 t="s">
        <v>37</v>
      </c>
      <c r="Y488" s="1" t="s">
        <v>2142</v>
      </c>
    </row>
    <row r="489">
      <c r="A489" s="1">
        <v>9599692.0</v>
      </c>
      <c r="B489" s="1" t="s">
        <v>2143</v>
      </c>
      <c r="C489" s="1" t="s">
        <v>2144</v>
      </c>
      <c r="D489" s="1" t="s">
        <v>2145</v>
      </c>
      <c r="F489" s="2" t="str">
        <f>"9802571342"</f>
        <v>9802571342</v>
      </c>
      <c r="G489" s="2" t="str">
        <f>"9789802571345"</f>
        <v>9789802571345</v>
      </c>
      <c r="H489" s="1" t="s">
        <v>2141</v>
      </c>
      <c r="I489" s="1" t="s">
        <v>36</v>
      </c>
      <c r="J489" s="1">
        <v>28.0</v>
      </c>
      <c r="K489" s="1">
        <v>2009.0</v>
      </c>
      <c r="L489" s="1">
        <v>1997.0</v>
      </c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 t="s">
        <v>61</v>
      </c>
      <c r="Y489" s="1" t="s">
        <v>2146</v>
      </c>
    </row>
    <row r="490">
      <c r="A490" s="1">
        <v>6052511.0</v>
      </c>
      <c r="B490" s="1" t="s">
        <v>2147</v>
      </c>
      <c r="C490" s="1" t="s">
        <v>2148</v>
      </c>
      <c r="D490" s="1" t="s">
        <v>2149</v>
      </c>
      <c r="E490" s="1" t="s">
        <v>2150</v>
      </c>
      <c r="F490" s="2" t="str">
        <f>"1423108728"</f>
        <v>1423108728</v>
      </c>
      <c r="G490" s="2" t="str">
        <f>"9781423108726"</f>
        <v>9781423108726</v>
      </c>
      <c r="H490" s="1" t="s">
        <v>851</v>
      </c>
      <c r="I490" s="1" t="s">
        <v>31</v>
      </c>
      <c r="J490" s="1">
        <v>28.0</v>
      </c>
      <c r="K490" s="1">
        <v>2008.0</v>
      </c>
      <c r="L490" s="1">
        <v>2008.0</v>
      </c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 t="s">
        <v>1317</v>
      </c>
      <c r="Y490" s="1" t="s">
        <v>2151</v>
      </c>
    </row>
    <row r="491">
      <c r="A491" s="1">
        <v>8319728.0</v>
      </c>
      <c r="B491" s="1" t="s">
        <v>2152</v>
      </c>
      <c r="C491" s="1" t="s">
        <v>2153</v>
      </c>
      <c r="D491" s="1" t="s">
        <v>2154</v>
      </c>
      <c r="F491" s="2" t="str">
        <f>"076115728X"</f>
        <v>076115728X</v>
      </c>
      <c r="G491" s="2" t="str">
        <f>"9780761157281"</f>
        <v>9780761157281</v>
      </c>
      <c r="H491" s="1" t="s">
        <v>911</v>
      </c>
      <c r="I491" s="1" t="s">
        <v>31</v>
      </c>
      <c r="J491" s="1">
        <v>28.0</v>
      </c>
      <c r="K491" s="1">
        <v>2010.0</v>
      </c>
      <c r="L491" s="1">
        <v>2010.0</v>
      </c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 t="s">
        <v>897</v>
      </c>
      <c r="Y491" s="1" t="s">
        <v>2155</v>
      </c>
    </row>
    <row r="492">
      <c r="A492" s="1">
        <v>146992.0</v>
      </c>
      <c r="B492" s="1" t="s">
        <v>2156</v>
      </c>
      <c r="C492" s="1" t="s">
        <v>1182</v>
      </c>
      <c r="D492" s="1" t="s">
        <v>1183</v>
      </c>
      <c r="E492" s="1" t="s">
        <v>2157</v>
      </c>
      <c r="F492" s="2" t="str">
        <f>"1933032251"</f>
        <v>1933032251</v>
      </c>
      <c r="G492" s="2" t="str">
        <f>"9781933032252"</f>
        <v>9781933032252</v>
      </c>
      <c r="H492" s="1" t="s">
        <v>191</v>
      </c>
      <c r="I492" s="1" t="s">
        <v>31</v>
      </c>
      <c r="J492" s="1">
        <v>28.0</v>
      </c>
      <c r="K492" s="1">
        <v>2007.0</v>
      </c>
      <c r="L492" s="1">
        <v>1974.0</v>
      </c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 t="s">
        <v>2158</v>
      </c>
      <c r="Y492" s="1" t="s">
        <v>2159</v>
      </c>
    </row>
    <row r="493">
      <c r="A493" s="1">
        <v>149522.0</v>
      </c>
      <c r="B493" s="1" t="s">
        <v>2160</v>
      </c>
      <c r="C493" s="1" t="s">
        <v>1182</v>
      </c>
      <c r="D493" s="1" t="s">
        <v>1183</v>
      </c>
      <c r="F493" s="2" t="str">
        <f>"0001712780"</f>
        <v>0001712780</v>
      </c>
      <c r="G493" s="2" t="str">
        <f>"9780001712782"</f>
        <v>9780001712782</v>
      </c>
      <c r="H493" s="1" t="s">
        <v>2161</v>
      </c>
      <c r="I493" s="1" t="s">
        <v>36</v>
      </c>
      <c r="J493" s="1">
        <v>28.0</v>
      </c>
      <c r="K493" s="1">
        <v>2005.0</v>
      </c>
      <c r="L493" s="1">
        <v>1973.0</v>
      </c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 t="s">
        <v>536</v>
      </c>
      <c r="Y493" s="1" t="s">
        <v>2162</v>
      </c>
    </row>
    <row r="494">
      <c r="A494" s="1">
        <v>3.7755941E7</v>
      </c>
      <c r="B494" s="1" t="s">
        <v>2163</v>
      </c>
      <c r="C494" s="1" t="s">
        <v>2164</v>
      </c>
      <c r="D494" s="1" t="s">
        <v>2165</v>
      </c>
      <c r="F494" s="2" t="str">
        <f>"1782351361"</f>
        <v>1782351361</v>
      </c>
      <c r="G494" s="2" t="str">
        <f>"9781782351368"</f>
        <v>9781782351368</v>
      </c>
      <c r="H494" s="1" t="s">
        <v>2166</v>
      </c>
      <c r="I494" s="1" t="s">
        <v>31</v>
      </c>
      <c r="J494" s="1">
        <v>28.0</v>
      </c>
      <c r="K494" s="1">
        <v>2012.0</v>
      </c>
      <c r="L494" s="1">
        <v>2007.0</v>
      </c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 t="s">
        <v>2167</v>
      </c>
      <c r="Y494" s="1" t="s">
        <v>2168</v>
      </c>
    </row>
    <row r="495">
      <c r="A495" s="1">
        <v>2.0702049E7</v>
      </c>
      <c r="B495" s="1" t="s">
        <v>2169</v>
      </c>
      <c r="C495" s="1" t="s">
        <v>2170</v>
      </c>
      <c r="D495" s="1" t="s">
        <v>2171</v>
      </c>
      <c r="E495" s="1" t="s">
        <v>2172</v>
      </c>
      <c r="F495" s="2" t="str">
        <f>"1419713108"</f>
        <v>1419713108</v>
      </c>
      <c r="G495" s="2" t="str">
        <f>"9781419713101"</f>
        <v>9781419713101</v>
      </c>
      <c r="H495" s="1" t="s">
        <v>1207</v>
      </c>
      <c r="I495" s="1" t="s">
        <v>31</v>
      </c>
      <c r="J495" s="1">
        <v>28.0</v>
      </c>
      <c r="K495" s="1">
        <v>2014.0</v>
      </c>
      <c r="L495" s="1">
        <v>2013.0</v>
      </c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 t="s">
        <v>2173</v>
      </c>
      <c r="Y495" s="1" t="s">
        <v>2174</v>
      </c>
    </row>
    <row r="496">
      <c r="A496" s="1">
        <v>5739837.0</v>
      </c>
      <c r="B496" s="1" t="s">
        <v>2175</v>
      </c>
      <c r="C496" s="1" t="s">
        <v>2176</v>
      </c>
      <c r="D496" s="1" t="s">
        <v>2177</v>
      </c>
      <c r="E496" s="1" t="s">
        <v>1619</v>
      </c>
      <c r="F496" s="2" t="str">
        <f>"0064434044"</f>
        <v>0064434044</v>
      </c>
      <c r="G496" s="2" t="str">
        <f>"9780064434041"</f>
        <v>9780064434041</v>
      </c>
      <c r="H496" s="1" t="s">
        <v>263</v>
      </c>
      <c r="I496" s="1" t="s">
        <v>36</v>
      </c>
      <c r="J496" s="1">
        <v>28.0</v>
      </c>
      <c r="K496" s="1">
        <v>1900.0</v>
      </c>
      <c r="L496" s="1">
        <v>1962.0</v>
      </c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 t="s">
        <v>92</v>
      </c>
      <c r="Y496" s="1" t="s">
        <v>2178</v>
      </c>
    </row>
    <row r="497">
      <c r="A497" s="1">
        <v>385250.0</v>
      </c>
      <c r="B497" s="1" t="s">
        <v>2179</v>
      </c>
      <c r="C497" s="1" t="s">
        <v>2180</v>
      </c>
      <c r="D497" s="1" t="s">
        <v>2181</v>
      </c>
      <c r="E497" s="1" t="s">
        <v>2182</v>
      </c>
      <c r="F497" s="2" t="str">
        <f>"0316020362"</f>
        <v>0316020362</v>
      </c>
      <c r="G497" s="2" t="str">
        <f>"9780316020367"</f>
        <v>9780316020367</v>
      </c>
      <c r="H497" s="1" t="s">
        <v>2183</v>
      </c>
      <c r="I497" s="1" t="s">
        <v>31</v>
      </c>
      <c r="J497" s="1">
        <v>29.0</v>
      </c>
      <c r="K497" s="1">
        <v>1986.0</v>
      </c>
      <c r="L497" s="1">
        <v>1986.0</v>
      </c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 t="s">
        <v>897</v>
      </c>
      <c r="Y497" s="1" t="s">
        <v>2184</v>
      </c>
    </row>
    <row r="498">
      <c r="A498" s="1">
        <v>2270100.0</v>
      </c>
      <c r="B498" s="1" t="s">
        <v>2185</v>
      </c>
      <c r="C498" s="1" t="s">
        <v>2186</v>
      </c>
      <c r="D498" s="1" t="s">
        <v>2187</v>
      </c>
      <c r="F498" s="2" t="str">
        <f>"0753405520"</f>
        <v>0753405520</v>
      </c>
      <c r="G498" s="2" t="str">
        <f>"9780753405529"</f>
        <v>9780753405529</v>
      </c>
      <c r="H498" s="1" t="s">
        <v>2188</v>
      </c>
      <c r="I498" s="1" t="s">
        <v>31</v>
      </c>
      <c r="J498" s="1">
        <v>29.0</v>
      </c>
      <c r="K498" s="1">
        <v>2002.0</v>
      </c>
      <c r="L498" s="1">
        <v>2002.0</v>
      </c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 t="s">
        <v>2189</v>
      </c>
      <c r="Y498" s="1" t="s">
        <v>2190</v>
      </c>
    </row>
    <row r="499">
      <c r="A499" s="1">
        <v>608712.0</v>
      </c>
      <c r="B499" s="1" t="s">
        <v>2191</v>
      </c>
      <c r="C499" s="1" t="s">
        <v>2192</v>
      </c>
      <c r="D499" s="1" t="s">
        <v>2193</v>
      </c>
      <c r="F499" s="2" t="str">
        <f>"0439513626"</f>
        <v>0439513626</v>
      </c>
      <c r="G499" s="2" t="str">
        <f>"9780439513623"</f>
        <v>9780439513623</v>
      </c>
      <c r="H499" s="1" t="s">
        <v>50</v>
      </c>
      <c r="I499" s="1" t="s">
        <v>36</v>
      </c>
      <c r="J499" s="1">
        <v>29.0</v>
      </c>
      <c r="K499" s="1">
        <v>2003.0</v>
      </c>
      <c r="L499" s="1">
        <v>2003.0</v>
      </c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 t="s">
        <v>1195</v>
      </c>
      <c r="Y499" s="1" t="s">
        <v>2194</v>
      </c>
    </row>
    <row r="500">
      <c r="A500" s="1">
        <v>7072211.0</v>
      </c>
      <c r="B500" s="1" t="s">
        <v>2195</v>
      </c>
      <c r="C500" s="1" t="s">
        <v>2196</v>
      </c>
      <c r="D500" s="1" t="s">
        <v>2197</v>
      </c>
      <c r="E500" s="1" t="s">
        <v>2198</v>
      </c>
      <c r="F500" s="2" t="str">
        <f>"0764169696"</f>
        <v>0764169696</v>
      </c>
      <c r="G500" s="2" t="str">
        <f>"9780764169694"</f>
        <v>9780764169694</v>
      </c>
      <c r="H500" s="1" t="s">
        <v>2199</v>
      </c>
      <c r="I500" s="1" t="s">
        <v>31</v>
      </c>
      <c r="J500" s="1">
        <v>29.0</v>
      </c>
      <c r="K500" s="1">
        <v>2009.0</v>
      </c>
      <c r="L500" s="1">
        <v>2009.0</v>
      </c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 t="s">
        <v>2200</v>
      </c>
      <c r="Y500" s="1" t="s">
        <v>2201</v>
      </c>
    </row>
    <row r="501">
      <c r="A501" s="1">
        <v>2.7140439E7</v>
      </c>
      <c r="B501" s="1" t="s">
        <v>2202</v>
      </c>
      <c r="C501" s="1" t="s">
        <v>2203</v>
      </c>
      <c r="D501" s="1" t="s">
        <v>2204</v>
      </c>
      <c r="F501" s="2" t="str">
        <f>"0723267081"</f>
        <v>0723267081</v>
      </c>
      <c r="G501" s="2" t="str">
        <f>"9780723267089"</f>
        <v>9780723267089</v>
      </c>
      <c r="H501" s="1" t="s">
        <v>2205</v>
      </c>
      <c r="I501" s="1" t="s">
        <v>36</v>
      </c>
      <c r="J501" s="1">
        <v>29.0</v>
      </c>
      <c r="K501" s="1">
        <v>2013.0</v>
      </c>
      <c r="L501" s="1">
        <v>1901.0</v>
      </c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 t="s">
        <v>212</v>
      </c>
      <c r="Y501" s="1" t="s">
        <v>2206</v>
      </c>
    </row>
    <row r="502">
      <c r="A502" s="1">
        <v>821292.0</v>
      </c>
      <c r="B502" s="1" t="s">
        <v>2207</v>
      </c>
      <c r="C502" s="1" t="s">
        <v>2208</v>
      </c>
      <c r="D502" s="1" t="s">
        <v>2209</v>
      </c>
      <c r="E502" s="1" t="s">
        <v>2210</v>
      </c>
      <c r="F502" s="2" t="str">
        <f>"0374351147"</f>
        <v>0374351147</v>
      </c>
      <c r="G502" s="2" t="str">
        <f>"9780374351144"</f>
        <v>9780374351144</v>
      </c>
      <c r="H502" s="1" t="s">
        <v>2211</v>
      </c>
      <c r="I502" s="1" t="s">
        <v>31</v>
      </c>
      <c r="J502" s="1">
        <v>29.0</v>
      </c>
      <c r="K502" s="1">
        <v>2003.0</v>
      </c>
      <c r="L502" s="1">
        <v>2003.0</v>
      </c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 t="s">
        <v>2212</v>
      </c>
      <c r="Y502" s="1" t="s">
        <v>2213</v>
      </c>
    </row>
    <row r="503">
      <c r="A503" s="1">
        <v>4723121.0</v>
      </c>
      <c r="B503" s="1" t="s">
        <v>2214</v>
      </c>
      <c r="C503" s="1" t="s">
        <v>2215</v>
      </c>
      <c r="D503" s="1" t="s">
        <v>2216</v>
      </c>
      <c r="F503" s="2" t="str">
        <f>"1561564702"</f>
        <v>1561564702</v>
      </c>
      <c r="G503" s="2" t="str">
        <f>"9781561564705"</f>
        <v>9781561564705</v>
      </c>
      <c r="H503" s="1" t="s">
        <v>2217</v>
      </c>
      <c r="I503" s="1" t="s">
        <v>36</v>
      </c>
      <c r="J503" s="1">
        <v>29.0</v>
      </c>
      <c r="K503" s="1">
        <v>1997.0</v>
      </c>
      <c r="L503" s="1">
        <v>1997.0</v>
      </c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 t="s">
        <v>1491</v>
      </c>
      <c r="Y503" s="1" t="s">
        <v>2218</v>
      </c>
    </row>
    <row r="504">
      <c r="A504" s="1">
        <v>2.4618416E7</v>
      </c>
      <c r="B504" s="1" t="s">
        <v>2219</v>
      </c>
      <c r="C504" s="1" t="s">
        <v>2220</v>
      </c>
      <c r="D504" s="1" t="s">
        <v>2221</v>
      </c>
      <c r="E504" s="1" t="s">
        <v>2222</v>
      </c>
      <c r="F504" s="2" t="str">
        <f t="shared" ref="F504:G504" si="86">""</f>
        <v/>
      </c>
      <c r="G504" s="2" t="str">
        <f t="shared" si="86"/>
        <v/>
      </c>
      <c r="I504" s="1" t="s">
        <v>31</v>
      </c>
      <c r="J504" s="1">
        <v>29.0</v>
      </c>
      <c r="K504" s="1">
        <v>2013.0</v>
      </c>
      <c r="L504" s="1">
        <v>2013.0</v>
      </c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 t="s">
        <v>1272</v>
      </c>
      <c r="Y504" s="1" t="s">
        <v>2223</v>
      </c>
    </row>
    <row r="505">
      <c r="A505" s="1">
        <v>1.1787515E7</v>
      </c>
      <c r="B505" s="1" t="s">
        <v>2224</v>
      </c>
      <c r="C505" s="1" t="s">
        <v>2225</v>
      </c>
      <c r="D505" s="1" t="s">
        <v>2226</v>
      </c>
      <c r="E505" s="1" t="s">
        <v>1697</v>
      </c>
      <c r="F505" s="2" t="str">
        <f>"0545290465"</f>
        <v>0545290465</v>
      </c>
      <c r="G505" s="2" t="str">
        <f>"9780545290463"</f>
        <v>9780545290463</v>
      </c>
      <c r="H505" s="1" t="s">
        <v>50</v>
      </c>
      <c r="I505" s="1" t="s">
        <v>36</v>
      </c>
      <c r="J505" s="1">
        <v>29.0</v>
      </c>
      <c r="K505" s="1">
        <v>2010.0</v>
      </c>
      <c r="L505" s="1">
        <v>2010.0</v>
      </c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 t="s">
        <v>543</v>
      </c>
      <c r="Y505" s="1" t="s">
        <v>2227</v>
      </c>
    </row>
    <row r="506">
      <c r="A506" s="1">
        <v>238988.0</v>
      </c>
      <c r="B506" s="1" t="s">
        <v>2228</v>
      </c>
      <c r="C506" s="1" t="s">
        <v>2229</v>
      </c>
      <c r="D506" s="1" t="s">
        <v>2230</v>
      </c>
      <c r="E506" s="1" t="s">
        <v>682</v>
      </c>
      <c r="F506" s="2" t="str">
        <f>"0439020816"</f>
        <v>0439020816</v>
      </c>
      <c r="G506" s="2" t="str">
        <f>"9780439020817"</f>
        <v>9780439020817</v>
      </c>
      <c r="H506" s="1" t="s">
        <v>2231</v>
      </c>
      <c r="I506" s="1" t="s">
        <v>31</v>
      </c>
      <c r="J506" s="1">
        <v>29.0</v>
      </c>
      <c r="K506" s="1">
        <v>2007.0</v>
      </c>
      <c r="L506" s="1">
        <v>2007.0</v>
      </c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 t="s">
        <v>2167</v>
      </c>
      <c r="Y506" s="1" t="s">
        <v>2232</v>
      </c>
    </row>
    <row r="507">
      <c r="A507" s="1">
        <v>1.0808105E7</v>
      </c>
      <c r="B507" s="1" t="s">
        <v>2233</v>
      </c>
      <c r="C507" s="1" t="s">
        <v>2234</v>
      </c>
      <c r="D507" s="1" t="s">
        <v>2235</v>
      </c>
      <c r="E507" s="1" t="s">
        <v>2236</v>
      </c>
      <c r="F507" s="2" t="str">
        <f>"1615412247"</f>
        <v>1615412247</v>
      </c>
      <c r="G507" s="2" t="str">
        <f>"9781615412242"</f>
        <v>9781615412242</v>
      </c>
      <c r="H507" s="1" t="s">
        <v>2237</v>
      </c>
      <c r="I507" s="1" t="s">
        <v>36</v>
      </c>
      <c r="J507" s="1">
        <v>29.0</v>
      </c>
      <c r="K507" s="1">
        <v>2011.0</v>
      </c>
      <c r="L507" s="1">
        <v>2011.0</v>
      </c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 t="s">
        <v>2238</v>
      </c>
      <c r="Y507" s="1" t="s">
        <v>2239</v>
      </c>
    </row>
    <row r="508">
      <c r="A508" s="1">
        <v>6972050.0</v>
      </c>
      <c r="B508" s="1" t="s">
        <v>2240</v>
      </c>
      <c r="C508" s="1" t="s">
        <v>183</v>
      </c>
      <c r="D508" s="1" t="s">
        <v>184</v>
      </c>
      <c r="E508" s="1" t="s">
        <v>2241</v>
      </c>
      <c r="F508" s="2" t="str">
        <f>"0545134730"</f>
        <v>0545134730</v>
      </c>
      <c r="G508" s="2" t="str">
        <f>"9780545134736"</f>
        <v>9780545134736</v>
      </c>
      <c r="H508" s="1" t="s">
        <v>817</v>
      </c>
      <c r="I508" s="1" t="s">
        <v>31</v>
      </c>
      <c r="J508" s="1">
        <v>30.0</v>
      </c>
      <c r="K508" s="1">
        <v>2009.0</v>
      </c>
      <c r="L508" s="1">
        <v>2007.0</v>
      </c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 t="s">
        <v>2242</v>
      </c>
      <c r="Y508" s="1" t="s">
        <v>2243</v>
      </c>
    </row>
    <row r="509">
      <c r="A509" s="1">
        <v>406791.0</v>
      </c>
      <c r="B509" s="1" t="s">
        <v>2244</v>
      </c>
      <c r="C509" s="1" t="s">
        <v>188</v>
      </c>
      <c r="D509" s="1" t="s">
        <v>189</v>
      </c>
      <c r="F509" s="2" t="str">
        <f>"0316111341"</f>
        <v>0316111341</v>
      </c>
      <c r="G509" s="2" t="str">
        <f>"9780316111348"</f>
        <v>9780316111348</v>
      </c>
      <c r="H509" s="1" t="s">
        <v>112</v>
      </c>
      <c r="I509" s="1" t="s">
        <v>67</v>
      </c>
      <c r="J509" s="1">
        <v>30.0</v>
      </c>
      <c r="K509" s="1">
        <v>1997.0</v>
      </c>
      <c r="L509" s="1">
        <v>1992.0</v>
      </c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 t="s">
        <v>1317</v>
      </c>
      <c r="Y509" s="1" t="s">
        <v>2245</v>
      </c>
    </row>
    <row r="510">
      <c r="A510" s="1">
        <v>608715.0</v>
      </c>
      <c r="B510" s="1" t="s">
        <v>2246</v>
      </c>
      <c r="C510" s="1" t="s">
        <v>2247</v>
      </c>
      <c r="D510" s="1" t="s">
        <v>2248</v>
      </c>
      <c r="F510" s="2" t="str">
        <f>"0439551188"</f>
        <v>0439551188</v>
      </c>
      <c r="G510" s="2" t="str">
        <f>"9780439551182"</f>
        <v>9780439551182</v>
      </c>
      <c r="H510" s="1" t="s">
        <v>179</v>
      </c>
      <c r="I510" s="1" t="s">
        <v>36</v>
      </c>
      <c r="J510" s="1">
        <v>30.0</v>
      </c>
      <c r="K510" s="1">
        <v>2003.0</v>
      </c>
      <c r="L510" s="1">
        <v>1995.0</v>
      </c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 t="s">
        <v>1195</v>
      </c>
      <c r="Y510" s="1" t="s">
        <v>2249</v>
      </c>
    </row>
    <row r="511">
      <c r="A511" s="1">
        <v>1.6101018E7</v>
      </c>
      <c r="B511" s="1" t="s">
        <v>2250</v>
      </c>
      <c r="C511" s="1" t="s">
        <v>2251</v>
      </c>
      <c r="D511" s="1" t="s">
        <v>2252</v>
      </c>
      <c r="E511" s="1" t="s">
        <v>314</v>
      </c>
      <c r="F511" s="2" t="str">
        <f>"0399255370"</f>
        <v>0399255370</v>
      </c>
      <c r="G511" s="2" t="str">
        <f>"9780399255373"</f>
        <v>9780399255373</v>
      </c>
      <c r="H511" s="1" t="s">
        <v>2253</v>
      </c>
      <c r="I511" s="1" t="s">
        <v>31</v>
      </c>
      <c r="J511" s="1">
        <v>30.0</v>
      </c>
      <c r="K511" s="1">
        <v>2013.0</v>
      </c>
      <c r="L511" s="1">
        <v>2013.0</v>
      </c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 t="s">
        <v>2254</v>
      </c>
      <c r="Y511" s="1" t="s">
        <v>2255</v>
      </c>
    </row>
    <row r="512">
      <c r="A512" s="1">
        <v>2924962.0</v>
      </c>
      <c r="B512" s="1" t="s">
        <v>2256</v>
      </c>
      <c r="C512" s="1" t="s">
        <v>2257</v>
      </c>
      <c r="D512" s="1" t="s">
        <v>2258</v>
      </c>
      <c r="F512" s="2" t="str">
        <f>"0545034655"</f>
        <v>0545034655</v>
      </c>
      <c r="G512" s="2" t="str">
        <f>"9780545034654"</f>
        <v>9780545034654</v>
      </c>
      <c r="H512" s="1" t="s">
        <v>2259</v>
      </c>
      <c r="I512" s="1" t="s">
        <v>36</v>
      </c>
      <c r="J512" s="1">
        <v>30.0</v>
      </c>
      <c r="K512" s="1">
        <v>2008.0</v>
      </c>
      <c r="L512" s="1">
        <v>2008.0</v>
      </c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 t="s">
        <v>83</v>
      </c>
      <c r="Y512" s="1" t="s">
        <v>2260</v>
      </c>
    </row>
    <row r="513">
      <c r="A513" s="1">
        <v>110546.0</v>
      </c>
      <c r="B513" s="1" t="s">
        <v>2261</v>
      </c>
      <c r="C513" s="1" t="s">
        <v>1554</v>
      </c>
      <c r="D513" s="1" t="s">
        <v>1555</v>
      </c>
      <c r="F513" s="2" t="str">
        <f>"0439635829"</f>
        <v>0439635829</v>
      </c>
      <c r="G513" s="2" t="str">
        <f>"9780439635820"</f>
        <v>9780439635820</v>
      </c>
      <c r="H513" s="1" t="s">
        <v>817</v>
      </c>
      <c r="I513" s="1" t="s">
        <v>36</v>
      </c>
      <c r="J513" s="1">
        <v>30.0</v>
      </c>
      <c r="K513" s="1">
        <v>2004.0</v>
      </c>
      <c r="L513" s="1">
        <v>1996.0</v>
      </c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 t="s">
        <v>1024</v>
      </c>
      <c r="Y513" s="1" t="s">
        <v>2262</v>
      </c>
    </row>
    <row r="514">
      <c r="A514" s="1">
        <v>3.4818717E7</v>
      </c>
      <c r="B514" s="1" t="s">
        <v>2263</v>
      </c>
      <c r="C514" s="1" t="s">
        <v>2264</v>
      </c>
      <c r="D514" s="1" t="s">
        <v>2265</v>
      </c>
      <c r="F514" s="2" t="str">
        <f>"1484773829"</f>
        <v>1484773829</v>
      </c>
      <c r="G514" s="2" t="str">
        <f>"9781484773826"</f>
        <v>9781484773826</v>
      </c>
      <c r="H514" s="1" t="s">
        <v>851</v>
      </c>
      <c r="I514" s="1" t="s">
        <v>36</v>
      </c>
      <c r="J514" s="1">
        <v>30.0</v>
      </c>
      <c r="K514" s="1">
        <v>2016.0</v>
      </c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 t="s">
        <v>1422</v>
      </c>
      <c r="Y514" s="1" t="s">
        <v>2266</v>
      </c>
    </row>
    <row r="515">
      <c r="A515" s="1">
        <v>3.4818768E7</v>
      </c>
      <c r="B515" s="1" t="s">
        <v>2267</v>
      </c>
      <c r="C515" s="1" t="s">
        <v>2264</v>
      </c>
      <c r="D515" s="1" t="s">
        <v>2265</v>
      </c>
      <c r="F515" s="2" t="str">
        <f>"1484773837"</f>
        <v>1484773837</v>
      </c>
      <c r="G515" s="2" t="str">
        <f>"9781484773833"</f>
        <v>9781484773833</v>
      </c>
      <c r="H515" s="1" t="s">
        <v>851</v>
      </c>
      <c r="I515" s="1" t="s">
        <v>36</v>
      </c>
      <c r="J515" s="1">
        <v>30.0</v>
      </c>
      <c r="K515" s="1">
        <v>2016.0</v>
      </c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 t="s">
        <v>1562</v>
      </c>
      <c r="Y515" s="1" t="s">
        <v>2268</v>
      </c>
    </row>
    <row r="516">
      <c r="A516" s="1">
        <v>1.8045117E7</v>
      </c>
      <c r="B516" s="1" t="s">
        <v>2269</v>
      </c>
      <c r="C516" s="1" t="s">
        <v>2270</v>
      </c>
      <c r="D516" s="1" t="s">
        <v>2271</v>
      </c>
      <c r="E516" s="1" t="s">
        <v>2272</v>
      </c>
      <c r="F516" s="2" t="str">
        <f>"847871068X"</f>
        <v>847871068X</v>
      </c>
      <c r="G516" s="2" t="str">
        <f>"9788478710683"</f>
        <v>9788478710683</v>
      </c>
      <c r="H516" s="1" t="s">
        <v>77</v>
      </c>
      <c r="I516" s="1" t="s">
        <v>31</v>
      </c>
      <c r="J516" s="1">
        <v>30.0</v>
      </c>
      <c r="K516" s="1">
        <v>2007.0</v>
      </c>
      <c r="L516" s="1">
        <v>2007.0</v>
      </c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 t="s">
        <v>113</v>
      </c>
      <c r="Y516" s="1" t="s">
        <v>2273</v>
      </c>
    </row>
    <row r="517">
      <c r="A517" s="1">
        <v>18419.0</v>
      </c>
      <c r="B517" s="1" t="s">
        <v>2274</v>
      </c>
      <c r="C517" s="1" t="s">
        <v>2275</v>
      </c>
      <c r="D517" s="1" t="s">
        <v>2276</v>
      </c>
      <c r="E517" s="1" t="s">
        <v>2277</v>
      </c>
      <c r="F517" s="2" t="str">
        <f>"1933718005"</f>
        <v>1933718005</v>
      </c>
      <c r="G517" s="2" t="str">
        <f>"9781933718002"</f>
        <v>9781933718002</v>
      </c>
      <c r="H517" s="1" t="s">
        <v>2278</v>
      </c>
      <c r="I517" s="1" t="s">
        <v>31</v>
      </c>
      <c r="J517" s="1">
        <v>30.0</v>
      </c>
      <c r="K517" s="1">
        <v>2006.0</v>
      </c>
      <c r="L517" s="1">
        <v>1993.0</v>
      </c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 t="s">
        <v>2279</v>
      </c>
      <c r="Y517" s="1" t="s">
        <v>2280</v>
      </c>
    </row>
    <row r="518">
      <c r="A518" s="1">
        <v>1.2887384E7</v>
      </c>
      <c r="B518" s="1" t="s">
        <v>2281</v>
      </c>
      <c r="C518" s="1" t="s">
        <v>2282</v>
      </c>
      <c r="D518" s="1" t="s">
        <v>2283</v>
      </c>
      <c r="F518" s="2" t="str">
        <f>"1443107611"</f>
        <v>1443107611</v>
      </c>
      <c r="G518" s="2" t="str">
        <f>"9781443107617"</f>
        <v>9781443107617</v>
      </c>
      <c r="H518" s="1" t="s">
        <v>1241</v>
      </c>
      <c r="I518" s="1" t="s">
        <v>31</v>
      </c>
      <c r="J518" s="1">
        <v>30.0</v>
      </c>
      <c r="K518" s="1">
        <v>2013.0</v>
      </c>
      <c r="L518" s="1">
        <v>2013.0</v>
      </c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 t="s">
        <v>510</v>
      </c>
      <c r="Y518" s="1" t="s">
        <v>2284</v>
      </c>
    </row>
    <row r="519">
      <c r="A519" s="1">
        <v>2.5329997E7</v>
      </c>
      <c r="B519" s="1" t="s">
        <v>2285</v>
      </c>
      <c r="C519" s="1" t="s">
        <v>2286</v>
      </c>
      <c r="D519" s="1" t="s">
        <v>2287</v>
      </c>
      <c r="E519" s="1" t="s">
        <v>2288</v>
      </c>
      <c r="F519" s="2" t="str">
        <f>"1592701876"</f>
        <v>1592701876</v>
      </c>
      <c r="G519" s="2" t="str">
        <f>"9781592701872"</f>
        <v>9781592701872</v>
      </c>
      <c r="H519" s="1" t="s">
        <v>2289</v>
      </c>
      <c r="I519" s="1" t="s">
        <v>31</v>
      </c>
      <c r="J519" s="1">
        <v>30.0</v>
      </c>
      <c r="K519" s="1">
        <v>2016.0</v>
      </c>
      <c r="L519" s="1">
        <v>2001.0</v>
      </c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 t="s">
        <v>1219</v>
      </c>
      <c r="Y519" s="1" t="s">
        <v>2290</v>
      </c>
    </row>
    <row r="520">
      <c r="A520" s="1">
        <v>3.4818753E7</v>
      </c>
      <c r="B520" s="1" t="s">
        <v>2291</v>
      </c>
      <c r="C520" s="1" t="s">
        <v>2148</v>
      </c>
      <c r="D520" s="1" t="s">
        <v>2149</v>
      </c>
      <c r="F520" s="2" t="str">
        <f>"1484773861"</f>
        <v>1484773861</v>
      </c>
      <c r="G520" s="2" t="str">
        <f>"9781484773864"</f>
        <v>9781484773864</v>
      </c>
      <c r="H520" s="1" t="s">
        <v>851</v>
      </c>
      <c r="I520" s="1" t="s">
        <v>36</v>
      </c>
      <c r="J520" s="1">
        <v>30.0</v>
      </c>
      <c r="K520" s="1">
        <v>2016.0</v>
      </c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 t="s">
        <v>1422</v>
      </c>
      <c r="Y520" s="1" t="s">
        <v>2292</v>
      </c>
    </row>
    <row r="521">
      <c r="A521" s="1">
        <v>3.4818739E7</v>
      </c>
      <c r="B521" s="1" t="s">
        <v>2293</v>
      </c>
      <c r="C521" s="1" t="s">
        <v>2148</v>
      </c>
      <c r="D521" s="1" t="s">
        <v>2149</v>
      </c>
      <c r="F521" s="2" t="str">
        <f t="shared" ref="F521:G521" si="87">""</f>
        <v/>
      </c>
      <c r="G521" s="2" t="str">
        <f t="shared" si="87"/>
        <v/>
      </c>
      <c r="H521" s="1" t="s">
        <v>851</v>
      </c>
      <c r="I521" s="1" t="s">
        <v>36</v>
      </c>
      <c r="J521" s="1">
        <v>30.0</v>
      </c>
      <c r="K521" s="1">
        <v>2016.0</v>
      </c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 t="s">
        <v>1422</v>
      </c>
      <c r="Y521" s="1" t="s">
        <v>2294</v>
      </c>
    </row>
    <row r="522">
      <c r="A522" s="1">
        <v>310272.0</v>
      </c>
      <c r="B522" s="1" t="s">
        <v>2295</v>
      </c>
      <c r="C522" s="1" t="s">
        <v>1182</v>
      </c>
      <c r="D522" s="1" t="s">
        <v>1183</v>
      </c>
      <c r="F522" s="2" t="str">
        <f>"0007169957"</f>
        <v>0007169957</v>
      </c>
      <c r="G522" s="2" t="str">
        <f>"9780007169955"</f>
        <v>9780007169955</v>
      </c>
      <c r="H522" s="1" t="s">
        <v>535</v>
      </c>
      <c r="I522" s="1" t="s">
        <v>36</v>
      </c>
      <c r="J522" s="1">
        <v>30.0</v>
      </c>
      <c r="K522" s="1">
        <v>2003.0</v>
      </c>
      <c r="L522" s="1">
        <v>1974.0</v>
      </c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 t="s">
        <v>536</v>
      </c>
      <c r="Y522" s="1" t="s">
        <v>2296</v>
      </c>
    </row>
    <row r="523">
      <c r="A523" s="1">
        <v>815262.0</v>
      </c>
      <c r="B523" s="1" t="s">
        <v>2297</v>
      </c>
      <c r="C523" s="1" t="s">
        <v>1137</v>
      </c>
      <c r="D523" s="1" t="s">
        <v>1138</v>
      </c>
      <c r="F523" s="2" t="str">
        <f>"0152019901"</f>
        <v>0152019901</v>
      </c>
      <c r="G523" s="2" t="str">
        <f>"9780152019907"</f>
        <v>9780152019907</v>
      </c>
      <c r="H523" s="1" t="s">
        <v>1799</v>
      </c>
      <c r="I523" s="1" t="s">
        <v>779</v>
      </c>
      <c r="J523" s="1">
        <v>30.0</v>
      </c>
      <c r="K523" s="1">
        <v>1999.0</v>
      </c>
      <c r="L523" s="1">
        <v>1994.0</v>
      </c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 t="s">
        <v>2298</v>
      </c>
      <c r="Y523" s="1" t="s">
        <v>2299</v>
      </c>
    </row>
    <row r="524">
      <c r="A524" s="1">
        <v>967497.0</v>
      </c>
      <c r="B524" s="1" t="s">
        <v>2300</v>
      </c>
      <c r="C524" s="1" t="s">
        <v>2301</v>
      </c>
      <c r="D524" s="1" t="s">
        <v>2302</v>
      </c>
      <c r="F524" s="2" t="str">
        <f>"039530850X"</f>
        <v>039530850X</v>
      </c>
      <c r="G524" s="2" t="str">
        <f>"9780395308509"</f>
        <v>9780395308509</v>
      </c>
      <c r="H524" s="1" t="s">
        <v>217</v>
      </c>
      <c r="I524" s="1" t="s">
        <v>31</v>
      </c>
      <c r="J524" s="1">
        <v>31.0</v>
      </c>
      <c r="K524" s="1">
        <v>1981.0</v>
      </c>
      <c r="L524" s="1">
        <v>1981.0</v>
      </c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 t="s">
        <v>2303</v>
      </c>
      <c r="Y524" s="1" t="s">
        <v>2304</v>
      </c>
    </row>
    <row r="525">
      <c r="A525" s="1">
        <v>3.4311994E7</v>
      </c>
      <c r="B525" s="1" t="s">
        <v>2305</v>
      </c>
      <c r="C525" s="1" t="s">
        <v>2306</v>
      </c>
      <c r="D525" s="1" t="s">
        <v>2307</v>
      </c>
      <c r="F525" s="2" t="str">
        <f>"0399545816"</f>
        <v>0399545816</v>
      </c>
      <c r="G525" s="2" t="str">
        <f>"9780399545818"</f>
        <v>9780399545818</v>
      </c>
      <c r="H525" s="1" t="s">
        <v>2308</v>
      </c>
      <c r="I525" s="1" t="s">
        <v>31</v>
      </c>
      <c r="J525" s="1">
        <v>31.0</v>
      </c>
      <c r="K525" s="1">
        <v>2014.0</v>
      </c>
      <c r="L525" s="1">
        <v>2014.0</v>
      </c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 t="s">
        <v>61</v>
      </c>
      <c r="Y525" s="1" t="s">
        <v>2309</v>
      </c>
    </row>
    <row r="526">
      <c r="A526" s="1">
        <v>2539899.0</v>
      </c>
      <c r="B526" s="1" t="s">
        <v>2310</v>
      </c>
      <c r="C526" s="1" t="s">
        <v>2311</v>
      </c>
      <c r="D526" s="1" t="s">
        <v>2312</v>
      </c>
      <c r="F526" s="2" t="str">
        <f>"052544193X"</f>
        <v>052544193X</v>
      </c>
      <c r="G526" s="2" t="str">
        <f>"9780525441939"</f>
        <v>9780525441939</v>
      </c>
      <c r="H526" s="1" t="s">
        <v>2313</v>
      </c>
      <c r="I526" s="1" t="s">
        <v>31</v>
      </c>
      <c r="J526" s="1">
        <v>31.0</v>
      </c>
      <c r="K526" s="1">
        <v>1986.0</v>
      </c>
      <c r="L526" s="1">
        <v>1986.0</v>
      </c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 t="s">
        <v>146</v>
      </c>
      <c r="Y526" s="1" t="s">
        <v>2314</v>
      </c>
    </row>
    <row r="527">
      <c r="A527" s="1">
        <v>2.6892295E7</v>
      </c>
      <c r="B527" s="1" t="s">
        <v>2315</v>
      </c>
      <c r="C527" s="1" t="s">
        <v>2316</v>
      </c>
      <c r="D527" s="1" t="s">
        <v>2317</v>
      </c>
      <c r="E527" s="1" t="s">
        <v>2318</v>
      </c>
      <c r="F527" s="2" t="str">
        <f>"0606376070"</f>
        <v>0606376070</v>
      </c>
      <c r="G527" s="2" t="str">
        <f>"9780606376075"</f>
        <v>9780606376075</v>
      </c>
      <c r="H527" s="1" t="s">
        <v>2319</v>
      </c>
      <c r="I527" s="1" t="s">
        <v>91</v>
      </c>
      <c r="J527" s="1">
        <v>31.0</v>
      </c>
      <c r="K527" s="1">
        <v>2015.0</v>
      </c>
      <c r="L527" s="1">
        <v>2015.0</v>
      </c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 t="s">
        <v>83</v>
      </c>
      <c r="Y527" s="1" t="s">
        <v>2320</v>
      </c>
    </row>
    <row r="528">
      <c r="A528" s="1">
        <v>375902.0</v>
      </c>
      <c r="B528" s="1" t="s">
        <v>2321</v>
      </c>
      <c r="C528" s="1" t="s">
        <v>373</v>
      </c>
      <c r="D528" s="1" t="s">
        <v>374</v>
      </c>
      <c r="F528" s="2" t="str">
        <f>"0688132839"</f>
        <v>0688132839</v>
      </c>
      <c r="G528" s="2" t="str">
        <f>"9780688132835"</f>
        <v>9780688132835</v>
      </c>
      <c r="H528" s="1" t="s">
        <v>2322</v>
      </c>
      <c r="I528" s="1" t="s">
        <v>36</v>
      </c>
      <c r="J528" s="1">
        <v>31.0</v>
      </c>
      <c r="K528" s="1">
        <v>1995.0</v>
      </c>
      <c r="L528" s="1">
        <v>1960.0</v>
      </c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 t="s">
        <v>1686</v>
      </c>
      <c r="Y528" s="1" t="s">
        <v>2323</v>
      </c>
    </row>
    <row r="529">
      <c r="A529" s="1">
        <v>6130853.0</v>
      </c>
      <c r="B529" s="1" t="s">
        <v>2324</v>
      </c>
      <c r="C529" s="1" t="s">
        <v>582</v>
      </c>
      <c r="D529" s="1" t="s">
        <v>583</v>
      </c>
      <c r="F529" s="2" t="str">
        <f>"0761434933"</f>
        <v>0761434933</v>
      </c>
      <c r="G529" s="2" t="str">
        <f>"9780761434931"</f>
        <v>9780761434931</v>
      </c>
      <c r="H529" s="1" t="s">
        <v>1816</v>
      </c>
      <c r="I529" s="1" t="s">
        <v>91</v>
      </c>
      <c r="J529" s="1">
        <v>31.0</v>
      </c>
      <c r="K529" s="1">
        <v>2010.0</v>
      </c>
      <c r="L529" s="1">
        <v>2008.0</v>
      </c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 t="s">
        <v>1413</v>
      </c>
      <c r="Y529" s="1" t="s">
        <v>2325</v>
      </c>
    </row>
    <row r="530">
      <c r="A530" s="1">
        <v>1595706.0</v>
      </c>
      <c r="B530" s="1" t="s">
        <v>2326</v>
      </c>
      <c r="C530" s="1" t="s">
        <v>2327</v>
      </c>
      <c r="D530" s="1" t="s">
        <v>2328</v>
      </c>
      <c r="E530" s="1" t="s">
        <v>2329</v>
      </c>
      <c r="F530" s="2" t="str">
        <f>"0439454018"</f>
        <v>0439454018</v>
      </c>
      <c r="G530" s="2" t="str">
        <f>"9780439454018"</f>
        <v>9780439454018</v>
      </c>
      <c r="H530" s="1" t="s">
        <v>86</v>
      </c>
      <c r="I530" s="1" t="s">
        <v>31</v>
      </c>
      <c r="J530" s="1">
        <v>31.0</v>
      </c>
      <c r="K530" s="1">
        <v>2003.0</v>
      </c>
      <c r="L530" s="1">
        <v>2003.0</v>
      </c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 t="s">
        <v>452</v>
      </c>
      <c r="Y530" s="1" t="s">
        <v>2330</v>
      </c>
    </row>
    <row r="531">
      <c r="A531" s="1">
        <v>2050591.0</v>
      </c>
      <c r="B531" s="1" t="s">
        <v>2331</v>
      </c>
      <c r="C531" s="1" t="s">
        <v>2332</v>
      </c>
      <c r="D531" s="1" t="s">
        <v>2333</v>
      </c>
      <c r="F531" s="2" t="str">
        <f>"1568992572"</f>
        <v>1568992572</v>
      </c>
      <c r="G531" s="2" t="str">
        <f>"9781568992570"</f>
        <v>9781568992570</v>
      </c>
      <c r="H531" s="1" t="s">
        <v>2334</v>
      </c>
      <c r="I531" s="1" t="s">
        <v>31</v>
      </c>
      <c r="J531" s="1">
        <v>31.0</v>
      </c>
      <c r="K531" s="1">
        <v>1996.0</v>
      </c>
      <c r="L531" s="1">
        <v>1996.0</v>
      </c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 t="s">
        <v>131</v>
      </c>
      <c r="Y531" s="1" t="s">
        <v>2335</v>
      </c>
    </row>
    <row r="532">
      <c r="A532" s="1">
        <v>3363704.0</v>
      </c>
      <c r="B532" s="1" t="s">
        <v>2336</v>
      </c>
      <c r="C532" s="1" t="s">
        <v>2337</v>
      </c>
      <c r="D532" s="1" t="s">
        <v>2338</v>
      </c>
      <c r="E532" s="1" t="s">
        <v>2339</v>
      </c>
      <c r="F532" s="2" t="str">
        <f>"0811839125"</f>
        <v>0811839125</v>
      </c>
      <c r="G532" s="2" t="str">
        <f>"9780811839129"</f>
        <v>9780811839129</v>
      </c>
      <c r="H532" s="1" t="s">
        <v>1593</v>
      </c>
      <c r="I532" s="1" t="s">
        <v>31</v>
      </c>
      <c r="J532" s="1">
        <v>32.0</v>
      </c>
      <c r="K532" s="1">
        <v>2003.0</v>
      </c>
      <c r="L532" s="1">
        <v>1697.0</v>
      </c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 t="s">
        <v>61</v>
      </c>
      <c r="Y532" s="1" t="s">
        <v>2340</v>
      </c>
    </row>
    <row r="533">
      <c r="A533" s="1">
        <v>2433299.0</v>
      </c>
      <c r="B533" s="1" t="s">
        <v>2341</v>
      </c>
      <c r="C533" s="1" t="s">
        <v>2342</v>
      </c>
      <c r="D533" s="1" t="s">
        <v>2343</v>
      </c>
      <c r="E533" s="1" t="s">
        <v>2344</v>
      </c>
      <c r="F533" s="2" t="str">
        <f>"0613021991"</f>
        <v>0613021991</v>
      </c>
      <c r="G533" s="2" t="str">
        <f>"9780613021999"</f>
        <v>9780613021999</v>
      </c>
      <c r="H533" s="1" t="s">
        <v>477</v>
      </c>
      <c r="I533" s="1" t="s">
        <v>91</v>
      </c>
      <c r="J533" s="1">
        <v>32.0</v>
      </c>
      <c r="K533" s="1">
        <v>1718.0</v>
      </c>
      <c r="L533" s="1">
        <v>1995.0</v>
      </c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 t="s">
        <v>61</v>
      </c>
      <c r="Y533" s="1" t="s">
        <v>2345</v>
      </c>
    </row>
    <row r="534">
      <c r="A534" s="1">
        <v>2.6371578E7</v>
      </c>
      <c r="B534" s="1" t="s">
        <v>2346</v>
      </c>
      <c r="C534" s="1" t="s">
        <v>42</v>
      </c>
      <c r="D534" s="1" t="s">
        <v>43</v>
      </c>
      <c r="F534" s="2" t="str">
        <f>"0823435504"</f>
        <v>0823435504</v>
      </c>
      <c r="G534" s="2" t="str">
        <f>"9780823435500"</f>
        <v>9780823435500</v>
      </c>
      <c r="H534" s="1" t="s">
        <v>2347</v>
      </c>
      <c r="I534" s="1" t="s">
        <v>31</v>
      </c>
      <c r="J534" s="1">
        <v>32.0</v>
      </c>
      <c r="K534" s="1">
        <v>2016.0</v>
      </c>
      <c r="L534" s="1">
        <v>2016.0</v>
      </c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 t="s">
        <v>116</v>
      </c>
      <c r="Y534" s="1" t="s">
        <v>2348</v>
      </c>
    </row>
    <row r="535">
      <c r="A535" s="1">
        <v>208263.0</v>
      </c>
      <c r="B535" s="1" t="s">
        <v>2349</v>
      </c>
      <c r="C535" s="1" t="s">
        <v>42</v>
      </c>
      <c r="D535" s="1" t="s">
        <v>43</v>
      </c>
      <c r="E535" s="1" t="s">
        <v>2350</v>
      </c>
      <c r="F535" s="2" t="str">
        <f>"0140377794"</f>
        <v>0140377794</v>
      </c>
      <c r="G535" s="2" t="str">
        <f>"9780140377798"</f>
        <v>9780140377798</v>
      </c>
      <c r="H535" s="1" t="s">
        <v>2351</v>
      </c>
      <c r="I535" s="1" t="s">
        <v>36</v>
      </c>
      <c r="J535" s="1">
        <v>32.0</v>
      </c>
      <c r="K535" s="1">
        <v>1998.0</v>
      </c>
      <c r="L535" s="1">
        <v>1996.0</v>
      </c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 t="s">
        <v>83</v>
      </c>
      <c r="Y535" s="1" t="s">
        <v>2352</v>
      </c>
    </row>
    <row r="536">
      <c r="A536" s="1">
        <v>570356.0</v>
      </c>
      <c r="B536" s="1" t="s">
        <v>2353</v>
      </c>
      <c r="C536" s="1" t="s">
        <v>42</v>
      </c>
      <c r="D536" s="1" t="s">
        <v>43</v>
      </c>
      <c r="E536" s="1" t="s">
        <v>2350</v>
      </c>
      <c r="F536" s="2" t="str">
        <f>"0142500798"</f>
        <v>0142500798</v>
      </c>
      <c r="G536" s="2" t="str">
        <f>"9780142500798"</f>
        <v>9780142500798</v>
      </c>
      <c r="H536" s="1" t="s">
        <v>2351</v>
      </c>
      <c r="I536" s="1" t="s">
        <v>36</v>
      </c>
      <c r="J536" s="1">
        <v>32.0</v>
      </c>
      <c r="K536" s="1">
        <v>2003.0</v>
      </c>
      <c r="L536" s="1">
        <v>2002.0</v>
      </c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 t="s">
        <v>83</v>
      </c>
      <c r="Y536" s="1" t="s">
        <v>2354</v>
      </c>
    </row>
    <row r="537">
      <c r="A537" s="1">
        <v>215896.0</v>
      </c>
      <c r="B537" s="1" t="s">
        <v>2355</v>
      </c>
      <c r="C537" s="1" t="s">
        <v>42</v>
      </c>
      <c r="D537" s="1" t="s">
        <v>43</v>
      </c>
      <c r="E537" s="1" t="s">
        <v>2350</v>
      </c>
      <c r="F537" s="2" t="str">
        <f>"0142403539"</f>
        <v>0142403539</v>
      </c>
      <c r="G537" s="2" t="str">
        <f>"9780142403532"</f>
        <v>9780142403532</v>
      </c>
      <c r="H537" s="1" t="s">
        <v>2351</v>
      </c>
      <c r="I537" s="1" t="s">
        <v>36</v>
      </c>
      <c r="J537" s="1">
        <v>32.0</v>
      </c>
      <c r="K537" s="1">
        <v>2005.0</v>
      </c>
      <c r="L537" s="1">
        <v>2004.0</v>
      </c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 t="s">
        <v>83</v>
      </c>
      <c r="Y537" s="1" t="s">
        <v>2356</v>
      </c>
    </row>
    <row r="538">
      <c r="A538" s="1">
        <v>547223.0</v>
      </c>
      <c r="B538" s="1" t="s">
        <v>2357</v>
      </c>
      <c r="C538" s="1" t="s">
        <v>42</v>
      </c>
      <c r="D538" s="1" t="s">
        <v>43</v>
      </c>
      <c r="E538" s="1" t="s">
        <v>2350</v>
      </c>
      <c r="F538" s="2" t="str">
        <f t="shared" ref="F538:G538" si="88">""</f>
        <v/>
      </c>
      <c r="G538" s="2" t="str">
        <f t="shared" si="88"/>
        <v/>
      </c>
      <c r="H538" s="1" t="s">
        <v>2351</v>
      </c>
      <c r="I538" s="1" t="s">
        <v>36</v>
      </c>
      <c r="J538" s="1">
        <v>32.0</v>
      </c>
      <c r="K538" s="1">
        <v>1999.0</v>
      </c>
      <c r="L538" s="1">
        <v>1997.0</v>
      </c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 t="s">
        <v>83</v>
      </c>
      <c r="Y538" s="1" t="s">
        <v>2358</v>
      </c>
    </row>
    <row r="539">
      <c r="A539" s="1">
        <v>570401.0</v>
      </c>
      <c r="B539" s="1" t="s">
        <v>2359</v>
      </c>
      <c r="C539" s="1" t="s">
        <v>42</v>
      </c>
      <c r="D539" s="1" t="s">
        <v>43</v>
      </c>
      <c r="E539" s="1" t="s">
        <v>2350</v>
      </c>
      <c r="F539" s="2" t="str">
        <f>"0142402044"</f>
        <v>0142402044</v>
      </c>
      <c r="G539" s="2" t="str">
        <f>"9780142402047"</f>
        <v>9780142402047</v>
      </c>
      <c r="H539" s="1" t="s">
        <v>2351</v>
      </c>
      <c r="I539" s="1" t="s">
        <v>36</v>
      </c>
      <c r="J539" s="1">
        <v>32.0</v>
      </c>
      <c r="K539" s="1">
        <v>2004.0</v>
      </c>
      <c r="L539" s="1">
        <v>2003.0</v>
      </c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 t="s">
        <v>83</v>
      </c>
      <c r="Y539" s="1" t="s">
        <v>2360</v>
      </c>
    </row>
    <row r="540">
      <c r="A540" s="1">
        <v>2.7209447E7</v>
      </c>
      <c r="B540" s="1" t="s">
        <v>2361</v>
      </c>
      <c r="C540" s="1" t="s">
        <v>2362</v>
      </c>
      <c r="D540" s="1" t="s">
        <v>2363</v>
      </c>
      <c r="F540" s="2" t="str">
        <f>"0803739087"</f>
        <v>0803739087</v>
      </c>
      <c r="G540" s="2" t="str">
        <f>"9780803739086"</f>
        <v>9780803739086</v>
      </c>
      <c r="H540" s="1" t="s">
        <v>2364</v>
      </c>
      <c r="I540" s="1" t="s">
        <v>31</v>
      </c>
      <c r="J540" s="1">
        <v>32.0</v>
      </c>
      <c r="K540" s="1">
        <v>2016.0</v>
      </c>
      <c r="L540" s="1">
        <v>2016.0</v>
      </c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 t="s">
        <v>2365</v>
      </c>
      <c r="Y540" s="1" t="s">
        <v>2366</v>
      </c>
    </row>
    <row r="541">
      <c r="A541" s="1">
        <v>6644750.0</v>
      </c>
      <c r="B541" s="1" t="s">
        <v>2367</v>
      </c>
      <c r="C541" s="1" t="s">
        <v>2368</v>
      </c>
      <c r="D541" s="1" t="s">
        <v>2369</v>
      </c>
      <c r="E541" s="1" t="s">
        <v>2370</v>
      </c>
      <c r="F541" s="2" t="str">
        <f>"1423124847"</f>
        <v>1423124847</v>
      </c>
      <c r="G541" s="2" t="str">
        <f>"9781423124849"</f>
        <v>9781423124849</v>
      </c>
      <c r="H541" s="1" t="s">
        <v>2371</v>
      </c>
      <c r="I541" s="1" t="s">
        <v>31</v>
      </c>
      <c r="J541" s="1">
        <v>32.0</v>
      </c>
      <c r="K541" s="1">
        <v>2010.0</v>
      </c>
      <c r="L541" s="1">
        <v>2010.0</v>
      </c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 t="s">
        <v>1219</v>
      </c>
      <c r="Y541" s="1" t="s">
        <v>2372</v>
      </c>
    </row>
    <row r="542">
      <c r="A542" s="1">
        <v>3.666584E7</v>
      </c>
      <c r="B542" s="1" t="s">
        <v>2373</v>
      </c>
      <c r="C542" s="1" t="s">
        <v>2374</v>
      </c>
      <c r="D542" s="1" t="s">
        <v>2375</v>
      </c>
      <c r="F542" s="2" t="str">
        <f t="shared" ref="F542:G542" si="89">""</f>
        <v/>
      </c>
      <c r="G542" s="2" t="str">
        <f t="shared" si="89"/>
        <v/>
      </c>
      <c r="H542" s="1" t="s">
        <v>2376</v>
      </c>
      <c r="I542" s="1" t="s">
        <v>238</v>
      </c>
      <c r="J542" s="1">
        <v>32.0</v>
      </c>
      <c r="K542" s="1">
        <v>2017.0</v>
      </c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 t="s">
        <v>1084</v>
      </c>
      <c r="Y542" s="1" t="s">
        <v>2377</v>
      </c>
    </row>
    <row r="543">
      <c r="A543" s="1">
        <v>8181212.0</v>
      </c>
      <c r="B543" s="1" t="s">
        <v>2378</v>
      </c>
      <c r="C543" s="1" t="s">
        <v>2379</v>
      </c>
      <c r="D543" s="1" t="s">
        <v>2380</v>
      </c>
      <c r="E543" s="1" t="s">
        <v>2381</v>
      </c>
      <c r="F543" s="2" t="str">
        <f>"0606104038"</f>
        <v>0606104038</v>
      </c>
      <c r="G543" s="2" t="str">
        <f>"9780606104036"</f>
        <v>9780606104036</v>
      </c>
      <c r="H543" s="1" t="s">
        <v>274</v>
      </c>
      <c r="I543" s="1" t="s">
        <v>91</v>
      </c>
      <c r="J543" s="1">
        <v>32.0</v>
      </c>
      <c r="K543" s="1">
        <v>1995.0</v>
      </c>
      <c r="L543" s="1">
        <v>1992.0</v>
      </c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 t="s">
        <v>61</v>
      </c>
      <c r="Y543" s="1" t="s">
        <v>2382</v>
      </c>
    </row>
    <row r="544">
      <c r="A544" s="1">
        <v>1963140.0</v>
      </c>
      <c r="B544" s="1" t="s">
        <v>2383</v>
      </c>
      <c r="C544" s="1" t="s">
        <v>2384</v>
      </c>
      <c r="D544" s="1" t="s">
        <v>2385</v>
      </c>
      <c r="F544" s="2" t="str">
        <f>"0060200502"</f>
        <v>0060200502</v>
      </c>
      <c r="G544" s="2" t="str">
        <f>"9780060200503"</f>
        <v>9780060200503</v>
      </c>
      <c r="H544" s="1" t="s">
        <v>1673</v>
      </c>
      <c r="I544" s="1" t="s">
        <v>36</v>
      </c>
      <c r="J544" s="1">
        <v>32.0</v>
      </c>
      <c r="K544" s="1">
        <v>1991.0</v>
      </c>
      <c r="L544" s="1">
        <v>1962.0</v>
      </c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 t="s">
        <v>116</v>
      </c>
      <c r="Y544" s="1" t="s">
        <v>2386</v>
      </c>
    </row>
    <row r="545">
      <c r="A545" s="1">
        <v>1107828.0</v>
      </c>
      <c r="B545" s="1" t="s">
        <v>2387</v>
      </c>
      <c r="C545" s="1" t="s">
        <v>2384</v>
      </c>
      <c r="D545" s="1" t="s">
        <v>2385</v>
      </c>
      <c r="F545" s="2" t="str">
        <f>"0064450961"</f>
        <v>0064450961</v>
      </c>
      <c r="G545" s="2" t="str">
        <f>"9780064450966"</f>
        <v>9780064450966</v>
      </c>
      <c r="H545" s="1" t="s">
        <v>290</v>
      </c>
      <c r="I545" s="1" t="s">
        <v>36</v>
      </c>
      <c r="J545" s="1">
        <v>32.0</v>
      </c>
      <c r="K545" s="1">
        <v>1991.0</v>
      </c>
      <c r="L545" s="1">
        <v>1962.0</v>
      </c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 t="s">
        <v>1433</v>
      </c>
      <c r="Y545" s="1" t="s">
        <v>2388</v>
      </c>
    </row>
    <row r="546">
      <c r="A546" s="1">
        <v>55816.0</v>
      </c>
      <c r="B546" s="1" t="s">
        <v>2389</v>
      </c>
      <c r="C546" s="1" t="s">
        <v>2390</v>
      </c>
      <c r="D546" s="1" t="s">
        <v>2391</v>
      </c>
      <c r="F546" s="2" t="str">
        <f>""</f>
        <v/>
      </c>
      <c r="G546" s="2" t="str">
        <f>"9789802570461"</f>
        <v>9789802570461</v>
      </c>
      <c r="H546" s="1" t="s">
        <v>2141</v>
      </c>
      <c r="I546" s="1" t="s">
        <v>31</v>
      </c>
      <c r="J546" s="1">
        <v>32.0</v>
      </c>
      <c r="K546" s="1">
        <v>2001.0</v>
      </c>
      <c r="L546" s="1">
        <v>1985.0</v>
      </c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 t="s">
        <v>92</v>
      </c>
      <c r="Y546" s="1" t="s">
        <v>2392</v>
      </c>
    </row>
    <row r="547">
      <c r="A547" s="1">
        <v>1420078.0</v>
      </c>
      <c r="B547" s="1" t="s">
        <v>2393</v>
      </c>
      <c r="C547" s="1" t="s">
        <v>2394</v>
      </c>
      <c r="D547" s="1" t="s">
        <v>2395</v>
      </c>
      <c r="E547" s="1" t="s">
        <v>2396</v>
      </c>
      <c r="F547" s="2" t="str">
        <f>"186039678X"</f>
        <v>186039678X</v>
      </c>
      <c r="G547" s="2" t="str">
        <f>"9781860396786"</f>
        <v>9781860396786</v>
      </c>
      <c r="H547" s="1" t="s">
        <v>2397</v>
      </c>
      <c r="I547" s="1" t="s">
        <v>31</v>
      </c>
      <c r="J547" s="1">
        <v>32.0</v>
      </c>
      <c r="K547" s="1">
        <v>1998.0</v>
      </c>
      <c r="L547" s="1">
        <v>1998.0</v>
      </c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 t="s">
        <v>405</v>
      </c>
      <c r="Y547" s="1" t="s">
        <v>2398</v>
      </c>
    </row>
    <row r="548">
      <c r="A548" s="1">
        <v>5.4776588E7</v>
      </c>
      <c r="B548" s="1" t="s">
        <v>2399</v>
      </c>
      <c r="C548" s="1" t="s">
        <v>2394</v>
      </c>
      <c r="D548" s="1" t="s">
        <v>2395</v>
      </c>
      <c r="E548" s="1" t="s">
        <v>2400</v>
      </c>
      <c r="F548" s="2" t="str">
        <f>"133873427X"</f>
        <v>133873427X</v>
      </c>
      <c r="G548" s="2" t="str">
        <f>"9781338734270"</f>
        <v>9781338734270</v>
      </c>
      <c r="H548" s="1" t="s">
        <v>2397</v>
      </c>
      <c r="I548" s="1" t="s">
        <v>31</v>
      </c>
      <c r="J548" s="1">
        <v>32.0</v>
      </c>
      <c r="K548" s="1">
        <v>2021.0</v>
      </c>
      <c r="L548" s="1">
        <v>2021.0</v>
      </c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 t="s">
        <v>1084</v>
      </c>
      <c r="Y548" s="1" t="s">
        <v>2401</v>
      </c>
    </row>
    <row r="549">
      <c r="A549" s="1">
        <v>765148.0</v>
      </c>
      <c r="B549" s="1" t="s">
        <v>2402</v>
      </c>
      <c r="C549" s="1" t="s">
        <v>2394</v>
      </c>
      <c r="D549" s="1" t="s">
        <v>2395</v>
      </c>
      <c r="E549" s="1" t="s">
        <v>2400</v>
      </c>
      <c r="F549" s="2" t="str">
        <f>"0439287197"</f>
        <v>0439287197</v>
      </c>
      <c r="G549" s="2" t="str">
        <f>"9780439287197"</f>
        <v>9780439287197</v>
      </c>
      <c r="H549" s="1" t="s">
        <v>2397</v>
      </c>
      <c r="I549" s="1" t="s">
        <v>31</v>
      </c>
      <c r="J549" s="1">
        <v>32.0</v>
      </c>
      <c r="K549" s="1">
        <v>2001.0</v>
      </c>
      <c r="L549" s="1">
        <v>2012.0</v>
      </c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 t="s">
        <v>1084</v>
      </c>
      <c r="Y549" s="1" t="s">
        <v>2403</v>
      </c>
    </row>
    <row r="550">
      <c r="A550" s="1">
        <v>1204567.0</v>
      </c>
      <c r="B550" s="1" t="s">
        <v>2404</v>
      </c>
      <c r="C550" s="1" t="s">
        <v>2394</v>
      </c>
      <c r="D550" s="1" t="s">
        <v>2395</v>
      </c>
      <c r="E550" s="1" t="s">
        <v>2396</v>
      </c>
      <c r="F550" s="2" t="str">
        <f>"1589253671"</f>
        <v>1589253671</v>
      </c>
      <c r="G550" s="2" t="str">
        <f>"9781589253674"</f>
        <v>9781589253674</v>
      </c>
      <c r="H550" s="1" t="s">
        <v>2405</v>
      </c>
      <c r="I550" s="1" t="s">
        <v>36</v>
      </c>
      <c r="J550" s="1">
        <v>32.0</v>
      </c>
      <c r="K550" s="1">
        <v>2002.0</v>
      </c>
      <c r="L550" s="1">
        <v>1996.0</v>
      </c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 t="s">
        <v>1317</v>
      </c>
      <c r="Y550" s="1" t="s">
        <v>2406</v>
      </c>
    </row>
    <row r="551">
      <c r="A551" s="1">
        <v>1717290.0</v>
      </c>
      <c r="B551" s="1" t="s">
        <v>2407</v>
      </c>
      <c r="C551" s="1" t="s">
        <v>64</v>
      </c>
      <c r="D551" s="1" t="s">
        <v>65</v>
      </c>
      <c r="E551" s="1" t="s">
        <v>2408</v>
      </c>
      <c r="F551" s="2" t="str">
        <f>"0152052429"</f>
        <v>0152052429</v>
      </c>
      <c r="G551" s="2" t="str">
        <f>"9780152052423"</f>
        <v>9780152052423</v>
      </c>
      <c r="H551" s="1" t="s">
        <v>1799</v>
      </c>
      <c r="I551" s="1" t="s">
        <v>36</v>
      </c>
      <c r="J551" s="1">
        <v>32.0</v>
      </c>
      <c r="K551" s="1">
        <v>2005.0</v>
      </c>
      <c r="L551" s="1">
        <v>2000.0</v>
      </c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 t="s">
        <v>412</v>
      </c>
      <c r="Y551" s="1" t="s">
        <v>2409</v>
      </c>
    </row>
    <row r="552">
      <c r="A552" s="1">
        <v>293597.0</v>
      </c>
      <c r="B552" s="1" t="s">
        <v>2410</v>
      </c>
      <c r="C552" s="1" t="s">
        <v>2411</v>
      </c>
      <c r="D552" s="1" t="s">
        <v>2412</v>
      </c>
      <c r="E552" s="1" t="s">
        <v>2413</v>
      </c>
      <c r="F552" s="2" t="str">
        <f>"0399235876"</f>
        <v>0399235876</v>
      </c>
      <c r="G552" s="2" t="str">
        <f>"9780399235870"</f>
        <v>9780399235870</v>
      </c>
      <c r="H552" s="1" t="s">
        <v>2253</v>
      </c>
      <c r="I552" s="1" t="s">
        <v>31</v>
      </c>
      <c r="J552" s="1">
        <v>32.0</v>
      </c>
      <c r="K552" s="1">
        <v>2004.0</v>
      </c>
      <c r="L552" s="1">
        <v>1995.0</v>
      </c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 t="s">
        <v>68</v>
      </c>
      <c r="Y552" s="1" t="s">
        <v>2414</v>
      </c>
    </row>
    <row r="553">
      <c r="A553" s="1">
        <v>2.571659E7</v>
      </c>
      <c r="B553" s="1" t="s">
        <v>2415</v>
      </c>
      <c r="C553" s="1" t="s">
        <v>2416</v>
      </c>
      <c r="D553" s="1" t="s">
        <v>2417</v>
      </c>
      <c r="F553" s="2" t="str">
        <f>"1984813897"</f>
        <v>1984813897</v>
      </c>
      <c r="G553" s="2" t="str">
        <f>"9781984813893"</f>
        <v>9781984813893</v>
      </c>
      <c r="H553" s="1" t="s">
        <v>2418</v>
      </c>
      <c r="I553" s="1" t="s">
        <v>31</v>
      </c>
      <c r="J553" s="1">
        <v>32.0</v>
      </c>
      <c r="K553" s="1">
        <v>2016.0</v>
      </c>
      <c r="L553" s="1">
        <v>2016.0</v>
      </c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 t="s">
        <v>68</v>
      </c>
      <c r="Y553" s="1" t="s">
        <v>2419</v>
      </c>
    </row>
    <row r="554">
      <c r="A554" s="1">
        <v>1050884.0</v>
      </c>
      <c r="B554" s="1" t="s">
        <v>2420</v>
      </c>
      <c r="C554" s="1" t="s">
        <v>2421</v>
      </c>
      <c r="D554" s="1" t="s">
        <v>2422</v>
      </c>
      <c r="E554" s="1" t="s">
        <v>2423</v>
      </c>
      <c r="F554" s="2" t="str">
        <f>"1598200941"</f>
        <v>1598200941</v>
      </c>
      <c r="G554" s="2" t="str">
        <f>"9781598200942"</f>
        <v>9781598200942</v>
      </c>
      <c r="H554" s="1" t="s">
        <v>2424</v>
      </c>
      <c r="I554" s="1" t="s">
        <v>31</v>
      </c>
      <c r="J554" s="1">
        <v>32.0</v>
      </c>
      <c r="K554" s="1">
        <v>2006.0</v>
      </c>
      <c r="L554" s="1">
        <v>2006.0</v>
      </c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 t="s">
        <v>245</v>
      </c>
      <c r="Y554" s="1" t="s">
        <v>2425</v>
      </c>
    </row>
    <row r="555">
      <c r="A555" s="1">
        <v>1294181.0</v>
      </c>
      <c r="B555" s="1" t="s">
        <v>2426</v>
      </c>
      <c r="C555" s="1" t="s">
        <v>2421</v>
      </c>
      <c r="D555" s="1" t="s">
        <v>2422</v>
      </c>
      <c r="F555" s="2" t="str">
        <f>"0888995393"</f>
        <v>0888995393</v>
      </c>
      <c r="G555" s="2" t="str">
        <f>"9780888995391"</f>
        <v>9780888995391</v>
      </c>
      <c r="H555" s="1" t="s">
        <v>2427</v>
      </c>
      <c r="I555" s="1" t="s">
        <v>31</v>
      </c>
      <c r="J555" s="1">
        <v>32.0</v>
      </c>
      <c r="K555" s="1">
        <v>2003.0</v>
      </c>
      <c r="L555" s="1">
        <v>2003.0</v>
      </c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 t="s">
        <v>109</v>
      </c>
      <c r="Y555" s="1" t="s">
        <v>2428</v>
      </c>
    </row>
    <row r="556">
      <c r="A556" s="1">
        <v>3.4991969E7</v>
      </c>
      <c r="B556" s="1" t="s">
        <v>2429</v>
      </c>
      <c r="C556" s="1" t="s">
        <v>2430</v>
      </c>
      <c r="D556" s="1" t="s">
        <v>2431</v>
      </c>
      <c r="E556" s="1" t="s">
        <v>2432</v>
      </c>
      <c r="F556" s="2" t="str">
        <f>"1558858547"</f>
        <v>1558858547</v>
      </c>
      <c r="G556" s="2" t="str">
        <f>"9781558858541"</f>
        <v>9781558858541</v>
      </c>
      <c r="H556" s="1" t="s">
        <v>2433</v>
      </c>
      <c r="I556" s="1" t="s">
        <v>31</v>
      </c>
      <c r="J556" s="1">
        <v>32.0</v>
      </c>
      <c r="K556" s="1">
        <v>2017.0</v>
      </c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 t="s">
        <v>61</v>
      </c>
      <c r="Y556" s="1" t="s">
        <v>2434</v>
      </c>
    </row>
    <row r="557">
      <c r="A557" s="1">
        <v>1.7981416E7</v>
      </c>
      <c r="B557" s="1" t="s">
        <v>2435</v>
      </c>
      <c r="C557" s="1" t="s">
        <v>2436</v>
      </c>
      <c r="D557" s="1" t="s">
        <v>2437</v>
      </c>
      <c r="F557" s="2" t="str">
        <f>"0545628199"</f>
        <v>0545628199</v>
      </c>
      <c r="G557" s="2" t="str">
        <f>"9780545628198"</f>
        <v>9780545628198</v>
      </c>
      <c r="H557" s="1" t="s">
        <v>817</v>
      </c>
      <c r="I557" s="1" t="s">
        <v>36</v>
      </c>
      <c r="J557" s="1">
        <v>32.0</v>
      </c>
      <c r="K557" s="1">
        <v>2014.0</v>
      </c>
      <c r="L557" s="1">
        <v>2014.0</v>
      </c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 t="s">
        <v>92</v>
      </c>
      <c r="Y557" s="1" t="s">
        <v>2438</v>
      </c>
    </row>
    <row r="558">
      <c r="A558" s="1">
        <v>2.0578953E7</v>
      </c>
      <c r="B558" s="1" t="s">
        <v>2439</v>
      </c>
      <c r="C558" s="1" t="s">
        <v>2440</v>
      </c>
      <c r="D558" s="1" t="s">
        <v>2441</v>
      </c>
      <c r="F558" s="2" t="str">
        <f>"0545493293"</f>
        <v>0545493293</v>
      </c>
      <c r="G558" s="2" t="str">
        <f>"9780545493291"</f>
        <v>9780545493291</v>
      </c>
      <c r="H558" s="1" t="s">
        <v>86</v>
      </c>
      <c r="I558" s="1" t="s">
        <v>31</v>
      </c>
      <c r="J558" s="1">
        <v>32.0</v>
      </c>
      <c r="K558" s="1">
        <v>2014.0</v>
      </c>
      <c r="L558" s="1">
        <v>2014.0</v>
      </c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 t="s">
        <v>1352</v>
      </c>
      <c r="Y558" s="1" t="s">
        <v>2442</v>
      </c>
    </row>
    <row r="559">
      <c r="A559" s="1">
        <v>6556148.0</v>
      </c>
      <c r="B559" s="1" t="s">
        <v>2443</v>
      </c>
      <c r="C559" s="1" t="s">
        <v>2440</v>
      </c>
      <c r="D559" s="1" t="s">
        <v>2441</v>
      </c>
      <c r="F559" s="2" t="str">
        <f>"0545110297"</f>
        <v>0545110297</v>
      </c>
      <c r="G559" s="2" t="str">
        <f>"9780545110297"</f>
        <v>9780545110297</v>
      </c>
      <c r="H559" s="1" t="s">
        <v>86</v>
      </c>
      <c r="I559" s="1" t="s">
        <v>31</v>
      </c>
      <c r="J559" s="1">
        <v>32.0</v>
      </c>
      <c r="K559" s="1">
        <v>2010.0</v>
      </c>
      <c r="L559" s="1">
        <v>2013.0</v>
      </c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 t="s">
        <v>1352</v>
      </c>
      <c r="Y559" s="1" t="s">
        <v>2444</v>
      </c>
    </row>
    <row r="560">
      <c r="A560" s="1">
        <v>4.3483655E7</v>
      </c>
      <c r="B560" s="1" t="s">
        <v>2445</v>
      </c>
      <c r="C560" s="1" t="s">
        <v>2440</v>
      </c>
      <c r="D560" s="1" t="s">
        <v>2441</v>
      </c>
      <c r="F560" s="2" t="str">
        <f>"1338566261"</f>
        <v>1338566261</v>
      </c>
      <c r="G560" s="2" t="str">
        <f>"9781338566260"</f>
        <v>9781338566260</v>
      </c>
      <c r="H560" s="1" t="s">
        <v>86</v>
      </c>
      <c r="I560" s="1" t="s">
        <v>31</v>
      </c>
      <c r="J560" s="1">
        <v>32.0</v>
      </c>
      <c r="K560" s="1">
        <v>2019.0</v>
      </c>
      <c r="L560" s="1">
        <v>2019.0</v>
      </c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 t="s">
        <v>1352</v>
      </c>
      <c r="Y560" s="1" t="s">
        <v>2446</v>
      </c>
    </row>
    <row r="561">
      <c r="A561" s="1">
        <v>1.6280885E7</v>
      </c>
      <c r="B561" s="1" t="s">
        <v>2447</v>
      </c>
      <c r="C561" s="1" t="s">
        <v>2440</v>
      </c>
      <c r="D561" s="1" t="s">
        <v>2441</v>
      </c>
      <c r="F561" s="2" t="str">
        <f>"0545493285"</f>
        <v>0545493285</v>
      </c>
      <c r="G561" s="2" t="str">
        <f>"9780545493284"</f>
        <v>9780545493284</v>
      </c>
      <c r="H561" s="1" t="s">
        <v>86</v>
      </c>
      <c r="I561" s="1" t="s">
        <v>31</v>
      </c>
      <c r="J561" s="1">
        <v>32.0</v>
      </c>
      <c r="K561" s="1">
        <v>2013.0</v>
      </c>
      <c r="L561" s="1">
        <v>2013.0</v>
      </c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 t="s">
        <v>1352</v>
      </c>
      <c r="Y561" s="1" t="s">
        <v>2448</v>
      </c>
    </row>
    <row r="562">
      <c r="A562" s="1">
        <v>2.4612559E7</v>
      </c>
      <c r="B562" s="1" t="s">
        <v>2449</v>
      </c>
      <c r="C562" s="1" t="s">
        <v>2440</v>
      </c>
      <c r="D562" s="1" t="s">
        <v>2441</v>
      </c>
      <c r="F562" s="2" t="str">
        <f>"0545662753"</f>
        <v>0545662753</v>
      </c>
      <c r="G562" s="2" t="str">
        <f>"9780545662758"</f>
        <v>9780545662758</v>
      </c>
      <c r="H562" s="1" t="s">
        <v>86</v>
      </c>
      <c r="I562" s="1" t="s">
        <v>31</v>
      </c>
      <c r="J562" s="1">
        <v>32.0</v>
      </c>
      <c r="K562" s="1">
        <v>2015.0</v>
      </c>
      <c r="L562" s="1">
        <v>2015.0</v>
      </c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 t="s">
        <v>1352</v>
      </c>
      <c r="Y562" s="1" t="s">
        <v>2450</v>
      </c>
    </row>
    <row r="563">
      <c r="A563" s="1">
        <v>6633716.0</v>
      </c>
      <c r="B563" s="1" t="s">
        <v>2451</v>
      </c>
      <c r="C563" s="1" t="s">
        <v>2440</v>
      </c>
      <c r="D563" s="1" t="s">
        <v>2441</v>
      </c>
      <c r="F563" s="2" t="str">
        <f>"0545110289"</f>
        <v>0545110289</v>
      </c>
      <c r="G563" s="2" t="str">
        <f>"9780545110280"</f>
        <v>9780545110280</v>
      </c>
      <c r="H563" s="1" t="s">
        <v>86</v>
      </c>
      <c r="I563" s="1" t="s">
        <v>31</v>
      </c>
      <c r="J563" s="1">
        <v>32.0</v>
      </c>
      <c r="K563" s="1">
        <v>2009.0</v>
      </c>
      <c r="L563" s="1">
        <v>2009.0</v>
      </c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 t="s">
        <v>1352</v>
      </c>
      <c r="Y563" s="1" t="s">
        <v>2452</v>
      </c>
    </row>
    <row r="564">
      <c r="A564" s="1">
        <v>6.0184471E7</v>
      </c>
      <c r="B564" s="1" t="s">
        <v>2453</v>
      </c>
      <c r="C564" s="1" t="s">
        <v>2440</v>
      </c>
      <c r="D564" s="1" t="s">
        <v>2441</v>
      </c>
      <c r="F564" s="2" t="str">
        <f>"1338769995"</f>
        <v>1338769995</v>
      </c>
      <c r="G564" s="2" t="str">
        <f>"9781338769999"</f>
        <v>9781338769999</v>
      </c>
      <c r="H564" s="1" t="s">
        <v>1575</v>
      </c>
      <c r="I564" s="1" t="s">
        <v>238</v>
      </c>
      <c r="J564" s="1">
        <v>32.0</v>
      </c>
      <c r="K564" s="1">
        <v>2021.0</v>
      </c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 t="s">
        <v>1352</v>
      </c>
      <c r="Y564" s="1" t="s">
        <v>2454</v>
      </c>
    </row>
    <row r="565">
      <c r="A565" s="1">
        <v>1224845.0</v>
      </c>
      <c r="B565" s="1" t="s">
        <v>2455</v>
      </c>
      <c r="C565" s="1" t="s">
        <v>2440</v>
      </c>
      <c r="D565" s="1" t="s">
        <v>2441</v>
      </c>
      <c r="F565" s="2" t="str">
        <f>"0140563628"</f>
        <v>0140563628</v>
      </c>
      <c r="G565" s="2" t="str">
        <f>"9780140563627"</f>
        <v>9780140563627</v>
      </c>
      <c r="H565" s="1" t="s">
        <v>753</v>
      </c>
      <c r="I565" s="1" t="s">
        <v>36</v>
      </c>
      <c r="J565" s="1">
        <v>32.0</v>
      </c>
      <c r="K565" s="1">
        <v>1998.0</v>
      </c>
      <c r="L565" s="1">
        <v>1993.0</v>
      </c>
    </row>
    <row r="566">
      <c r="A566" s="1">
        <v>4.3319619E7</v>
      </c>
      <c r="B566" s="1" t="s">
        <v>2456</v>
      </c>
      <c r="C566" s="1" t="s">
        <v>2440</v>
      </c>
      <c r="D566" s="1" t="s">
        <v>2441</v>
      </c>
      <c r="F566" s="2" t="str">
        <f>"1338353896"</f>
        <v>1338353896</v>
      </c>
      <c r="G566" s="2" t="str">
        <f>"9781338353891"</f>
        <v>9781338353891</v>
      </c>
      <c r="H566" s="1" t="s">
        <v>817</v>
      </c>
      <c r="I566" s="1" t="s">
        <v>36</v>
      </c>
      <c r="J566" s="1">
        <v>32.0</v>
      </c>
      <c r="K566" s="1">
        <v>2019.0</v>
      </c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 t="s">
        <v>1352</v>
      </c>
      <c r="Y566" s="1" t="s">
        <v>2457</v>
      </c>
    </row>
    <row r="567">
      <c r="A567" s="1">
        <v>3.6127505E7</v>
      </c>
      <c r="B567" s="1" t="s">
        <v>2458</v>
      </c>
      <c r="C567" s="1" t="s">
        <v>2440</v>
      </c>
      <c r="D567" s="1" t="s">
        <v>2441</v>
      </c>
      <c r="F567" s="2" t="str">
        <f>"1338217178"</f>
        <v>1338217178</v>
      </c>
      <c r="G567" s="2" t="str">
        <f>"9781338217179"</f>
        <v>9781338217179</v>
      </c>
      <c r="H567" s="1" t="s">
        <v>817</v>
      </c>
      <c r="I567" s="1" t="s">
        <v>36</v>
      </c>
      <c r="J567" s="1">
        <v>32.0</v>
      </c>
      <c r="K567" s="1">
        <v>2018.0</v>
      </c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 t="s">
        <v>1352</v>
      </c>
      <c r="Y567" s="1" t="s">
        <v>2459</v>
      </c>
    </row>
    <row r="568">
      <c r="A568" s="1">
        <v>2.2323645E7</v>
      </c>
      <c r="B568" s="1" t="s">
        <v>2460</v>
      </c>
      <c r="C568" s="1" t="s">
        <v>2440</v>
      </c>
      <c r="D568" s="1" t="s">
        <v>2441</v>
      </c>
      <c r="F568" s="2" t="str">
        <f>"0545757142"</f>
        <v>0545757142</v>
      </c>
      <c r="G568" s="2" t="str">
        <f>"9780545757140"</f>
        <v>9780545757140</v>
      </c>
      <c r="H568" s="1" t="s">
        <v>2461</v>
      </c>
      <c r="I568" s="1" t="s">
        <v>36</v>
      </c>
      <c r="J568" s="1">
        <v>32.0</v>
      </c>
      <c r="K568" s="1">
        <v>2015.0</v>
      </c>
      <c r="L568" s="1">
        <v>2015.0</v>
      </c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 t="s">
        <v>2462</v>
      </c>
      <c r="Y568" s="1" t="s">
        <v>2463</v>
      </c>
    </row>
    <row r="569">
      <c r="A569" s="1">
        <v>2.7882947E7</v>
      </c>
      <c r="B569" s="1" t="s">
        <v>2464</v>
      </c>
      <c r="C569" s="1" t="s">
        <v>2440</v>
      </c>
      <c r="D569" s="1" t="s">
        <v>2441</v>
      </c>
      <c r="F569" s="2" t="str">
        <f>"0545917379"</f>
        <v>0545917379</v>
      </c>
      <c r="G569" s="2" t="str">
        <f>"9780545917377"</f>
        <v>9780545917377</v>
      </c>
      <c r="H569" s="1" t="s">
        <v>817</v>
      </c>
      <c r="I569" s="1" t="s">
        <v>36</v>
      </c>
      <c r="J569" s="1">
        <v>32.0</v>
      </c>
      <c r="K569" s="1">
        <v>2016.0</v>
      </c>
      <c r="L569" s="1">
        <v>2016.0</v>
      </c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 t="s">
        <v>2462</v>
      </c>
      <c r="Y569" s="1" t="s">
        <v>2465</v>
      </c>
    </row>
    <row r="570">
      <c r="A570" s="1">
        <v>1.7265248E7</v>
      </c>
      <c r="B570" s="1" t="s">
        <v>2466</v>
      </c>
      <c r="C570" s="1" t="s">
        <v>2440</v>
      </c>
      <c r="D570" s="1" t="s">
        <v>2441</v>
      </c>
      <c r="F570" s="2" t="str">
        <f>"0545564921"</f>
        <v>0545564921</v>
      </c>
      <c r="G570" s="2" t="str">
        <f>"9780545564922"</f>
        <v>9780545564922</v>
      </c>
      <c r="H570" s="1" t="s">
        <v>2461</v>
      </c>
      <c r="I570" s="1" t="s">
        <v>36</v>
      </c>
      <c r="J570" s="1">
        <v>32.0</v>
      </c>
      <c r="K570" s="1">
        <v>2013.0</v>
      </c>
      <c r="L570" s="1">
        <v>2013.0</v>
      </c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 t="s">
        <v>2462</v>
      </c>
      <c r="Y570" s="1" t="s">
        <v>2467</v>
      </c>
    </row>
    <row r="571">
      <c r="A571" s="1">
        <v>3.9983679E7</v>
      </c>
      <c r="B571" s="1" t="s">
        <v>2468</v>
      </c>
      <c r="C571" s="1" t="s">
        <v>2440</v>
      </c>
      <c r="D571" s="1" t="s">
        <v>2441</v>
      </c>
      <c r="F571" s="2" t="str">
        <f>"1338217194"</f>
        <v>1338217194</v>
      </c>
      <c r="G571" s="2" t="str">
        <f>"9781338217193"</f>
        <v>9781338217193</v>
      </c>
      <c r="H571" s="1" t="s">
        <v>817</v>
      </c>
      <c r="I571" s="1" t="s">
        <v>36</v>
      </c>
      <c r="J571" s="1">
        <v>32.0</v>
      </c>
      <c r="K571" s="1">
        <v>2019.0</v>
      </c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 t="s">
        <v>2469</v>
      </c>
      <c r="Y571" s="1" t="s">
        <v>2470</v>
      </c>
    </row>
    <row r="572">
      <c r="A572" s="1">
        <v>2.0257171E7</v>
      </c>
      <c r="B572" s="1" t="s">
        <v>2471</v>
      </c>
      <c r="C572" s="1" t="s">
        <v>2440</v>
      </c>
      <c r="D572" s="1" t="s">
        <v>2441</v>
      </c>
      <c r="F572" s="2" t="str">
        <f>"0545631602"</f>
        <v>0545631602</v>
      </c>
      <c r="G572" s="2" t="str">
        <f>"9780545631600"</f>
        <v>9780545631600</v>
      </c>
      <c r="H572" s="1" t="s">
        <v>2461</v>
      </c>
      <c r="I572" s="1" t="s">
        <v>36</v>
      </c>
      <c r="J572" s="1">
        <v>32.0</v>
      </c>
      <c r="K572" s="1">
        <v>2014.0</v>
      </c>
      <c r="L572" s="1">
        <v>2014.0</v>
      </c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 t="s">
        <v>2462</v>
      </c>
      <c r="Y572" s="1" t="s">
        <v>2472</v>
      </c>
    </row>
    <row r="573">
      <c r="A573" s="1">
        <v>2.3604429E7</v>
      </c>
      <c r="B573" s="1" t="s">
        <v>2473</v>
      </c>
      <c r="C573" s="1" t="s">
        <v>2440</v>
      </c>
      <c r="D573" s="1" t="s">
        <v>2441</v>
      </c>
      <c r="F573" s="2" t="str">
        <f>"0545778131"</f>
        <v>0545778131</v>
      </c>
      <c r="G573" s="2" t="str">
        <f>"9780545778138"</f>
        <v>9780545778138</v>
      </c>
      <c r="H573" s="1" t="s">
        <v>2461</v>
      </c>
      <c r="I573" s="1" t="s">
        <v>36</v>
      </c>
      <c r="J573" s="1">
        <v>32.0</v>
      </c>
      <c r="K573" s="1">
        <v>2015.0</v>
      </c>
      <c r="L573" s="1">
        <v>2015.0</v>
      </c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 t="s">
        <v>2462</v>
      </c>
      <c r="Y573" s="1" t="s">
        <v>2474</v>
      </c>
    </row>
    <row r="574">
      <c r="A574" s="1">
        <v>1.6043635E7</v>
      </c>
      <c r="B574" s="1" t="s">
        <v>2475</v>
      </c>
      <c r="C574" s="1" t="s">
        <v>2440</v>
      </c>
      <c r="D574" s="1" t="s">
        <v>2441</v>
      </c>
      <c r="F574" s="2" t="str">
        <f>"0545507715"</f>
        <v>0545507715</v>
      </c>
      <c r="G574" s="2" t="str">
        <f>"9780545507714"</f>
        <v>9780545507714</v>
      </c>
      <c r="H574" s="1" t="s">
        <v>2476</v>
      </c>
      <c r="I574" s="1" t="s">
        <v>36</v>
      </c>
      <c r="J574" s="1">
        <v>32.0</v>
      </c>
      <c r="K574" s="1">
        <v>2013.0</v>
      </c>
      <c r="L574" s="1">
        <v>2013.0</v>
      </c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 t="s">
        <v>2477</v>
      </c>
      <c r="Y574" s="1" t="s">
        <v>2478</v>
      </c>
    </row>
    <row r="575">
      <c r="A575" s="1">
        <v>4.0537394E7</v>
      </c>
      <c r="B575" s="1" t="s">
        <v>2479</v>
      </c>
      <c r="C575" s="1" t="s">
        <v>2480</v>
      </c>
      <c r="D575" s="1" t="s">
        <v>2481</v>
      </c>
      <c r="E575" s="1" t="s">
        <v>2482</v>
      </c>
      <c r="F575" s="2" t="str">
        <f>"1484722833"</f>
        <v>1484722833</v>
      </c>
      <c r="G575" s="2" t="str">
        <f>"9781484722831"</f>
        <v>9781484722831</v>
      </c>
      <c r="H575" s="1" t="s">
        <v>112</v>
      </c>
      <c r="I575" s="1" t="s">
        <v>31</v>
      </c>
      <c r="J575" s="1">
        <v>32.0</v>
      </c>
      <c r="K575" s="1">
        <v>2019.0</v>
      </c>
      <c r="L575" s="1">
        <v>2019.0</v>
      </c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 t="s">
        <v>1317</v>
      </c>
      <c r="Y575" s="1" t="s">
        <v>2483</v>
      </c>
    </row>
    <row r="576">
      <c r="A576" s="1">
        <v>72598.0</v>
      </c>
      <c r="B576" s="1" t="s">
        <v>2484</v>
      </c>
      <c r="C576" s="1" t="s">
        <v>2485</v>
      </c>
      <c r="D576" s="1" t="s">
        <v>2486</v>
      </c>
      <c r="E576" s="1" t="s">
        <v>2487</v>
      </c>
      <c r="F576" s="2" t="str">
        <f>"0761101667"</f>
        <v>0761101667</v>
      </c>
      <c r="G576" s="2" t="str">
        <f>"9780761101666"</f>
        <v>9780761101666</v>
      </c>
      <c r="H576" s="1" t="s">
        <v>2488</v>
      </c>
      <c r="I576" s="1" t="s">
        <v>31</v>
      </c>
      <c r="J576" s="1">
        <v>32.0</v>
      </c>
      <c r="K576" s="1">
        <v>1995.0</v>
      </c>
      <c r="L576" s="1">
        <v>1995.0</v>
      </c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 t="s">
        <v>317</v>
      </c>
      <c r="Y576" s="1" t="s">
        <v>2489</v>
      </c>
    </row>
    <row r="577">
      <c r="A577" s="1">
        <v>971212.0</v>
      </c>
      <c r="B577" s="1" t="s">
        <v>2490</v>
      </c>
      <c r="C577" s="1" t="s">
        <v>1323</v>
      </c>
      <c r="D577" s="1" t="s">
        <v>1324</v>
      </c>
      <c r="F577" s="2" t="str">
        <f>"0375822305"</f>
        <v>0375822305</v>
      </c>
      <c r="G577" s="2" t="str">
        <f>"9780375822308"</f>
        <v>9780375822308</v>
      </c>
      <c r="H577" s="1" t="s">
        <v>156</v>
      </c>
      <c r="I577" s="1" t="s">
        <v>36</v>
      </c>
      <c r="J577" s="1">
        <v>32.0</v>
      </c>
      <c r="K577" s="1">
        <v>2003.0</v>
      </c>
      <c r="L577" s="1">
        <v>2003.0</v>
      </c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 t="s">
        <v>329</v>
      </c>
      <c r="Y577" s="1" t="s">
        <v>2491</v>
      </c>
    </row>
    <row r="578">
      <c r="A578" s="1">
        <v>1520041.0</v>
      </c>
      <c r="B578" s="1" t="s">
        <v>2492</v>
      </c>
      <c r="C578" s="1" t="s">
        <v>1323</v>
      </c>
      <c r="D578" s="1" t="s">
        <v>1324</v>
      </c>
      <c r="F578" s="2" t="str">
        <f>"0375831185"</f>
        <v>0375831185</v>
      </c>
      <c r="G578" s="2" t="str">
        <f>"9780375831188"</f>
        <v>9780375831188</v>
      </c>
      <c r="H578" s="1" t="s">
        <v>156</v>
      </c>
      <c r="I578" s="1" t="s">
        <v>36</v>
      </c>
      <c r="J578" s="1">
        <v>32.0</v>
      </c>
      <c r="K578" s="1">
        <v>2005.0</v>
      </c>
      <c r="L578" s="1">
        <v>2005.0</v>
      </c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 t="s">
        <v>329</v>
      </c>
      <c r="Y578" s="1" t="s">
        <v>2493</v>
      </c>
    </row>
    <row r="579">
      <c r="A579" s="1">
        <v>571250.0</v>
      </c>
      <c r="B579" s="1" t="s">
        <v>2494</v>
      </c>
      <c r="C579" s="1" t="s">
        <v>119</v>
      </c>
      <c r="D579" s="1" t="s">
        <v>120</v>
      </c>
      <c r="E579" s="1" t="s">
        <v>2495</v>
      </c>
      <c r="F579" s="2" t="str">
        <f>"0689718624"</f>
        <v>0689718624</v>
      </c>
      <c r="G579" s="2" t="str">
        <f>"9780689718625"</f>
        <v>9780689718625</v>
      </c>
      <c r="H579" s="1" t="s">
        <v>2496</v>
      </c>
      <c r="I579" s="1" t="s">
        <v>36</v>
      </c>
      <c r="J579" s="1">
        <v>32.0</v>
      </c>
      <c r="K579" s="1">
        <v>1994.0</v>
      </c>
      <c r="L579" s="1">
        <v>1990.0</v>
      </c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 t="s">
        <v>68</v>
      </c>
      <c r="Y579" s="1" t="s">
        <v>2497</v>
      </c>
    </row>
    <row r="580">
      <c r="A580" s="1">
        <v>4611779.0</v>
      </c>
      <c r="B580" s="1" t="s">
        <v>2498</v>
      </c>
      <c r="C580" s="1" t="s">
        <v>2499</v>
      </c>
      <c r="D580" s="1" t="s">
        <v>2500</v>
      </c>
      <c r="F580" s="2" t="str">
        <f>"1426303092"</f>
        <v>1426303092</v>
      </c>
      <c r="G580" s="2" t="str">
        <f>"9781426303098"</f>
        <v>9781426303098</v>
      </c>
      <c r="H580" s="1" t="s">
        <v>2501</v>
      </c>
      <c r="I580" s="1" t="s">
        <v>31</v>
      </c>
      <c r="J580" s="1">
        <v>32.0</v>
      </c>
      <c r="K580" s="1">
        <v>2008.0</v>
      </c>
      <c r="L580" s="1">
        <v>2008.0</v>
      </c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 t="s">
        <v>1356</v>
      </c>
      <c r="Y580" s="1" t="s">
        <v>2502</v>
      </c>
    </row>
    <row r="581">
      <c r="A581" s="1">
        <v>2992160.0</v>
      </c>
      <c r="B581" s="1" t="s">
        <v>2503</v>
      </c>
      <c r="C581" s="1" t="s">
        <v>2504</v>
      </c>
      <c r="D581" s="1" t="s">
        <v>2505</v>
      </c>
      <c r="F581" s="2" t="str">
        <f>"0606299181"</f>
        <v>0606299181</v>
      </c>
      <c r="G581" s="2" t="str">
        <f>"9780606299183"</f>
        <v>9780606299183</v>
      </c>
      <c r="H581" s="1" t="s">
        <v>274</v>
      </c>
      <c r="I581" s="1" t="s">
        <v>91</v>
      </c>
      <c r="J581" s="1">
        <v>32.0</v>
      </c>
      <c r="K581" s="1">
        <v>2004.0</v>
      </c>
      <c r="L581" s="1">
        <v>2003.0</v>
      </c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 t="s">
        <v>1235</v>
      </c>
      <c r="Y581" s="1" t="s">
        <v>2506</v>
      </c>
    </row>
    <row r="582">
      <c r="A582" s="1">
        <v>3497115.0</v>
      </c>
      <c r="B582" s="1" t="s">
        <v>2507</v>
      </c>
      <c r="C582" s="1" t="s">
        <v>2508</v>
      </c>
      <c r="D582" s="1" t="s">
        <v>2509</v>
      </c>
      <c r="F582" s="2" t="str">
        <f>"006025467X"</f>
        <v>006025467X</v>
      </c>
      <c r="G582" s="2" t="str">
        <f>"9780060254674"</f>
        <v>9780060254674</v>
      </c>
      <c r="H582" s="1" t="s">
        <v>263</v>
      </c>
      <c r="I582" s="1" t="s">
        <v>31</v>
      </c>
      <c r="J582" s="1">
        <v>32.0</v>
      </c>
      <c r="K582" s="1">
        <v>1995.0</v>
      </c>
      <c r="L582" s="1">
        <v>1971.0</v>
      </c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 t="s">
        <v>116</v>
      </c>
      <c r="Y582" s="1" t="s">
        <v>2510</v>
      </c>
    </row>
    <row r="583">
      <c r="A583" s="1">
        <v>1480352.0</v>
      </c>
      <c r="B583" s="1" t="s">
        <v>2511</v>
      </c>
      <c r="C583" s="1" t="s">
        <v>2512</v>
      </c>
      <c r="D583" s="1" t="s">
        <v>2513</v>
      </c>
      <c r="E583" s="1" t="s">
        <v>2514</v>
      </c>
      <c r="F583" s="2" t="str">
        <f>"1880000725"</f>
        <v>1880000725</v>
      </c>
      <c r="G583" s="2" t="str">
        <f>"9781880000724"</f>
        <v>9781880000724</v>
      </c>
      <c r="H583" s="1" t="s">
        <v>2515</v>
      </c>
      <c r="I583" s="1" t="s">
        <v>36</v>
      </c>
      <c r="J583" s="1">
        <v>32.0</v>
      </c>
      <c r="K583" s="1">
        <v>2013.0</v>
      </c>
      <c r="L583" s="1">
        <v>1996.0</v>
      </c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 t="s">
        <v>1195</v>
      </c>
      <c r="Y583" s="1" t="s">
        <v>2516</v>
      </c>
    </row>
    <row r="584">
      <c r="A584" s="1">
        <v>2.9563563E7</v>
      </c>
      <c r="B584" s="1" t="s">
        <v>2517</v>
      </c>
      <c r="C584" s="1" t="s">
        <v>2518</v>
      </c>
      <c r="D584" s="1" t="s">
        <v>2519</v>
      </c>
      <c r="F584" s="2" t="str">
        <f>"1338112902"</f>
        <v>1338112902</v>
      </c>
      <c r="G584" s="2" t="str">
        <f>"9781338112900"</f>
        <v>9781338112900</v>
      </c>
      <c r="H584" s="1" t="s">
        <v>817</v>
      </c>
      <c r="I584" s="1" t="s">
        <v>36</v>
      </c>
      <c r="J584" s="1">
        <v>32.0</v>
      </c>
      <c r="K584" s="1">
        <v>2016.0</v>
      </c>
      <c r="L584" s="1">
        <v>2016.0</v>
      </c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 t="s">
        <v>83</v>
      </c>
      <c r="Y584" s="1" t="s">
        <v>2520</v>
      </c>
    </row>
    <row r="585">
      <c r="A585" s="1">
        <v>1902419.0</v>
      </c>
      <c r="B585" s="1" t="s">
        <v>2521</v>
      </c>
      <c r="C585" s="1" t="s">
        <v>2522</v>
      </c>
      <c r="D585" s="1" t="s">
        <v>2523</v>
      </c>
      <c r="E585" s="1" t="s">
        <v>2524</v>
      </c>
      <c r="F585" s="2" t="str">
        <f>"0399246428"</f>
        <v>0399246428</v>
      </c>
      <c r="G585" s="2" t="str">
        <f>"9780399246425"</f>
        <v>9780399246425</v>
      </c>
      <c r="H585" s="1" t="s">
        <v>2525</v>
      </c>
      <c r="I585" s="1" t="s">
        <v>31</v>
      </c>
      <c r="J585" s="1">
        <v>32.0</v>
      </c>
      <c r="K585" s="1">
        <v>2007.0</v>
      </c>
      <c r="L585" s="1">
        <v>2007.0</v>
      </c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 t="s">
        <v>363</v>
      </c>
      <c r="Y585" s="1" t="s">
        <v>2526</v>
      </c>
    </row>
    <row r="586">
      <c r="A586" s="1">
        <v>3.4144489E7</v>
      </c>
      <c r="B586" s="1" t="s">
        <v>2527</v>
      </c>
      <c r="C586" s="1" t="s">
        <v>2528</v>
      </c>
      <c r="D586" s="1" t="s">
        <v>2529</v>
      </c>
      <c r="E586" s="1" t="s">
        <v>2530</v>
      </c>
      <c r="F586" s="2" t="str">
        <f t="shared" ref="F586:G586" si="90">""</f>
        <v/>
      </c>
      <c r="G586" s="2" t="str">
        <f t="shared" si="90"/>
        <v/>
      </c>
      <c r="H586" s="1" t="s">
        <v>2531</v>
      </c>
      <c r="I586" s="1" t="s">
        <v>31</v>
      </c>
      <c r="J586" s="1">
        <v>32.0</v>
      </c>
      <c r="K586" s="1">
        <v>2017.0</v>
      </c>
      <c r="L586" s="1">
        <v>2017.0</v>
      </c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 t="s">
        <v>1024</v>
      </c>
      <c r="Y586" s="1" t="s">
        <v>2532</v>
      </c>
    </row>
    <row r="587">
      <c r="A587" s="1">
        <v>8073.0</v>
      </c>
      <c r="B587" s="1" t="s">
        <v>2533</v>
      </c>
      <c r="C587" s="1" t="s">
        <v>2534</v>
      </c>
      <c r="D587" s="1" t="s">
        <v>2535</v>
      </c>
      <c r="E587" s="1" t="s">
        <v>2536</v>
      </c>
      <c r="F587" s="2" t="str">
        <f>"0689707495"</f>
        <v>0689707495</v>
      </c>
      <c r="G587" s="2" t="str">
        <f>"9780689707490"</f>
        <v>9780689707490</v>
      </c>
      <c r="H587" s="1" t="s">
        <v>2537</v>
      </c>
      <c r="I587" s="1" t="s">
        <v>36</v>
      </c>
      <c r="J587" s="1">
        <v>32.0</v>
      </c>
      <c r="K587" s="1">
        <v>1982.0</v>
      </c>
      <c r="L587" s="1">
        <v>1978.0</v>
      </c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 t="s">
        <v>2538</v>
      </c>
      <c r="Y587" s="1" t="s">
        <v>2539</v>
      </c>
    </row>
    <row r="588">
      <c r="A588" s="1">
        <v>473361.0</v>
      </c>
      <c r="B588" s="1" t="s">
        <v>2540</v>
      </c>
      <c r="C588" s="1" t="s">
        <v>2534</v>
      </c>
      <c r="D588" s="1" t="s">
        <v>2535</v>
      </c>
      <c r="E588" s="1" t="s">
        <v>2536</v>
      </c>
      <c r="F588" s="2" t="str">
        <f>"0689708076"</f>
        <v>0689708076</v>
      </c>
      <c r="G588" s="2" t="str">
        <f>"9780689708077"</f>
        <v>9780689708077</v>
      </c>
      <c r="H588" s="1" t="s">
        <v>2537</v>
      </c>
      <c r="I588" s="1" t="s">
        <v>36</v>
      </c>
      <c r="J588" s="1">
        <v>32.0</v>
      </c>
      <c r="K588" s="1">
        <v>1988.0</v>
      </c>
      <c r="L588" s="1">
        <v>1970.0</v>
      </c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 t="s">
        <v>2541</v>
      </c>
      <c r="Y588" s="1" t="s">
        <v>2542</v>
      </c>
    </row>
    <row r="589">
      <c r="A589" s="1">
        <v>2.9934235E7</v>
      </c>
      <c r="B589" s="1" t="s">
        <v>2543</v>
      </c>
      <c r="C589" s="1" t="s">
        <v>2544</v>
      </c>
      <c r="D589" s="1" t="s">
        <v>2545</v>
      </c>
      <c r="F589" s="2" t="str">
        <f>"149980444X"</f>
        <v>149980444X</v>
      </c>
      <c r="G589" s="2" t="str">
        <f>"9781499804447"</f>
        <v>9781499804447</v>
      </c>
      <c r="H589" s="1" t="s">
        <v>2546</v>
      </c>
      <c r="I589" s="1" t="s">
        <v>31</v>
      </c>
      <c r="J589" s="1">
        <v>32.0</v>
      </c>
      <c r="K589" s="1">
        <v>2016.0</v>
      </c>
      <c r="L589" s="1">
        <v>2016.0</v>
      </c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 t="s">
        <v>412</v>
      </c>
      <c r="Y589" s="1" t="s">
        <v>2547</v>
      </c>
    </row>
    <row r="590">
      <c r="A590" s="1">
        <v>2.6067617E7</v>
      </c>
      <c r="B590" s="1" t="s">
        <v>2548</v>
      </c>
      <c r="C590" s="1" t="s">
        <v>138</v>
      </c>
      <c r="D590" s="1" t="s">
        <v>139</v>
      </c>
      <c r="E590" s="1" t="s">
        <v>2549</v>
      </c>
      <c r="F590" s="2" t="str">
        <f>"1580892973"</f>
        <v>1580892973</v>
      </c>
      <c r="G590" s="2" t="str">
        <f>"9781580892971"</f>
        <v>9781580892971</v>
      </c>
      <c r="H590" s="1" t="s">
        <v>2550</v>
      </c>
      <c r="I590" s="1" t="s">
        <v>31</v>
      </c>
      <c r="J590" s="1">
        <v>32.0</v>
      </c>
      <c r="K590" s="1">
        <v>2016.0</v>
      </c>
      <c r="L590" s="1">
        <v>2016.0</v>
      </c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 t="s">
        <v>1024</v>
      </c>
      <c r="Y590" s="1" t="s">
        <v>2551</v>
      </c>
    </row>
    <row r="591">
      <c r="A591" s="1">
        <v>478773.0</v>
      </c>
      <c r="B591" s="1" t="s">
        <v>2552</v>
      </c>
      <c r="C591" s="1" t="s">
        <v>2553</v>
      </c>
      <c r="D591" s="1" t="s">
        <v>2554</v>
      </c>
      <c r="E591" s="1" t="s">
        <v>2555</v>
      </c>
      <c r="F591" s="2" t="str">
        <f>"0811850641"</f>
        <v>0811850641</v>
      </c>
      <c r="G591" s="2" t="str">
        <f>"9780811850643"</f>
        <v>9780811850643</v>
      </c>
      <c r="H591" s="1" t="s">
        <v>1593</v>
      </c>
      <c r="I591" s="1" t="s">
        <v>36</v>
      </c>
      <c r="J591" s="1">
        <v>32.0</v>
      </c>
      <c r="K591" s="1">
        <v>2006.0</v>
      </c>
      <c r="L591" s="1">
        <v>2006.0</v>
      </c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 t="s">
        <v>61</v>
      </c>
      <c r="Y591" s="1" t="s">
        <v>2556</v>
      </c>
    </row>
    <row r="592">
      <c r="A592" s="1">
        <v>320154.0</v>
      </c>
      <c r="B592" s="1" t="s">
        <v>2557</v>
      </c>
      <c r="C592" s="1" t="s">
        <v>2558</v>
      </c>
      <c r="D592" s="1" t="s">
        <v>2559</v>
      </c>
      <c r="E592" s="1" t="s">
        <v>2560</v>
      </c>
      <c r="F592" s="2" t="str">
        <f>"1416953973"</f>
        <v>1416953973</v>
      </c>
      <c r="G592" s="2" t="str">
        <f>"9780689710513"</f>
        <v>9780689710513</v>
      </c>
      <c r="H592" s="1" t="s">
        <v>2496</v>
      </c>
      <c r="I592" s="1" t="s">
        <v>36</v>
      </c>
      <c r="J592" s="1">
        <v>32.0</v>
      </c>
      <c r="K592" s="1">
        <v>1985.0</v>
      </c>
      <c r="L592" s="1">
        <v>1974.0</v>
      </c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 t="s">
        <v>2254</v>
      </c>
      <c r="Y592" s="1" t="s">
        <v>2561</v>
      </c>
    </row>
    <row r="593">
      <c r="A593" s="1">
        <v>1.729022E7</v>
      </c>
      <c r="B593" s="1" t="s">
        <v>2562</v>
      </c>
      <c r="C593" s="1" t="s">
        <v>2563</v>
      </c>
      <c r="D593" s="1" t="s">
        <v>2564</v>
      </c>
      <c r="E593" s="1" t="s">
        <v>2565</v>
      </c>
      <c r="F593" s="2" t="str">
        <f>"1419708457"</f>
        <v>1419708457</v>
      </c>
      <c r="G593" s="2" t="str">
        <f>"9781419708459"</f>
        <v>9781419708459</v>
      </c>
      <c r="H593" s="1" t="s">
        <v>145</v>
      </c>
      <c r="I593" s="1" t="s">
        <v>31</v>
      </c>
      <c r="J593" s="1">
        <v>32.0</v>
      </c>
      <c r="K593" s="1">
        <v>2013.0</v>
      </c>
      <c r="L593" s="1">
        <v>2013.0</v>
      </c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 t="s">
        <v>1195</v>
      </c>
      <c r="Y593" s="1" t="s">
        <v>2566</v>
      </c>
    </row>
    <row r="594">
      <c r="A594" s="1">
        <v>2.8507895E7</v>
      </c>
      <c r="B594" s="1" t="s">
        <v>2567</v>
      </c>
      <c r="C594" s="1" t="s">
        <v>2563</v>
      </c>
      <c r="D594" s="1" t="s">
        <v>2564</v>
      </c>
      <c r="E594" s="1" t="s">
        <v>2565</v>
      </c>
      <c r="F594" s="2" t="str">
        <f>"1419721372"</f>
        <v>1419721372</v>
      </c>
      <c r="G594" s="2" t="str">
        <f>"9781419721373"</f>
        <v>9781419721373</v>
      </c>
      <c r="H594" s="1" t="s">
        <v>2568</v>
      </c>
      <c r="I594" s="1" t="s">
        <v>31</v>
      </c>
      <c r="J594" s="1">
        <v>32.0</v>
      </c>
      <c r="K594" s="1">
        <v>2016.0</v>
      </c>
      <c r="L594" s="1">
        <v>2016.0</v>
      </c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 t="s">
        <v>1195</v>
      </c>
      <c r="Y594" s="1" t="s">
        <v>2569</v>
      </c>
    </row>
    <row r="595">
      <c r="A595" s="1">
        <v>8739824.0</v>
      </c>
      <c r="B595" s="1" t="s">
        <v>2570</v>
      </c>
      <c r="C595" s="1" t="s">
        <v>2571</v>
      </c>
      <c r="D595" s="1" t="s">
        <v>2572</v>
      </c>
      <c r="E595" s="1" t="s">
        <v>2573</v>
      </c>
      <c r="F595" s="2" t="str">
        <f>"015204969X"</f>
        <v>015204969X</v>
      </c>
      <c r="G595" s="2" t="str">
        <f>"9780152049690"</f>
        <v>9780152049690</v>
      </c>
      <c r="H595" s="1" t="s">
        <v>1710</v>
      </c>
      <c r="I595" s="1" t="s">
        <v>31</v>
      </c>
      <c r="J595" s="1">
        <v>32.0</v>
      </c>
      <c r="K595" s="1">
        <v>2011.0</v>
      </c>
      <c r="L595" s="1">
        <v>2011.0</v>
      </c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 t="s">
        <v>1225</v>
      </c>
      <c r="Y595" s="1" t="s">
        <v>2574</v>
      </c>
    </row>
    <row r="596">
      <c r="A596" s="1">
        <v>1.7432336E7</v>
      </c>
      <c r="B596" s="1" t="s">
        <v>2575</v>
      </c>
      <c r="C596" s="1" t="s">
        <v>2576</v>
      </c>
      <c r="D596" s="1" t="s">
        <v>2577</v>
      </c>
      <c r="F596" s="2" t="str">
        <f>"1465401830"</f>
        <v>1465401830</v>
      </c>
      <c r="G596" s="2" t="str">
        <f>"9781465401830"</f>
        <v>9781465401830</v>
      </c>
      <c r="H596" s="1" t="s">
        <v>1089</v>
      </c>
      <c r="I596" s="1" t="s">
        <v>31</v>
      </c>
      <c r="J596" s="1">
        <v>32.0</v>
      </c>
      <c r="K596" s="1">
        <v>2013.0</v>
      </c>
      <c r="L596" s="1">
        <v>2013.0</v>
      </c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 t="s">
        <v>51</v>
      </c>
      <c r="Y596" s="1" t="s">
        <v>2578</v>
      </c>
    </row>
    <row r="597">
      <c r="A597" s="1">
        <v>1287540.0</v>
      </c>
      <c r="B597" s="1" t="s">
        <v>2579</v>
      </c>
      <c r="C597" s="1" t="s">
        <v>2580</v>
      </c>
      <c r="D597" s="1" t="s">
        <v>2581</v>
      </c>
      <c r="F597" s="2" t="str">
        <f>"0670806668"</f>
        <v>0670806668</v>
      </c>
      <c r="G597" s="2" t="str">
        <f>"9780670806669"</f>
        <v>9780670806669</v>
      </c>
      <c r="H597" s="1" t="s">
        <v>2582</v>
      </c>
      <c r="I597" s="1" t="s">
        <v>31</v>
      </c>
      <c r="J597" s="1">
        <v>32.0</v>
      </c>
      <c r="K597" s="1">
        <v>1985.0</v>
      </c>
      <c r="L597" s="1">
        <v>1956.0</v>
      </c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 t="s">
        <v>863</v>
      </c>
      <c r="Y597" s="1" t="s">
        <v>2583</v>
      </c>
    </row>
    <row r="598">
      <c r="A598" s="1">
        <v>6799636.0</v>
      </c>
      <c r="B598" s="1" t="s">
        <v>2584</v>
      </c>
      <c r="C598" s="1" t="s">
        <v>2585</v>
      </c>
      <c r="D598" s="1" t="s">
        <v>2586</v>
      </c>
      <c r="E598" s="1" t="s">
        <v>2587</v>
      </c>
      <c r="F598" s="2" t="str">
        <f>"1599903113"</f>
        <v>1599903113</v>
      </c>
      <c r="G598" s="2" t="str">
        <f>"9781599903118"</f>
        <v>9781599903118</v>
      </c>
      <c r="H598" s="1" t="s">
        <v>2588</v>
      </c>
      <c r="I598" s="1" t="s">
        <v>31</v>
      </c>
      <c r="J598" s="1">
        <v>32.0</v>
      </c>
      <c r="K598" s="1">
        <v>2010.0</v>
      </c>
      <c r="L598" s="1">
        <v>2009.0</v>
      </c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 t="s">
        <v>68</v>
      </c>
      <c r="Y598" s="1" t="s">
        <v>2589</v>
      </c>
    </row>
    <row r="599">
      <c r="A599" s="1">
        <v>3511117.0</v>
      </c>
      <c r="B599" s="1" t="s">
        <v>2590</v>
      </c>
      <c r="C599" s="1" t="s">
        <v>2591</v>
      </c>
      <c r="D599" s="1" t="s">
        <v>2592</v>
      </c>
      <c r="E599" s="1" t="s">
        <v>2593</v>
      </c>
      <c r="F599" s="2" t="str">
        <f>"0399212930"</f>
        <v>0399212930</v>
      </c>
      <c r="G599" s="2" t="str">
        <f>"9780399212932"</f>
        <v>9780399212932</v>
      </c>
      <c r="H599" s="1" t="s">
        <v>2594</v>
      </c>
      <c r="I599" s="1" t="s">
        <v>31</v>
      </c>
      <c r="J599" s="1">
        <v>32.0</v>
      </c>
      <c r="K599" s="1">
        <v>1986.0</v>
      </c>
      <c r="L599" s="1">
        <v>1986.0</v>
      </c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 t="s">
        <v>863</v>
      </c>
      <c r="Y599" s="1" t="s">
        <v>2595</v>
      </c>
    </row>
    <row r="600">
      <c r="A600" s="1">
        <v>1.0306788E7</v>
      </c>
      <c r="B600" s="1" t="s">
        <v>2596</v>
      </c>
      <c r="C600" s="1" t="s">
        <v>2597</v>
      </c>
      <c r="D600" s="1" t="s">
        <v>2598</v>
      </c>
      <c r="E600" s="1" t="s">
        <v>2599</v>
      </c>
      <c r="F600" s="2" t="str">
        <f>"0803736983"</f>
        <v>0803736983</v>
      </c>
      <c r="G600" s="2" t="str">
        <f>"9780803736986"</f>
        <v>9780803736986</v>
      </c>
      <c r="H600" s="1" t="s">
        <v>2600</v>
      </c>
      <c r="I600" s="1" t="s">
        <v>31</v>
      </c>
      <c r="J600" s="1">
        <v>32.0</v>
      </c>
      <c r="K600" s="1">
        <v>2011.0</v>
      </c>
      <c r="L600" s="1">
        <v>2011.0</v>
      </c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 t="s">
        <v>405</v>
      </c>
      <c r="Y600" s="1" t="s">
        <v>2601</v>
      </c>
    </row>
    <row r="601">
      <c r="A601" s="1">
        <v>1.3607743E7</v>
      </c>
      <c r="B601" s="1" t="s">
        <v>2602</v>
      </c>
      <c r="C601" s="1" t="s">
        <v>2597</v>
      </c>
      <c r="D601" s="1" t="s">
        <v>2598</v>
      </c>
      <c r="E601" s="1" t="s">
        <v>2603</v>
      </c>
      <c r="F601" s="2" t="str">
        <f>"1445457415"</f>
        <v>1445457415</v>
      </c>
      <c r="G601" s="2" t="str">
        <f>"9781445457413"</f>
        <v>9781445457413</v>
      </c>
      <c r="H601" s="1" t="s">
        <v>2105</v>
      </c>
      <c r="I601" s="1" t="s">
        <v>31</v>
      </c>
      <c r="J601" s="1">
        <v>32.0</v>
      </c>
      <c r="K601" s="1">
        <v>2011.0</v>
      </c>
      <c r="L601" s="1">
        <v>2011.0</v>
      </c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 t="s">
        <v>323</v>
      </c>
      <c r="Y601" s="1" t="s">
        <v>2604</v>
      </c>
    </row>
    <row r="602">
      <c r="A602" s="1">
        <v>1.10554958E8</v>
      </c>
      <c r="B602" s="1" t="s">
        <v>2605</v>
      </c>
      <c r="C602" s="1" t="s">
        <v>2606</v>
      </c>
      <c r="D602" s="1" t="s">
        <v>2607</v>
      </c>
      <c r="F602" s="2" t="str">
        <f>"0310756596"</f>
        <v>0310756596</v>
      </c>
      <c r="G602" s="2" t="str">
        <f>"9780310756590"</f>
        <v>9780310756590</v>
      </c>
      <c r="H602" s="1" t="s">
        <v>2608</v>
      </c>
      <c r="I602" s="1" t="s">
        <v>238</v>
      </c>
      <c r="J602" s="1">
        <v>32.0</v>
      </c>
      <c r="K602" s="1">
        <v>2016.0</v>
      </c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 t="s">
        <v>1219</v>
      </c>
      <c r="Y602" s="1" t="s">
        <v>2609</v>
      </c>
    </row>
    <row r="603">
      <c r="A603" s="1">
        <v>7973687.0</v>
      </c>
      <c r="B603" s="1" t="s">
        <v>2610</v>
      </c>
      <c r="C603" s="1" t="s">
        <v>2606</v>
      </c>
      <c r="D603" s="1" t="s">
        <v>2607</v>
      </c>
      <c r="E603" s="1" t="s">
        <v>2611</v>
      </c>
      <c r="F603" s="2" t="str">
        <f>"0310712572"</f>
        <v>0310712572</v>
      </c>
      <c r="G603" s="2" t="str">
        <f>"9780310712572"</f>
        <v>9780310712572</v>
      </c>
      <c r="H603" s="1" t="s">
        <v>2608</v>
      </c>
      <c r="I603" s="1" t="s">
        <v>36</v>
      </c>
      <c r="J603" s="1">
        <v>32.0</v>
      </c>
      <c r="K603" s="1">
        <v>2010.0</v>
      </c>
      <c r="L603" s="1">
        <v>2010.0</v>
      </c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 t="s">
        <v>1219</v>
      </c>
      <c r="Y603" s="1" t="s">
        <v>2612</v>
      </c>
    </row>
    <row r="604">
      <c r="A604" s="1">
        <v>263634.0</v>
      </c>
      <c r="B604" s="1" t="s">
        <v>2613</v>
      </c>
      <c r="C604" s="1" t="s">
        <v>2614</v>
      </c>
      <c r="D604" s="1" t="s">
        <v>2615</v>
      </c>
      <c r="E604" s="1" t="s">
        <v>2606</v>
      </c>
      <c r="F604" s="2" t="str">
        <f>"0679887199"</f>
        <v>0679887199</v>
      </c>
      <c r="G604" s="2" t="str">
        <f>"9780679887195"</f>
        <v>9780679887195</v>
      </c>
      <c r="H604" s="1" t="s">
        <v>1565</v>
      </c>
      <c r="I604" s="1" t="s">
        <v>36</v>
      </c>
      <c r="J604" s="1">
        <v>32.0</v>
      </c>
      <c r="K604" s="1">
        <v>1998.0</v>
      </c>
      <c r="L604" s="1">
        <v>1998.0</v>
      </c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 t="s">
        <v>83</v>
      </c>
      <c r="Y604" s="1" t="s">
        <v>2616</v>
      </c>
    </row>
    <row r="605">
      <c r="A605" s="1">
        <v>1.852579E7</v>
      </c>
      <c r="B605" s="1" t="s">
        <v>2617</v>
      </c>
      <c r="C605" s="1" t="s">
        <v>2618</v>
      </c>
      <c r="D605" s="1" t="s">
        <v>2619</v>
      </c>
      <c r="E605" s="1" t="s">
        <v>2620</v>
      </c>
      <c r="F605" s="2" t="str">
        <f>"0385371438"</f>
        <v>0385371438</v>
      </c>
      <c r="G605" s="2" t="str">
        <f>"9780385371438"</f>
        <v>9780385371438</v>
      </c>
      <c r="H605" s="1" t="s">
        <v>156</v>
      </c>
      <c r="I605" s="1" t="s">
        <v>36</v>
      </c>
      <c r="J605" s="1">
        <v>32.0</v>
      </c>
      <c r="K605" s="1">
        <v>2014.0</v>
      </c>
      <c r="L605" s="1">
        <v>2014.0</v>
      </c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 t="s">
        <v>83</v>
      </c>
      <c r="Y605" s="1" t="s">
        <v>2621</v>
      </c>
    </row>
    <row r="606">
      <c r="A606" s="1">
        <v>1.9092573E7</v>
      </c>
      <c r="B606" s="1" t="s">
        <v>2622</v>
      </c>
      <c r="C606" s="1" t="s">
        <v>1153</v>
      </c>
      <c r="D606" s="1" t="s">
        <v>1154</v>
      </c>
      <c r="F606" s="2" t="str">
        <f>"1627183337"</f>
        <v>1627183337</v>
      </c>
      <c r="G606" s="2" t="str">
        <f>"9781627183338"</f>
        <v>9781627183338</v>
      </c>
      <c r="H606" s="1" t="s">
        <v>1161</v>
      </c>
      <c r="I606" s="1" t="s">
        <v>238</v>
      </c>
      <c r="J606" s="1">
        <v>32.0</v>
      </c>
      <c r="K606" s="1">
        <v>2013.0</v>
      </c>
      <c r="L606" s="1">
        <v>1996.0</v>
      </c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 t="s">
        <v>1156</v>
      </c>
      <c r="Y606" s="1" t="s">
        <v>2623</v>
      </c>
    </row>
    <row r="607">
      <c r="A607" s="1">
        <v>8.5764973E7</v>
      </c>
      <c r="B607" s="1" t="s">
        <v>2624</v>
      </c>
      <c r="C607" s="1" t="s">
        <v>2625</v>
      </c>
      <c r="D607" s="1" t="s">
        <v>2626</v>
      </c>
      <c r="F607" s="2" t="str">
        <f>"048641308X"</f>
        <v>048641308X</v>
      </c>
      <c r="G607" s="2" t="str">
        <f>"9780486413082"</f>
        <v>9780486413082</v>
      </c>
      <c r="H607" s="1" t="s">
        <v>2627</v>
      </c>
      <c r="I607" s="1" t="s">
        <v>36</v>
      </c>
      <c r="J607" s="1">
        <v>32.0</v>
      </c>
      <c r="K607" s="1">
        <v>2000.0</v>
      </c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 t="s">
        <v>380</v>
      </c>
      <c r="Y607" s="1" t="s">
        <v>2628</v>
      </c>
    </row>
    <row r="608">
      <c r="A608" s="1">
        <v>1.3426027E7</v>
      </c>
      <c r="B608" s="1" t="s">
        <v>2629</v>
      </c>
      <c r="C608" s="1" t="s">
        <v>2630</v>
      </c>
      <c r="D608" s="1" t="s">
        <v>2631</v>
      </c>
      <c r="E608" s="1" t="s">
        <v>2632</v>
      </c>
      <c r="F608" s="2" t="str">
        <f>"0061958182"</f>
        <v>0061958182</v>
      </c>
      <c r="G608" s="2" t="str">
        <f>"9780061958182"</f>
        <v>9780061958182</v>
      </c>
      <c r="H608" s="1" t="s">
        <v>290</v>
      </c>
      <c r="I608" s="1" t="s">
        <v>36</v>
      </c>
      <c r="J608" s="1">
        <v>32.0</v>
      </c>
      <c r="K608" s="1">
        <v>2012.0</v>
      </c>
      <c r="L608" s="1">
        <v>2012.0</v>
      </c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 t="s">
        <v>51</v>
      </c>
      <c r="Y608" s="1" t="s">
        <v>2633</v>
      </c>
    </row>
    <row r="609">
      <c r="A609" s="1">
        <v>3.6138075E7</v>
      </c>
      <c r="B609" s="1" t="s">
        <v>2634</v>
      </c>
      <c r="C609" s="1" t="s">
        <v>159</v>
      </c>
      <c r="D609" s="1" t="s">
        <v>160</v>
      </c>
      <c r="F609" s="2" t="str">
        <f>"1743812752"</f>
        <v>1743812752</v>
      </c>
      <c r="G609" s="2" t="str">
        <f>"9781743812754"</f>
        <v>9781743812754</v>
      </c>
      <c r="H609" s="1" t="s">
        <v>1355</v>
      </c>
      <c r="I609" s="1" t="s">
        <v>31</v>
      </c>
      <c r="J609" s="1">
        <v>32.0</v>
      </c>
      <c r="K609" s="1">
        <v>2017.0</v>
      </c>
      <c r="L609" s="1">
        <v>2017.0</v>
      </c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 t="s">
        <v>1352</v>
      </c>
      <c r="Y609" s="1" t="s">
        <v>2635</v>
      </c>
    </row>
    <row r="610">
      <c r="A610" s="1">
        <v>5.5778418E7</v>
      </c>
      <c r="B610" s="1" t="s">
        <v>2636</v>
      </c>
      <c r="C610" s="1" t="s">
        <v>159</v>
      </c>
      <c r="D610" s="1" t="s">
        <v>160</v>
      </c>
      <c r="F610" s="2" t="str">
        <f>"1338764012"</f>
        <v>1338764012</v>
      </c>
      <c r="G610" s="2" t="str">
        <f>"9781338764017"</f>
        <v>9781338764017</v>
      </c>
      <c r="H610" s="1" t="s">
        <v>857</v>
      </c>
      <c r="I610" s="1" t="s">
        <v>31</v>
      </c>
      <c r="J610" s="1">
        <v>32.0</v>
      </c>
      <c r="K610" s="1">
        <v>2021.0</v>
      </c>
      <c r="L610" s="1">
        <v>2021.0</v>
      </c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 t="s">
        <v>1352</v>
      </c>
      <c r="Y610" s="1" t="s">
        <v>2637</v>
      </c>
    </row>
    <row r="611">
      <c r="A611" s="1">
        <v>824854.0</v>
      </c>
      <c r="B611" s="1" t="s">
        <v>2638</v>
      </c>
      <c r="C611" s="1" t="s">
        <v>2639</v>
      </c>
      <c r="D611" s="1" t="s">
        <v>2640</v>
      </c>
      <c r="E611" s="1" t="s">
        <v>2641</v>
      </c>
      <c r="F611" s="2" t="str">
        <f>"0440409675"</f>
        <v>0440409675</v>
      </c>
      <c r="G611" s="2" t="str">
        <f>"9780440801221"</f>
        <v>9780440801221</v>
      </c>
      <c r="H611" s="1" t="s">
        <v>2642</v>
      </c>
      <c r="I611" s="1" t="s">
        <v>36</v>
      </c>
      <c r="J611" s="1">
        <v>32.0</v>
      </c>
      <c r="K611" s="1">
        <v>1985.0</v>
      </c>
      <c r="L611" s="1">
        <v>1974.0</v>
      </c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 t="s">
        <v>510</v>
      </c>
      <c r="Y611" s="1" t="s">
        <v>2643</v>
      </c>
    </row>
    <row r="612">
      <c r="A612" s="1">
        <v>2.6198886E7</v>
      </c>
      <c r="B612" s="1" t="s">
        <v>2644</v>
      </c>
      <c r="C612" s="1" t="s">
        <v>1222</v>
      </c>
      <c r="D612" s="1" t="s">
        <v>1223</v>
      </c>
      <c r="E612" s="1" t="s">
        <v>578</v>
      </c>
      <c r="F612" s="2" t="str">
        <f>"006243067X"</f>
        <v>006243067X</v>
      </c>
      <c r="G612" s="2" t="str">
        <f>"9780062430670"</f>
        <v>9780062430670</v>
      </c>
      <c r="H612" s="1" t="s">
        <v>290</v>
      </c>
      <c r="I612" s="1" t="s">
        <v>36</v>
      </c>
      <c r="J612" s="1">
        <v>32.0</v>
      </c>
      <c r="K612" s="1">
        <v>2016.0</v>
      </c>
      <c r="L612" s="1">
        <v>2016.0</v>
      </c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 t="s">
        <v>1372</v>
      </c>
      <c r="Y612" s="1" t="s">
        <v>2645</v>
      </c>
    </row>
    <row r="613">
      <c r="A613" s="1">
        <v>2.7190231E7</v>
      </c>
      <c r="B613" s="1" t="s">
        <v>2646</v>
      </c>
      <c r="C613" s="1" t="s">
        <v>2647</v>
      </c>
      <c r="D613" s="1" t="s">
        <v>2648</v>
      </c>
      <c r="F613" s="2" t="str">
        <f>"0399176195"</f>
        <v>0399176195</v>
      </c>
      <c r="G613" s="2" t="str">
        <f>"9780399176197"</f>
        <v>9780399176197</v>
      </c>
      <c r="H613" s="1" t="s">
        <v>2253</v>
      </c>
      <c r="I613" s="1" t="s">
        <v>31</v>
      </c>
      <c r="J613" s="1">
        <v>32.0</v>
      </c>
      <c r="K613" s="1">
        <v>2016.0</v>
      </c>
      <c r="L613" s="1">
        <v>2016.0</v>
      </c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 t="s">
        <v>1219</v>
      </c>
      <c r="Y613" s="1" t="s">
        <v>2649</v>
      </c>
    </row>
    <row r="614">
      <c r="A614" s="1">
        <v>5.063266E7</v>
      </c>
      <c r="B614" s="1" t="s">
        <v>2650</v>
      </c>
      <c r="C614" s="1" t="s">
        <v>2651</v>
      </c>
      <c r="D614" s="1" t="s">
        <v>2652</v>
      </c>
      <c r="E614" s="1" t="s">
        <v>2653</v>
      </c>
      <c r="F614" s="2" t="str">
        <f>"1542093171"</f>
        <v>1542093171</v>
      </c>
      <c r="G614" s="2" t="str">
        <f>"9781542093170"</f>
        <v>9781542093170</v>
      </c>
      <c r="H614" s="1" t="s">
        <v>2654</v>
      </c>
      <c r="I614" s="1" t="s">
        <v>31</v>
      </c>
      <c r="J614" s="1">
        <v>32.0</v>
      </c>
      <c r="K614" s="1">
        <v>2020.0</v>
      </c>
      <c r="L614" s="1">
        <v>2020.0</v>
      </c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 t="s">
        <v>1518</v>
      </c>
      <c r="Y614" s="1" t="s">
        <v>2655</v>
      </c>
    </row>
    <row r="615">
      <c r="A615" s="1">
        <v>4.0583412E7</v>
      </c>
      <c r="B615" s="1" t="s">
        <v>2656</v>
      </c>
      <c r="C615" s="1" t="s">
        <v>2657</v>
      </c>
      <c r="D615" s="1" t="s">
        <v>2658</v>
      </c>
      <c r="E615" s="1" t="s">
        <v>2659</v>
      </c>
      <c r="F615" s="2" t="str">
        <f>"0823441725"</f>
        <v>0823441725</v>
      </c>
      <c r="G615" s="2" t="str">
        <f>"9780823441723"</f>
        <v>9780823441723</v>
      </c>
      <c r="H615" s="1" t="s">
        <v>2660</v>
      </c>
      <c r="I615" s="1" t="s">
        <v>31</v>
      </c>
      <c r="J615" s="1">
        <v>32.0</v>
      </c>
      <c r="K615" s="1">
        <v>2019.0</v>
      </c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 t="s">
        <v>510</v>
      </c>
      <c r="Y615" s="1" t="s">
        <v>2661</v>
      </c>
    </row>
    <row r="616">
      <c r="A616" s="1">
        <v>2049513.0</v>
      </c>
      <c r="B616" s="1" t="s">
        <v>2662</v>
      </c>
      <c r="C616" s="1" t="s">
        <v>2663</v>
      </c>
      <c r="D616" s="1" t="s">
        <v>2664</v>
      </c>
      <c r="F616" s="2" t="str">
        <f>"0060090820"</f>
        <v>0060090820</v>
      </c>
      <c r="G616" s="2" t="str">
        <f>"9780060090821"</f>
        <v>9780060090821</v>
      </c>
      <c r="H616" s="1" t="s">
        <v>290</v>
      </c>
      <c r="I616" s="1" t="s">
        <v>36</v>
      </c>
      <c r="J616" s="1">
        <v>32.0</v>
      </c>
      <c r="K616" s="1">
        <v>2007.0</v>
      </c>
      <c r="L616" s="1">
        <v>1998.0</v>
      </c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 t="s">
        <v>863</v>
      </c>
      <c r="Y616" s="1" t="s">
        <v>2665</v>
      </c>
    </row>
    <row r="617">
      <c r="A617" s="1">
        <v>3.1321136E7</v>
      </c>
      <c r="B617" s="1" t="s">
        <v>2666</v>
      </c>
      <c r="C617" s="1" t="s">
        <v>2667</v>
      </c>
      <c r="D617" s="1" t="s">
        <v>2668</v>
      </c>
      <c r="F617" s="2" t="str">
        <f>"1512425834"</f>
        <v>1512425834</v>
      </c>
      <c r="G617" s="2" t="str">
        <f>"9781512425833"</f>
        <v>9781512425833</v>
      </c>
      <c r="H617" s="1" t="s">
        <v>1499</v>
      </c>
      <c r="I617" s="1" t="s">
        <v>91</v>
      </c>
      <c r="J617" s="1">
        <v>32.0</v>
      </c>
      <c r="K617" s="1">
        <v>2017.0</v>
      </c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 t="s">
        <v>2669</v>
      </c>
      <c r="Y617" s="1" t="s">
        <v>2670</v>
      </c>
    </row>
    <row r="618">
      <c r="A618" s="1">
        <v>993176.0</v>
      </c>
      <c r="B618" s="1" t="s">
        <v>2671</v>
      </c>
      <c r="C618" s="1" t="s">
        <v>2672</v>
      </c>
      <c r="D618" s="1" t="s">
        <v>2673</v>
      </c>
      <c r="F618" s="2" t="str">
        <f>"0060543116"</f>
        <v>0060543116</v>
      </c>
      <c r="G618" s="2" t="str">
        <f>"9780060543112"</f>
        <v>9780060543112</v>
      </c>
      <c r="H618" s="1" t="s">
        <v>290</v>
      </c>
      <c r="I618" s="1" t="s">
        <v>31</v>
      </c>
      <c r="J618" s="1">
        <v>32.0</v>
      </c>
      <c r="K618" s="1">
        <v>2004.0</v>
      </c>
      <c r="L618" s="1">
        <v>2004.0</v>
      </c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 t="s">
        <v>412</v>
      </c>
      <c r="Y618" s="1" t="s">
        <v>2674</v>
      </c>
    </row>
    <row r="619">
      <c r="A619" s="1">
        <v>1.0883253E7</v>
      </c>
      <c r="B619" s="1" t="s">
        <v>2675</v>
      </c>
      <c r="C619" s="1" t="s">
        <v>2676</v>
      </c>
      <c r="D619" s="1" t="s">
        <v>2677</v>
      </c>
      <c r="E619" s="1" t="s">
        <v>2678</v>
      </c>
      <c r="F619" s="2" t="str">
        <f>"0516277707"</f>
        <v>0516277707</v>
      </c>
      <c r="G619" s="2" t="str">
        <f>"9780516277707"</f>
        <v>9780516277707</v>
      </c>
      <c r="H619" s="1" t="s">
        <v>2679</v>
      </c>
      <c r="I619" s="1" t="s">
        <v>36</v>
      </c>
      <c r="J619" s="1">
        <v>32.0</v>
      </c>
      <c r="K619" s="1">
        <v>2003.0</v>
      </c>
      <c r="L619" s="1">
        <v>1998.0</v>
      </c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 t="s">
        <v>1117</v>
      </c>
      <c r="Y619" s="1" t="s">
        <v>2680</v>
      </c>
    </row>
    <row r="620">
      <c r="A620" s="1">
        <v>1.7347652E7</v>
      </c>
      <c r="B620" s="1" t="s">
        <v>2681</v>
      </c>
      <c r="C620" s="1" t="s">
        <v>2301</v>
      </c>
      <c r="D620" s="1" t="s">
        <v>2302</v>
      </c>
      <c r="F620" s="2" t="str">
        <f>"0399257837"</f>
        <v>0399257837</v>
      </c>
      <c r="G620" s="2" t="str">
        <f>"9780399257834"</f>
        <v>9780399257834</v>
      </c>
      <c r="H620" s="1" t="s">
        <v>2682</v>
      </c>
      <c r="I620" s="1" t="s">
        <v>31</v>
      </c>
      <c r="J620" s="1">
        <v>32.0</v>
      </c>
      <c r="K620" s="1">
        <v>2013.0</v>
      </c>
      <c r="L620" s="1">
        <v>2013.0</v>
      </c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 t="s">
        <v>212</v>
      </c>
      <c r="Y620" s="1" t="s">
        <v>2683</v>
      </c>
    </row>
    <row r="621">
      <c r="A621" s="1">
        <v>196959.0</v>
      </c>
      <c r="B621" s="1" t="s">
        <v>2684</v>
      </c>
      <c r="C621" s="1" t="s">
        <v>2301</v>
      </c>
      <c r="D621" s="1" t="s">
        <v>2302</v>
      </c>
      <c r="F621" s="2" t="str">
        <f>"0698113993"</f>
        <v>0698113993</v>
      </c>
      <c r="G621" s="2" t="str">
        <f>"9780698113992"</f>
        <v>9780698113992</v>
      </c>
      <c r="H621" s="1" t="s">
        <v>753</v>
      </c>
      <c r="I621" s="1" t="s">
        <v>36</v>
      </c>
      <c r="J621" s="1">
        <v>32.0</v>
      </c>
      <c r="K621" s="1">
        <v>1996.0</v>
      </c>
      <c r="L621" s="1">
        <v>1976.0</v>
      </c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 t="s">
        <v>212</v>
      </c>
      <c r="Y621" s="1" t="s">
        <v>2685</v>
      </c>
    </row>
    <row r="622">
      <c r="A622" s="1">
        <v>1323310.0</v>
      </c>
      <c r="B622" s="1" t="s">
        <v>2686</v>
      </c>
      <c r="C622" s="1" t="s">
        <v>2110</v>
      </c>
      <c r="D622" s="1" t="s">
        <v>2111</v>
      </c>
      <c r="F622" s="2" t="str">
        <f>"0590484192"</f>
        <v>0590484192</v>
      </c>
      <c r="G622" s="2" t="str">
        <f>"9780590484190"</f>
        <v>9780590484190</v>
      </c>
      <c r="H622" s="1" t="s">
        <v>1992</v>
      </c>
      <c r="I622" s="1" t="s">
        <v>91</v>
      </c>
      <c r="J622" s="1">
        <v>32.0</v>
      </c>
      <c r="K622" s="1">
        <v>1994.0</v>
      </c>
      <c r="L622" s="1">
        <v>1994.0</v>
      </c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 t="s">
        <v>2687</v>
      </c>
      <c r="Y622" s="1" t="s">
        <v>2688</v>
      </c>
    </row>
    <row r="623">
      <c r="A623" s="1">
        <v>730453.0</v>
      </c>
      <c r="B623" s="1" t="s">
        <v>2689</v>
      </c>
      <c r="C623" s="1" t="s">
        <v>2110</v>
      </c>
      <c r="D623" s="1" t="s">
        <v>2111</v>
      </c>
      <c r="F623" s="2" t="str">
        <f>"0590438433"</f>
        <v>0590438433</v>
      </c>
      <c r="G623" s="2" t="str">
        <f>"9780590438438"</f>
        <v>9780590438438</v>
      </c>
      <c r="H623" s="1" t="s">
        <v>1992</v>
      </c>
      <c r="I623" s="1" t="s">
        <v>36</v>
      </c>
      <c r="J623" s="1">
        <v>32.0</v>
      </c>
      <c r="K623" s="1">
        <v>1991.0</v>
      </c>
      <c r="L623" s="1">
        <v>1991.0</v>
      </c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 t="s">
        <v>1839</v>
      </c>
      <c r="Y623" s="1" t="s">
        <v>2690</v>
      </c>
    </row>
    <row r="624">
      <c r="A624" s="1">
        <v>818781.0</v>
      </c>
      <c r="B624" s="1" t="s">
        <v>2691</v>
      </c>
      <c r="C624" s="1" t="s">
        <v>2110</v>
      </c>
      <c r="D624" s="1" t="s">
        <v>2111</v>
      </c>
      <c r="F624" s="2" t="str">
        <f>"0590442791"</f>
        <v>0590442791</v>
      </c>
      <c r="G624" s="2" t="str">
        <f>"9780590442794"</f>
        <v>9780590442794</v>
      </c>
      <c r="H624" s="1" t="s">
        <v>1992</v>
      </c>
      <c r="I624" s="1" t="s">
        <v>36</v>
      </c>
      <c r="J624" s="1">
        <v>32.0</v>
      </c>
      <c r="K624" s="1">
        <v>1988.0</v>
      </c>
      <c r="L624" s="1">
        <v>1988.0</v>
      </c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 t="s">
        <v>1839</v>
      </c>
      <c r="Y624" s="1" t="s">
        <v>2692</v>
      </c>
    </row>
    <row r="625">
      <c r="A625" s="1">
        <v>2.3399252E7</v>
      </c>
      <c r="B625" s="1" t="s">
        <v>2693</v>
      </c>
      <c r="C625" s="1" t="s">
        <v>2110</v>
      </c>
      <c r="D625" s="1" t="s">
        <v>2111</v>
      </c>
      <c r="F625" s="2" t="str">
        <f>"0545823358"</f>
        <v>0545823358</v>
      </c>
      <c r="G625" s="2" t="str">
        <f>"9780545823357"</f>
        <v>9780545823357</v>
      </c>
      <c r="H625" s="1" t="s">
        <v>179</v>
      </c>
      <c r="I625" s="1" t="s">
        <v>36</v>
      </c>
      <c r="J625" s="1">
        <v>32.0</v>
      </c>
      <c r="K625" s="1">
        <v>2015.0</v>
      </c>
      <c r="L625" s="1">
        <v>2015.0</v>
      </c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 t="s">
        <v>1839</v>
      </c>
      <c r="Y625" s="1" t="s">
        <v>2694</v>
      </c>
    </row>
    <row r="626">
      <c r="A626" s="1">
        <v>6661273.0</v>
      </c>
      <c r="B626" s="1" t="s">
        <v>2695</v>
      </c>
      <c r="C626" s="1" t="s">
        <v>2110</v>
      </c>
      <c r="D626" s="1" t="s">
        <v>2111</v>
      </c>
      <c r="F626" s="2" t="str">
        <f>"0590408445"</f>
        <v>0590408445</v>
      </c>
      <c r="G626" s="2" t="str">
        <f>"9780590408448"</f>
        <v>9780590408448</v>
      </c>
      <c r="H626" s="1" t="s">
        <v>504</v>
      </c>
      <c r="I626" s="1" t="s">
        <v>36</v>
      </c>
      <c r="J626" s="1">
        <v>32.0</v>
      </c>
      <c r="K626" s="1">
        <v>1995.0</v>
      </c>
      <c r="L626" s="1">
        <v>1966.0</v>
      </c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 t="s">
        <v>2696</v>
      </c>
      <c r="Y626" s="1" t="s">
        <v>2697</v>
      </c>
    </row>
    <row r="627">
      <c r="A627" s="1">
        <v>4346079.0</v>
      </c>
      <c r="B627" s="1" t="s">
        <v>2698</v>
      </c>
      <c r="C627" s="1" t="s">
        <v>2110</v>
      </c>
      <c r="D627" s="1" t="s">
        <v>2111</v>
      </c>
      <c r="F627" s="2" t="str">
        <f>"0590458310"</f>
        <v>0590458310</v>
      </c>
      <c r="G627" s="2" t="str">
        <f>"9780590458313"</f>
        <v>9780590458313</v>
      </c>
      <c r="H627" s="1" t="s">
        <v>50</v>
      </c>
      <c r="I627" s="1" t="s">
        <v>36</v>
      </c>
      <c r="J627" s="1">
        <v>32.0</v>
      </c>
      <c r="K627" s="1">
        <v>1992.0</v>
      </c>
      <c r="L627" s="1">
        <v>1992.0</v>
      </c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 t="s">
        <v>863</v>
      </c>
      <c r="Y627" s="1" t="s">
        <v>2699</v>
      </c>
    </row>
    <row r="628">
      <c r="A628" s="1">
        <v>489972.0</v>
      </c>
      <c r="B628" s="1" t="s">
        <v>2700</v>
      </c>
      <c r="C628" s="1" t="s">
        <v>2701</v>
      </c>
      <c r="D628" s="1" t="s">
        <v>2702</v>
      </c>
      <c r="F628" s="2" t="str">
        <f>"0394839730"</f>
        <v>0394839730</v>
      </c>
      <c r="G628" s="2" t="str">
        <f>"9780394839738"</f>
        <v>9780394839738</v>
      </c>
      <c r="H628" s="1" t="s">
        <v>1072</v>
      </c>
      <c r="I628" s="1" t="s">
        <v>31</v>
      </c>
      <c r="J628" s="1">
        <v>32.0</v>
      </c>
      <c r="K628" s="1">
        <v>1978.0</v>
      </c>
      <c r="L628" s="1">
        <v>1978.0</v>
      </c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 t="s">
        <v>2254</v>
      </c>
      <c r="Y628" s="1" t="s">
        <v>2703</v>
      </c>
    </row>
    <row r="629">
      <c r="A629" s="1">
        <v>2.2732032E7</v>
      </c>
      <c r="B629" s="1" t="s">
        <v>2704</v>
      </c>
      <c r="C629" s="1" t="s">
        <v>2705</v>
      </c>
      <c r="D629" s="1" t="s">
        <v>2706</v>
      </c>
      <c r="F629" s="2" t="str">
        <f>"0007540302"</f>
        <v>0007540302</v>
      </c>
      <c r="G629" s="2" t="str">
        <f>"9780007540303"</f>
        <v>9780007540303</v>
      </c>
      <c r="H629" s="1" t="s">
        <v>2707</v>
      </c>
      <c r="I629" s="1" t="s">
        <v>36</v>
      </c>
      <c r="J629" s="1">
        <v>32.0</v>
      </c>
      <c r="K629" s="1">
        <v>2014.0</v>
      </c>
      <c r="L629" s="1">
        <v>2014.0</v>
      </c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 t="s">
        <v>1201</v>
      </c>
      <c r="Y629" s="1" t="s">
        <v>2708</v>
      </c>
    </row>
    <row r="630">
      <c r="A630" s="1">
        <v>2.3310704E7</v>
      </c>
      <c r="B630" s="1" t="s">
        <v>2709</v>
      </c>
      <c r="C630" s="1" t="s">
        <v>2710</v>
      </c>
      <c r="D630" s="1" t="s">
        <v>2711</v>
      </c>
      <c r="F630" s="2" t="str">
        <f>"159643998X"</f>
        <v>159643998X</v>
      </c>
      <c r="G630" s="2" t="str">
        <f>"9781596439986"</f>
        <v>9781596439986</v>
      </c>
      <c r="H630" s="1" t="s">
        <v>2712</v>
      </c>
      <c r="I630" s="1" t="s">
        <v>31</v>
      </c>
      <c r="J630" s="1">
        <v>32.0</v>
      </c>
      <c r="K630" s="1">
        <v>2015.0</v>
      </c>
      <c r="L630" s="1">
        <v>2015.0</v>
      </c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 t="s">
        <v>212</v>
      </c>
      <c r="Y630" s="1" t="s">
        <v>2713</v>
      </c>
    </row>
    <row r="631">
      <c r="A631" s="1">
        <v>1.3426002E7</v>
      </c>
      <c r="B631" s="1" t="s">
        <v>2714</v>
      </c>
      <c r="C631" s="1" t="s">
        <v>176</v>
      </c>
      <c r="D631" s="1" t="s">
        <v>177</v>
      </c>
      <c r="E631" s="1" t="s">
        <v>2715</v>
      </c>
      <c r="F631" s="2" t="str">
        <f>"0061430102"</f>
        <v>0061430102</v>
      </c>
      <c r="G631" s="2" t="str">
        <f>"9780061430107"</f>
        <v>9780061430107</v>
      </c>
      <c r="H631" s="1" t="s">
        <v>290</v>
      </c>
      <c r="I631" s="1" t="s">
        <v>31</v>
      </c>
      <c r="J631" s="1">
        <v>32.0</v>
      </c>
      <c r="K631" s="1">
        <v>2012.0</v>
      </c>
      <c r="L631" s="1">
        <v>2012.0</v>
      </c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 t="s">
        <v>83</v>
      </c>
      <c r="Y631" s="1" t="s">
        <v>2716</v>
      </c>
    </row>
    <row r="632">
      <c r="A632" s="1">
        <v>1.6247979E7</v>
      </c>
      <c r="B632" s="1" t="s">
        <v>2717</v>
      </c>
      <c r="C632" s="1" t="s">
        <v>176</v>
      </c>
      <c r="D632" s="1" t="s">
        <v>177</v>
      </c>
      <c r="E632" s="1" t="s">
        <v>2715</v>
      </c>
      <c r="F632" s="2" t="str">
        <f>"0061430137"</f>
        <v>0061430137</v>
      </c>
      <c r="G632" s="2" t="str">
        <f>"9780061430138"</f>
        <v>9780061430138</v>
      </c>
      <c r="H632" s="1" t="s">
        <v>290</v>
      </c>
      <c r="I632" s="1" t="s">
        <v>31</v>
      </c>
      <c r="J632" s="1">
        <v>32.0</v>
      </c>
      <c r="K632" s="1">
        <v>2013.0</v>
      </c>
      <c r="L632" s="1">
        <v>2013.0</v>
      </c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 t="s">
        <v>83</v>
      </c>
      <c r="Y632" s="1" t="s">
        <v>2718</v>
      </c>
    </row>
    <row r="633">
      <c r="A633" s="1">
        <v>2.108113E7</v>
      </c>
      <c r="B633" s="1" t="s">
        <v>2719</v>
      </c>
      <c r="C633" s="1" t="s">
        <v>2720</v>
      </c>
      <c r="D633" s="1" t="s">
        <v>2721</v>
      </c>
      <c r="F633" s="2" t="str">
        <f>"1407138367"</f>
        <v>1407138367</v>
      </c>
      <c r="G633" s="2" t="str">
        <f>"9781407138367"</f>
        <v>9781407138367</v>
      </c>
      <c r="H633" s="1" t="s">
        <v>50</v>
      </c>
      <c r="I633" s="1" t="s">
        <v>36</v>
      </c>
      <c r="J633" s="1">
        <v>32.0</v>
      </c>
      <c r="K633" s="1">
        <v>2013.0</v>
      </c>
      <c r="L633" s="1">
        <v>2013.0</v>
      </c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 t="s">
        <v>116</v>
      </c>
      <c r="Y633" s="1" t="s">
        <v>2722</v>
      </c>
    </row>
    <row r="634">
      <c r="A634" s="1">
        <v>2649066.0</v>
      </c>
      <c r="B634" s="1" t="s">
        <v>2723</v>
      </c>
      <c r="C634" s="1" t="s">
        <v>188</v>
      </c>
      <c r="D634" s="1" t="s">
        <v>189</v>
      </c>
      <c r="E634" s="1" t="s">
        <v>190</v>
      </c>
      <c r="F634" s="2" t="str">
        <f>"1880507951"</f>
        <v>1880507951</v>
      </c>
      <c r="G634" s="2" t="str">
        <f>"9781880507957"</f>
        <v>9781880507957</v>
      </c>
      <c r="H634" s="1" t="s">
        <v>191</v>
      </c>
      <c r="I634" s="1" t="s">
        <v>36</v>
      </c>
      <c r="J634" s="1">
        <v>32.0</v>
      </c>
      <c r="K634" s="1">
        <v>2001.0</v>
      </c>
      <c r="L634" s="1">
        <v>1996.0</v>
      </c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 t="s">
        <v>109</v>
      </c>
      <c r="Y634" s="1" t="s">
        <v>2724</v>
      </c>
    </row>
    <row r="635">
      <c r="A635" s="1">
        <v>3.7486256E7</v>
      </c>
      <c r="B635" s="1" t="s">
        <v>2725</v>
      </c>
      <c r="C635" s="1" t="s">
        <v>1377</v>
      </c>
      <c r="D635" s="1" t="s">
        <v>1378</v>
      </c>
      <c r="E635" s="1" t="s">
        <v>2726</v>
      </c>
      <c r="F635" s="2" t="str">
        <f>"0066237874"</f>
        <v>0066237874</v>
      </c>
      <c r="G635" s="2" t="str">
        <f>"9780066237879"</f>
        <v>9780066237879</v>
      </c>
      <c r="H635" s="1" t="s">
        <v>290</v>
      </c>
      <c r="I635" s="1" t="s">
        <v>31</v>
      </c>
      <c r="J635" s="1">
        <v>32.0</v>
      </c>
      <c r="K635" s="1">
        <v>2018.0</v>
      </c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 t="s">
        <v>412</v>
      </c>
      <c r="Y635" s="1" t="s">
        <v>2727</v>
      </c>
    </row>
    <row r="636">
      <c r="A636" s="1">
        <v>32929.0</v>
      </c>
      <c r="B636" s="1" t="s">
        <v>2728</v>
      </c>
      <c r="C636" s="1" t="s">
        <v>1377</v>
      </c>
      <c r="D636" s="1" t="s">
        <v>1378</v>
      </c>
      <c r="E636" s="1" t="s">
        <v>2729</v>
      </c>
      <c r="F636" s="2" t="str">
        <f>"0060775858"</f>
        <v>0060775858</v>
      </c>
      <c r="G636" s="2" t="str">
        <f>"9780060775858"</f>
        <v>9780060775858</v>
      </c>
      <c r="H636" s="1" t="s">
        <v>290</v>
      </c>
      <c r="I636" s="1" t="s">
        <v>31</v>
      </c>
      <c r="J636" s="1">
        <v>32.0</v>
      </c>
      <c r="K636" s="1">
        <v>2005.0</v>
      </c>
      <c r="L636" s="1">
        <v>1947.0</v>
      </c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 t="s">
        <v>2730</v>
      </c>
      <c r="Y636" s="1" t="s">
        <v>2731</v>
      </c>
    </row>
    <row r="637">
      <c r="A637" s="1">
        <v>8098822.0</v>
      </c>
      <c r="B637" s="1" t="s">
        <v>2732</v>
      </c>
      <c r="C637" s="1" t="s">
        <v>2733</v>
      </c>
      <c r="D637" s="1" t="s">
        <v>2734</v>
      </c>
      <c r="E637" s="1" t="s">
        <v>2735</v>
      </c>
      <c r="F637" s="2" t="str">
        <f>"0061227811"</f>
        <v>0061227811</v>
      </c>
      <c r="G637" s="2" t="str">
        <f>"9780061227813"</f>
        <v>9780061227813</v>
      </c>
      <c r="H637" s="1" t="s">
        <v>2736</v>
      </c>
      <c r="I637" s="1" t="s">
        <v>31</v>
      </c>
      <c r="J637" s="1">
        <v>32.0</v>
      </c>
      <c r="K637" s="1">
        <v>2010.0</v>
      </c>
      <c r="L637" s="1">
        <v>2010.0</v>
      </c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 t="s">
        <v>1397</v>
      </c>
      <c r="Y637" s="1" t="s">
        <v>2737</v>
      </c>
    </row>
    <row r="638">
      <c r="A638" s="1">
        <v>790468.0</v>
      </c>
      <c r="B638" s="1" t="s">
        <v>2738</v>
      </c>
      <c r="C638" s="1" t="s">
        <v>2733</v>
      </c>
      <c r="D638" s="1" t="s">
        <v>2734</v>
      </c>
      <c r="E638" s="1" t="s">
        <v>2739</v>
      </c>
      <c r="F638" s="2" t="str">
        <f>"0873589084"</f>
        <v>0873589084</v>
      </c>
      <c r="G638" s="2" t="str">
        <f>"9780873589086"</f>
        <v>9780873589086</v>
      </c>
      <c r="H638" s="1" t="s">
        <v>2740</v>
      </c>
      <c r="I638" s="1" t="s">
        <v>31</v>
      </c>
      <c r="J638" s="1">
        <v>32.0</v>
      </c>
      <c r="K638" s="1">
        <v>2007.0</v>
      </c>
      <c r="L638" s="1">
        <v>2007.0</v>
      </c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 t="s">
        <v>37</v>
      </c>
      <c r="Y638" s="1" t="s">
        <v>2741</v>
      </c>
    </row>
    <row r="639">
      <c r="A639" s="1">
        <v>1.5812157E7</v>
      </c>
      <c r="B639" s="1" t="s">
        <v>2742</v>
      </c>
      <c r="C639" s="1" t="s">
        <v>2743</v>
      </c>
      <c r="D639" s="1" t="s">
        <v>2744</v>
      </c>
      <c r="E639" s="1" t="s">
        <v>2745</v>
      </c>
      <c r="F639" s="2" t="str">
        <f>"0670012858"</f>
        <v>0670012858</v>
      </c>
      <c r="G639" s="2" t="str">
        <f>"9780670012855"</f>
        <v>9780670012855</v>
      </c>
      <c r="H639" s="1" t="s">
        <v>2746</v>
      </c>
      <c r="I639" s="1" t="s">
        <v>31</v>
      </c>
      <c r="J639" s="1">
        <v>32.0</v>
      </c>
      <c r="K639" s="1">
        <v>2013.0</v>
      </c>
      <c r="L639" s="1">
        <v>2013.0</v>
      </c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 t="s">
        <v>1219</v>
      </c>
      <c r="Y639" s="1" t="s">
        <v>2747</v>
      </c>
    </row>
    <row r="640">
      <c r="A640" s="1">
        <v>1417528.0</v>
      </c>
      <c r="B640" s="1" t="s">
        <v>2748</v>
      </c>
      <c r="C640" s="1" t="s">
        <v>2749</v>
      </c>
      <c r="D640" s="1" t="s">
        <v>2750</v>
      </c>
      <c r="F640" s="2" t="str">
        <f>"067980837X"</f>
        <v>067980837X</v>
      </c>
      <c r="G640" s="2" t="str">
        <f>"9780679808374"</f>
        <v>9780679808374</v>
      </c>
      <c r="H640" s="1" t="s">
        <v>2751</v>
      </c>
      <c r="I640" s="1" t="s">
        <v>36</v>
      </c>
      <c r="J640" s="1">
        <v>32.0</v>
      </c>
      <c r="K640" s="1">
        <v>1990.0</v>
      </c>
      <c r="L640" s="1">
        <v>1986.0</v>
      </c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 t="s">
        <v>412</v>
      </c>
      <c r="Y640" s="1" t="s">
        <v>2752</v>
      </c>
    </row>
    <row r="641">
      <c r="A641" s="1">
        <v>937381.0</v>
      </c>
      <c r="B641" s="1" t="s">
        <v>2753</v>
      </c>
      <c r="C641" s="1" t="s">
        <v>2754</v>
      </c>
      <c r="D641" s="1" t="s">
        <v>2755</v>
      </c>
      <c r="E641" s="1" t="s">
        <v>2756</v>
      </c>
      <c r="F641" s="2" t="str">
        <f>"0140564098"</f>
        <v>0140564098</v>
      </c>
      <c r="G641" s="2" t="str">
        <f>"9780140564099"</f>
        <v>9780140564099</v>
      </c>
      <c r="H641" s="1" t="s">
        <v>753</v>
      </c>
      <c r="I641" s="1" t="s">
        <v>36</v>
      </c>
      <c r="J641" s="1">
        <v>32.0</v>
      </c>
      <c r="K641" s="1">
        <v>1998.0</v>
      </c>
      <c r="L641" s="1">
        <v>1993.0</v>
      </c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 t="s">
        <v>742</v>
      </c>
      <c r="Y641" s="1" t="s">
        <v>2757</v>
      </c>
    </row>
    <row r="642">
      <c r="A642" s="1">
        <v>698159.0</v>
      </c>
      <c r="B642" s="1" t="s">
        <v>2758</v>
      </c>
      <c r="C642" s="1" t="s">
        <v>2759</v>
      </c>
      <c r="D642" s="1" t="s">
        <v>2760</v>
      </c>
      <c r="E642" s="1" t="s">
        <v>2761</v>
      </c>
      <c r="F642" s="2" t="str">
        <f>"0803729952"</f>
        <v>0803729952</v>
      </c>
      <c r="G642" s="2" t="str">
        <f>"9780803729957"</f>
        <v>9780803729957</v>
      </c>
      <c r="H642" s="1" t="s">
        <v>2600</v>
      </c>
      <c r="I642" s="1" t="s">
        <v>31</v>
      </c>
      <c r="J642" s="1">
        <v>32.0</v>
      </c>
      <c r="K642" s="1">
        <v>2005.0</v>
      </c>
      <c r="L642" s="1">
        <v>2005.0</v>
      </c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 t="s">
        <v>1518</v>
      </c>
      <c r="Y642" s="1" t="s">
        <v>2762</v>
      </c>
    </row>
    <row r="643">
      <c r="A643" s="1">
        <v>1.3588407E7</v>
      </c>
      <c r="B643" s="1" t="s">
        <v>2763</v>
      </c>
      <c r="C643" s="1" t="s">
        <v>2759</v>
      </c>
      <c r="D643" s="1" t="s">
        <v>2760</v>
      </c>
      <c r="E643" s="1" t="s">
        <v>2761</v>
      </c>
      <c r="F643" s="2" t="str">
        <f>"0803735790"</f>
        <v>0803735790</v>
      </c>
      <c r="G643" s="2" t="str">
        <f>"9780803735798"</f>
        <v>9780803735798</v>
      </c>
      <c r="H643" s="1" t="s">
        <v>2600</v>
      </c>
      <c r="I643" s="1" t="s">
        <v>31</v>
      </c>
      <c r="J643" s="1">
        <v>32.0</v>
      </c>
      <c r="K643" s="1">
        <v>2012.0</v>
      </c>
      <c r="L643" s="1">
        <v>2012.0</v>
      </c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 t="s">
        <v>863</v>
      </c>
      <c r="Y643" s="1" t="s">
        <v>2764</v>
      </c>
    </row>
    <row r="644">
      <c r="A644" s="1">
        <v>1.8640469E7</v>
      </c>
      <c r="B644" s="1" t="s">
        <v>2765</v>
      </c>
      <c r="C644" s="1" t="s">
        <v>2766</v>
      </c>
      <c r="D644" s="1" t="s">
        <v>2767</v>
      </c>
      <c r="F644" s="2" t="str">
        <f>"1465419942"</f>
        <v>1465419942</v>
      </c>
      <c r="G644" s="2" t="str">
        <f>"9781465419941"</f>
        <v>9781465419941</v>
      </c>
      <c r="H644" s="1" t="s">
        <v>1089</v>
      </c>
      <c r="I644" s="1" t="s">
        <v>31</v>
      </c>
      <c r="J644" s="1">
        <v>32.0</v>
      </c>
      <c r="K644" s="1">
        <v>2014.0</v>
      </c>
      <c r="L644" s="1">
        <v>2014.0</v>
      </c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 t="s">
        <v>131</v>
      </c>
      <c r="Y644" s="1" t="s">
        <v>2768</v>
      </c>
    </row>
    <row r="645">
      <c r="A645" s="1">
        <v>3.5396839E7</v>
      </c>
      <c r="B645" s="1" t="s">
        <v>2769</v>
      </c>
      <c r="C645" s="1" t="s">
        <v>2770</v>
      </c>
      <c r="D645" s="1" t="s">
        <v>2771</v>
      </c>
      <c r="E645" s="1" t="s">
        <v>2772</v>
      </c>
      <c r="F645" s="2" t="str">
        <f>"0062667122"</f>
        <v>0062667122</v>
      </c>
      <c r="G645" s="2" t="str">
        <f>"9780062667120"</f>
        <v>9780062667120</v>
      </c>
      <c r="H645" s="1" t="s">
        <v>290</v>
      </c>
      <c r="I645" s="1" t="s">
        <v>31</v>
      </c>
      <c r="J645" s="1">
        <v>32.0</v>
      </c>
      <c r="K645" s="1">
        <v>2018.0</v>
      </c>
      <c r="L645" s="1">
        <v>2018.0</v>
      </c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 t="s">
        <v>2773</v>
      </c>
      <c r="Y645" s="1" t="s">
        <v>2774</v>
      </c>
    </row>
    <row r="646">
      <c r="A646" s="1">
        <v>3.7970749E7</v>
      </c>
      <c r="B646" s="1" t="s">
        <v>2775</v>
      </c>
      <c r="C646" s="1" t="s">
        <v>2776</v>
      </c>
      <c r="D646" s="1" t="s">
        <v>2777</v>
      </c>
      <c r="F646" s="2" t="str">
        <f>"0753474220"</f>
        <v>0753474220</v>
      </c>
      <c r="G646" s="2" t="str">
        <f>"9780753474228"</f>
        <v>9780753474228</v>
      </c>
      <c r="H646" s="1" t="s">
        <v>1704</v>
      </c>
      <c r="I646" s="1" t="s">
        <v>36</v>
      </c>
      <c r="J646" s="1">
        <v>32.0</v>
      </c>
      <c r="K646" s="1">
        <v>2018.0</v>
      </c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 t="s">
        <v>2778</v>
      </c>
      <c r="Y646" s="1" t="s">
        <v>2779</v>
      </c>
    </row>
    <row r="647">
      <c r="A647" s="1">
        <v>3.4963014E7</v>
      </c>
      <c r="B647" s="1" t="s">
        <v>2780</v>
      </c>
      <c r="C647" s="1" t="s">
        <v>2776</v>
      </c>
      <c r="D647" s="1" t="s">
        <v>2777</v>
      </c>
      <c r="F647" s="2" t="str">
        <f>"075347381X"</f>
        <v>075347381X</v>
      </c>
      <c r="G647" s="2" t="str">
        <f>"9780753473818"</f>
        <v>9780753473818</v>
      </c>
      <c r="H647" s="1" t="s">
        <v>1704</v>
      </c>
      <c r="I647" s="1" t="s">
        <v>36</v>
      </c>
      <c r="J647" s="1">
        <v>32.0</v>
      </c>
      <c r="K647" s="1">
        <v>2018.0</v>
      </c>
      <c r="L647" s="1">
        <v>2011.0</v>
      </c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 t="s">
        <v>1491</v>
      </c>
      <c r="Y647" s="1" t="s">
        <v>2781</v>
      </c>
    </row>
    <row r="648">
      <c r="A648" s="1">
        <v>2502177.0</v>
      </c>
      <c r="B648" s="1" t="s">
        <v>2782</v>
      </c>
      <c r="C648" s="1" t="s">
        <v>2783</v>
      </c>
      <c r="D648" s="1" t="s">
        <v>2784</v>
      </c>
      <c r="E648" s="1" t="s">
        <v>2785</v>
      </c>
      <c r="F648" s="2" t="str">
        <f>"0786821272"</f>
        <v>0786821272</v>
      </c>
      <c r="G648" s="2" t="str">
        <f>"9780786821273"</f>
        <v>9780786821273</v>
      </c>
      <c r="H648" s="1" t="s">
        <v>2786</v>
      </c>
      <c r="I648" s="1" t="s">
        <v>31</v>
      </c>
      <c r="J648" s="1">
        <v>32.0</v>
      </c>
      <c r="K648" s="1">
        <v>1997.0</v>
      </c>
      <c r="L648" s="1">
        <v>1997.0</v>
      </c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 t="s">
        <v>68</v>
      </c>
      <c r="Y648" s="1" t="s">
        <v>2787</v>
      </c>
    </row>
    <row r="649">
      <c r="A649" s="1">
        <v>1029252.0</v>
      </c>
      <c r="B649" s="1" t="s">
        <v>2788</v>
      </c>
      <c r="C649" s="1" t="s">
        <v>2789</v>
      </c>
      <c r="D649" s="1" t="s">
        <v>2790</v>
      </c>
      <c r="E649" s="1" t="s">
        <v>2791</v>
      </c>
      <c r="F649" s="2" t="str">
        <f>"1558853189"</f>
        <v>1558853189</v>
      </c>
      <c r="G649" s="2" t="str">
        <f>"9781558853188"</f>
        <v>9781558853188</v>
      </c>
      <c r="H649" s="1" t="s">
        <v>2433</v>
      </c>
      <c r="I649" s="1" t="s">
        <v>31</v>
      </c>
      <c r="J649" s="1">
        <v>32.0</v>
      </c>
      <c r="K649" s="1">
        <v>2001.0</v>
      </c>
      <c r="L649" s="1">
        <v>2000.0</v>
      </c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 t="s">
        <v>109</v>
      </c>
      <c r="Y649" s="1" t="s">
        <v>2792</v>
      </c>
    </row>
    <row r="650">
      <c r="A650" s="1">
        <v>1.8296037E7</v>
      </c>
      <c r="B650" s="1" t="s">
        <v>2793</v>
      </c>
      <c r="C650" s="1" t="s">
        <v>2794</v>
      </c>
      <c r="D650" s="1" t="s">
        <v>2795</v>
      </c>
      <c r="E650" s="1" t="s">
        <v>849</v>
      </c>
      <c r="F650" s="2" t="str">
        <f>"1423197542"</f>
        <v>1423197542</v>
      </c>
      <c r="G650" s="2" t="str">
        <f>"9781423197546"</f>
        <v>9781423197546</v>
      </c>
      <c r="H650" s="1" t="s">
        <v>2796</v>
      </c>
      <c r="I650" s="1" t="s">
        <v>36</v>
      </c>
      <c r="J650" s="1">
        <v>32.0</v>
      </c>
      <c r="K650" s="1">
        <v>2014.0</v>
      </c>
      <c r="L650" s="1">
        <v>2014.0</v>
      </c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 t="s">
        <v>83</v>
      </c>
      <c r="Y650" s="1" t="s">
        <v>2797</v>
      </c>
    </row>
    <row r="651">
      <c r="A651" s="1">
        <v>1.1737282E7</v>
      </c>
      <c r="B651" s="1" t="s">
        <v>2798</v>
      </c>
      <c r="C651" s="1" t="s">
        <v>2799</v>
      </c>
      <c r="D651" s="1" t="s">
        <v>2800</v>
      </c>
      <c r="E651" s="1" t="s">
        <v>2801</v>
      </c>
      <c r="F651" s="2" t="str">
        <f>"0670012912"</f>
        <v>0670012912</v>
      </c>
      <c r="G651" s="2" t="str">
        <f>"9780670012916"</f>
        <v>9780670012916</v>
      </c>
      <c r="H651" s="1" t="s">
        <v>2746</v>
      </c>
      <c r="J651" s="1">
        <v>32.0</v>
      </c>
      <c r="K651" s="1">
        <v>2012.0</v>
      </c>
      <c r="L651" s="1">
        <v>2012.0</v>
      </c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 t="s">
        <v>2279</v>
      </c>
      <c r="Y651" s="1" t="s">
        <v>2802</v>
      </c>
    </row>
    <row r="652">
      <c r="A652" s="1">
        <v>1768003.0</v>
      </c>
      <c r="B652" s="1" t="s">
        <v>2803</v>
      </c>
      <c r="C652" s="1" t="s">
        <v>2804</v>
      </c>
      <c r="D652" s="1" t="s">
        <v>2805</v>
      </c>
      <c r="F652" s="2" t="str">
        <f>"0439899370"</f>
        <v>0439899370</v>
      </c>
      <c r="G652" s="2" t="str">
        <f>"9780439899376"</f>
        <v>9780439899376</v>
      </c>
      <c r="H652" s="1" t="s">
        <v>50</v>
      </c>
      <c r="I652" s="1" t="s">
        <v>31</v>
      </c>
      <c r="J652" s="1">
        <v>32.0</v>
      </c>
      <c r="K652" s="1">
        <v>2007.0</v>
      </c>
      <c r="L652" s="1">
        <v>2007.0</v>
      </c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 t="s">
        <v>83</v>
      </c>
      <c r="Y652" s="1" t="s">
        <v>2806</v>
      </c>
    </row>
    <row r="653">
      <c r="A653" s="1">
        <v>1398498.0</v>
      </c>
      <c r="B653" s="1" t="s">
        <v>2807</v>
      </c>
      <c r="C653" s="1" t="s">
        <v>2804</v>
      </c>
      <c r="D653" s="1" t="s">
        <v>2805</v>
      </c>
      <c r="E653" s="1" t="s">
        <v>2808</v>
      </c>
      <c r="F653" s="2" t="str">
        <f>"0439684021"</f>
        <v>0439684021</v>
      </c>
      <c r="G653" s="2" t="str">
        <f>"9780439684026"</f>
        <v>9780439684026</v>
      </c>
      <c r="H653" s="1" t="s">
        <v>50</v>
      </c>
      <c r="I653" s="1" t="s">
        <v>36</v>
      </c>
      <c r="J653" s="1">
        <v>32.0</v>
      </c>
      <c r="K653" s="1">
        <v>2006.0</v>
      </c>
      <c r="L653" s="1">
        <v>2005.0</v>
      </c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 t="s">
        <v>116</v>
      </c>
      <c r="Y653" s="1" t="s">
        <v>2809</v>
      </c>
    </row>
    <row r="654">
      <c r="A654" s="1">
        <v>2861368.0</v>
      </c>
      <c r="B654" s="1" t="s">
        <v>2810</v>
      </c>
      <c r="C654" s="1" t="s">
        <v>2804</v>
      </c>
      <c r="D654" s="1" t="s">
        <v>2805</v>
      </c>
      <c r="E654" s="1" t="s">
        <v>2811</v>
      </c>
      <c r="F654" s="2" t="str">
        <f>"0439899362"</f>
        <v>0439899362</v>
      </c>
      <c r="G654" s="2" t="str">
        <f>"9780439899369"</f>
        <v>9780439899369</v>
      </c>
      <c r="H654" s="1" t="s">
        <v>50</v>
      </c>
      <c r="I654" s="1" t="s">
        <v>36</v>
      </c>
      <c r="J654" s="1">
        <v>32.0</v>
      </c>
      <c r="K654" s="1">
        <v>2007.0</v>
      </c>
      <c r="L654" s="1">
        <v>2007.0</v>
      </c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 t="s">
        <v>83</v>
      </c>
      <c r="Y654" s="1" t="s">
        <v>2812</v>
      </c>
    </row>
    <row r="655">
      <c r="A655" s="1">
        <v>1.3426025E7</v>
      </c>
      <c r="B655" s="1" t="s">
        <v>2813</v>
      </c>
      <c r="C655" s="1" t="s">
        <v>1400</v>
      </c>
      <c r="D655" s="1" t="s">
        <v>1401</v>
      </c>
      <c r="E655" s="1" t="s">
        <v>1402</v>
      </c>
      <c r="F655" s="2" t="str">
        <f>"0061935034"</f>
        <v>0061935034</v>
      </c>
      <c r="G655" s="2" t="str">
        <f>"9780061935039"</f>
        <v>9780061935039</v>
      </c>
      <c r="H655" s="1" t="s">
        <v>290</v>
      </c>
      <c r="I655" s="1" t="s">
        <v>31</v>
      </c>
      <c r="J655" s="1">
        <v>32.0</v>
      </c>
      <c r="K655" s="1">
        <v>2012.0</v>
      </c>
      <c r="L655" s="1">
        <v>2012.0</v>
      </c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 t="s">
        <v>51</v>
      </c>
      <c r="Y655" s="1" t="s">
        <v>2814</v>
      </c>
    </row>
    <row r="656">
      <c r="A656" s="1">
        <v>2.5816749E7</v>
      </c>
      <c r="B656" s="1" t="s">
        <v>2815</v>
      </c>
      <c r="C656" s="1" t="s">
        <v>1400</v>
      </c>
      <c r="D656" s="1" t="s">
        <v>1401</v>
      </c>
      <c r="E656" s="1" t="s">
        <v>1402</v>
      </c>
      <c r="F656" s="2" t="str">
        <f>"0062236970"</f>
        <v>0062236970</v>
      </c>
      <c r="G656" s="2" t="str">
        <f>"9780062236975"</f>
        <v>9780062236975</v>
      </c>
      <c r="H656" s="1" t="s">
        <v>290</v>
      </c>
      <c r="I656" s="1" t="s">
        <v>31</v>
      </c>
      <c r="J656" s="1">
        <v>32.0</v>
      </c>
      <c r="K656" s="1">
        <v>2016.0</v>
      </c>
      <c r="L656" s="1">
        <v>2016.0</v>
      </c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 t="s">
        <v>51</v>
      </c>
      <c r="Y656" s="1" t="s">
        <v>2816</v>
      </c>
    </row>
    <row r="657">
      <c r="A657" s="1">
        <v>1442055.0</v>
      </c>
      <c r="B657" s="1" t="s">
        <v>2817</v>
      </c>
      <c r="C657" s="1" t="s">
        <v>1400</v>
      </c>
      <c r="D657" s="1" t="s">
        <v>1401</v>
      </c>
      <c r="E657" s="1" t="s">
        <v>1402</v>
      </c>
      <c r="F657" s="2" t="str">
        <f>"0060741686"</f>
        <v>0060741686</v>
      </c>
      <c r="G657" s="2" t="str">
        <f>"9780060741686"</f>
        <v>9780060741686</v>
      </c>
      <c r="H657" s="1" t="s">
        <v>290</v>
      </c>
      <c r="I657" s="1" t="s">
        <v>91</v>
      </c>
      <c r="J657" s="1">
        <v>32.0</v>
      </c>
      <c r="K657" s="1">
        <v>2007.0</v>
      </c>
      <c r="L657" s="1">
        <v>2007.0</v>
      </c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 t="s">
        <v>51</v>
      </c>
      <c r="Y657" s="1" t="s">
        <v>2818</v>
      </c>
    </row>
    <row r="658">
      <c r="A658" s="1">
        <v>976012.0</v>
      </c>
      <c r="B658" s="1" t="s">
        <v>2819</v>
      </c>
      <c r="C658" s="1" t="s">
        <v>1400</v>
      </c>
      <c r="D658" s="1" t="s">
        <v>1401</v>
      </c>
      <c r="E658" s="1" t="s">
        <v>1402</v>
      </c>
      <c r="F658" s="2" t="str">
        <f>"0064436160"</f>
        <v>0064436160</v>
      </c>
      <c r="G658" s="2" t="str">
        <f>"9780064436168"</f>
        <v>9780064436168</v>
      </c>
      <c r="H658" s="1" t="s">
        <v>290</v>
      </c>
      <c r="I658" s="1" t="s">
        <v>36</v>
      </c>
      <c r="J658" s="1">
        <v>32.0</v>
      </c>
      <c r="K658" s="1">
        <v>2003.0</v>
      </c>
      <c r="L658" s="1">
        <v>2002.0</v>
      </c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 t="s">
        <v>291</v>
      </c>
      <c r="Y658" s="1" t="s">
        <v>2820</v>
      </c>
    </row>
    <row r="659">
      <c r="A659" s="1">
        <v>2.0556181E7</v>
      </c>
      <c r="B659" s="1" t="s">
        <v>2821</v>
      </c>
      <c r="C659" s="1" t="s">
        <v>2822</v>
      </c>
      <c r="D659" s="1" t="s">
        <v>2823</v>
      </c>
      <c r="F659" s="2" t="str">
        <f>"0736432140"</f>
        <v>0736432140</v>
      </c>
      <c r="G659" s="2" t="str">
        <f>"9780736432146"</f>
        <v>9780736432146</v>
      </c>
      <c r="H659" s="1" t="s">
        <v>1565</v>
      </c>
      <c r="I659" s="1" t="s">
        <v>238</v>
      </c>
      <c r="J659" s="1">
        <v>32.0</v>
      </c>
      <c r="K659" s="1">
        <v>2014.0</v>
      </c>
      <c r="L659" s="1">
        <v>2014.0</v>
      </c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 t="s">
        <v>83</v>
      </c>
      <c r="Y659" s="1" t="s">
        <v>2824</v>
      </c>
    </row>
    <row r="660">
      <c r="A660" s="1">
        <v>125423.0</v>
      </c>
      <c r="B660" s="1" t="s">
        <v>2825</v>
      </c>
      <c r="C660" s="1" t="s">
        <v>1021</v>
      </c>
      <c r="D660" s="1" t="s">
        <v>1022</v>
      </c>
      <c r="F660" s="2" t="str">
        <f>"0399218858"</f>
        <v>0399218858</v>
      </c>
      <c r="G660" s="2" t="str">
        <f>"9780399218859"</f>
        <v>9780399218859</v>
      </c>
      <c r="H660" s="1" t="s">
        <v>1023</v>
      </c>
      <c r="I660" s="1" t="s">
        <v>31</v>
      </c>
      <c r="J660" s="1">
        <v>32.0</v>
      </c>
      <c r="K660" s="1">
        <v>1990.0</v>
      </c>
      <c r="L660" s="1">
        <v>1990.0</v>
      </c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 t="s">
        <v>131</v>
      </c>
      <c r="Y660" s="1" t="s">
        <v>2826</v>
      </c>
    </row>
    <row r="661">
      <c r="A661" s="1">
        <v>5.4610995E7</v>
      </c>
      <c r="B661" s="1" t="s">
        <v>2827</v>
      </c>
      <c r="C661" s="1" t="s">
        <v>1021</v>
      </c>
      <c r="D661" s="1" t="s">
        <v>1022</v>
      </c>
      <c r="F661" s="2" t="str">
        <f>"0593226186"</f>
        <v>0593226186</v>
      </c>
      <c r="G661" s="2" t="str">
        <f>"9780593226186"</f>
        <v>9780593226186</v>
      </c>
      <c r="H661" s="1" t="s">
        <v>1023</v>
      </c>
      <c r="I661" s="1" t="s">
        <v>31</v>
      </c>
      <c r="J661" s="1">
        <v>32.0</v>
      </c>
      <c r="K661" s="1">
        <v>2021.0</v>
      </c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 t="s">
        <v>1024</v>
      </c>
      <c r="Y661" s="1" t="s">
        <v>2828</v>
      </c>
    </row>
    <row r="662">
      <c r="A662" s="1">
        <v>2.5310628E7</v>
      </c>
      <c r="B662" s="1" t="s">
        <v>2829</v>
      </c>
      <c r="C662" s="1" t="s">
        <v>1021</v>
      </c>
      <c r="D662" s="1" t="s">
        <v>1022</v>
      </c>
      <c r="F662" s="2" t="str">
        <f>"0448489325"</f>
        <v>0448489325</v>
      </c>
      <c r="G662" s="2" t="str">
        <f>"9780448489322"</f>
        <v>9780448489322</v>
      </c>
      <c r="H662" s="1" t="s">
        <v>1023</v>
      </c>
      <c r="I662" s="1" t="s">
        <v>31</v>
      </c>
      <c r="J662" s="1">
        <v>32.0</v>
      </c>
      <c r="K662" s="1">
        <v>2015.0</v>
      </c>
      <c r="L662" s="1">
        <v>2015.0</v>
      </c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 t="s">
        <v>1024</v>
      </c>
      <c r="Y662" s="1" t="s">
        <v>2830</v>
      </c>
    </row>
    <row r="663">
      <c r="A663" s="1">
        <v>5.8586405E7</v>
      </c>
      <c r="B663" s="1" t="s">
        <v>2831</v>
      </c>
      <c r="C663" s="1" t="s">
        <v>1021</v>
      </c>
      <c r="D663" s="1" t="s">
        <v>1022</v>
      </c>
      <c r="F663" s="2" t="str">
        <f>"006298425X"</f>
        <v>006298425X</v>
      </c>
      <c r="G663" s="2" t="str">
        <f>"9780062984258"</f>
        <v>9780062984258</v>
      </c>
      <c r="H663" s="1" t="s">
        <v>290</v>
      </c>
      <c r="I663" s="1" t="s">
        <v>31</v>
      </c>
      <c r="J663" s="1">
        <v>32.0</v>
      </c>
      <c r="K663" s="1">
        <v>2022.0</v>
      </c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 t="s">
        <v>1024</v>
      </c>
      <c r="Y663" s="1" t="s">
        <v>2832</v>
      </c>
    </row>
    <row r="664">
      <c r="A664" s="1">
        <v>4.0988975E7</v>
      </c>
      <c r="B664" s="1" t="s">
        <v>2833</v>
      </c>
      <c r="C664" s="1" t="s">
        <v>1021</v>
      </c>
      <c r="D664" s="1" t="s">
        <v>1022</v>
      </c>
      <c r="F664" s="2" t="str">
        <f>"1524790826"</f>
        <v>1524790826</v>
      </c>
      <c r="G664" s="2" t="str">
        <f>"9781524790820"</f>
        <v>9781524790820</v>
      </c>
      <c r="H664" s="1" t="s">
        <v>1023</v>
      </c>
      <c r="I664" s="1" t="s">
        <v>31</v>
      </c>
      <c r="J664" s="1">
        <v>32.0</v>
      </c>
      <c r="K664" s="1">
        <v>2019.0</v>
      </c>
      <c r="L664" s="1">
        <v>2019.0</v>
      </c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 t="s">
        <v>1024</v>
      </c>
      <c r="Y664" s="1" t="s">
        <v>2834</v>
      </c>
    </row>
    <row r="665">
      <c r="A665" s="1">
        <v>1.2944383E7</v>
      </c>
      <c r="B665" s="1" t="s">
        <v>2835</v>
      </c>
      <c r="C665" s="1" t="s">
        <v>1021</v>
      </c>
      <c r="D665" s="1" t="s">
        <v>1022</v>
      </c>
      <c r="F665" s="2" t="str">
        <f>"0399255567"</f>
        <v>0399255567</v>
      </c>
      <c r="G665" s="2" t="str">
        <f>"9780399255564"</f>
        <v>9780399255564</v>
      </c>
      <c r="H665" s="1" t="s">
        <v>1023</v>
      </c>
      <c r="I665" s="1" t="s">
        <v>31</v>
      </c>
      <c r="J665" s="1">
        <v>32.0</v>
      </c>
      <c r="K665" s="1">
        <v>1981.0</v>
      </c>
      <c r="L665" s="1">
        <v>1969.0</v>
      </c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 t="s">
        <v>1024</v>
      </c>
      <c r="Y665" s="1" t="s">
        <v>2836</v>
      </c>
    </row>
    <row r="666">
      <c r="A666" s="1">
        <v>79879.0</v>
      </c>
      <c r="B666" s="1" t="s">
        <v>2837</v>
      </c>
      <c r="C666" s="1" t="s">
        <v>1021</v>
      </c>
      <c r="D666" s="1" t="s">
        <v>1022</v>
      </c>
      <c r="F666" s="2" t="str">
        <f>"0061119725"</f>
        <v>0061119725</v>
      </c>
      <c r="G666" s="2" t="str">
        <f>"9780061119729"</f>
        <v>9780061119729</v>
      </c>
      <c r="H666" s="1" t="s">
        <v>290</v>
      </c>
      <c r="I666" s="1" t="s">
        <v>36</v>
      </c>
      <c r="J666" s="1">
        <v>32.0</v>
      </c>
      <c r="K666" s="1">
        <v>2007.0</v>
      </c>
      <c r="L666" s="1">
        <v>1997.0</v>
      </c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 t="s">
        <v>1839</v>
      </c>
      <c r="Y666" s="1" t="s">
        <v>2838</v>
      </c>
    </row>
    <row r="667">
      <c r="A667" s="1">
        <v>394771.0</v>
      </c>
      <c r="B667" s="1" t="s">
        <v>2839</v>
      </c>
      <c r="C667" s="1" t="s">
        <v>1021</v>
      </c>
      <c r="D667" s="1" t="s">
        <v>1022</v>
      </c>
      <c r="F667" s="2" t="str">
        <f>"0698115635"</f>
        <v>0698115635</v>
      </c>
      <c r="G667" s="2" t="str">
        <f>"9780698115637"</f>
        <v>9780698115637</v>
      </c>
      <c r="H667" s="1" t="s">
        <v>1023</v>
      </c>
      <c r="I667" s="1" t="s">
        <v>36</v>
      </c>
      <c r="J667" s="1">
        <v>32.0</v>
      </c>
      <c r="K667" s="1">
        <v>1997.0</v>
      </c>
      <c r="L667" s="1">
        <v>1993.0</v>
      </c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 t="s">
        <v>2840</v>
      </c>
      <c r="Y667" s="1" t="s">
        <v>2841</v>
      </c>
    </row>
    <row r="668">
      <c r="A668" s="1">
        <v>8350824.0</v>
      </c>
      <c r="B668" s="1" t="s">
        <v>2842</v>
      </c>
      <c r="C668" s="1" t="s">
        <v>2843</v>
      </c>
      <c r="D668" s="1" t="s">
        <v>2844</v>
      </c>
      <c r="F668" s="2" t="str">
        <f>"1426307101"</f>
        <v>1426307101</v>
      </c>
      <c r="G668" s="2" t="str">
        <f>"9781426307102"</f>
        <v>9781426307102</v>
      </c>
      <c r="H668" s="1" t="s">
        <v>1490</v>
      </c>
      <c r="I668" s="1" t="s">
        <v>36</v>
      </c>
      <c r="J668" s="1">
        <v>32.0</v>
      </c>
      <c r="K668" s="1">
        <v>2010.0</v>
      </c>
      <c r="L668" s="1">
        <v>2010.0</v>
      </c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 t="s">
        <v>835</v>
      </c>
      <c r="Y668" s="1" t="s">
        <v>2845</v>
      </c>
    </row>
    <row r="669">
      <c r="A669" s="1">
        <v>4771386.0</v>
      </c>
      <c r="B669" s="1" t="s">
        <v>2846</v>
      </c>
      <c r="C669" s="1" t="s">
        <v>2847</v>
      </c>
      <c r="D669" s="1" t="s">
        <v>2848</v>
      </c>
      <c r="E669" s="1" t="s">
        <v>2849</v>
      </c>
      <c r="F669" s="2" t="str">
        <f>"0823414345"</f>
        <v>0823414345</v>
      </c>
      <c r="G669" s="2" t="str">
        <f>"9780823414345"</f>
        <v>9780823414345</v>
      </c>
      <c r="H669" s="1" t="s">
        <v>2347</v>
      </c>
      <c r="I669" s="1" t="s">
        <v>31</v>
      </c>
      <c r="J669" s="1">
        <v>32.0</v>
      </c>
      <c r="K669" s="1">
        <v>1999.0</v>
      </c>
      <c r="L669" s="1">
        <v>1999.0</v>
      </c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 t="s">
        <v>412</v>
      </c>
      <c r="Y669" s="1" t="s">
        <v>2850</v>
      </c>
    </row>
    <row r="670">
      <c r="A670" s="1">
        <v>4.1104281E7</v>
      </c>
      <c r="B670" s="1" t="s">
        <v>2851</v>
      </c>
      <c r="C670" s="1" t="s">
        <v>2852</v>
      </c>
      <c r="D670" s="1" t="s">
        <v>2853</v>
      </c>
      <c r="F670" s="2" t="str">
        <f>"1454929928"</f>
        <v>1454929928</v>
      </c>
      <c r="G670" s="2" t="str">
        <f>"9781454929925"</f>
        <v>9781454929925</v>
      </c>
      <c r="H670" s="1" t="s">
        <v>1271</v>
      </c>
      <c r="I670" s="1" t="s">
        <v>31</v>
      </c>
      <c r="J670" s="1">
        <v>32.0</v>
      </c>
      <c r="K670" s="1">
        <v>2019.0</v>
      </c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 t="s">
        <v>2854</v>
      </c>
      <c r="Y670" s="1" t="s">
        <v>2855</v>
      </c>
    </row>
    <row r="671">
      <c r="A671" s="1">
        <v>4.2630485E7</v>
      </c>
      <c r="B671" s="1" t="s">
        <v>2856</v>
      </c>
      <c r="C671" s="1" t="s">
        <v>2857</v>
      </c>
      <c r="D671" s="1" t="s">
        <v>2858</v>
      </c>
      <c r="F671" s="2" t="str">
        <f>"8484705773"</f>
        <v>8484705773</v>
      </c>
      <c r="G671" s="2" t="str">
        <f>"9788484705772"</f>
        <v>9788484705772</v>
      </c>
      <c r="H671" s="1" t="s">
        <v>2859</v>
      </c>
      <c r="I671" s="1" t="s">
        <v>31</v>
      </c>
      <c r="J671" s="1">
        <v>32.0</v>
      </c>
      <c r="K671" s="1">
        <v>2018.0</v>
      </c>
      <c r="L671" s="1">
        <v>2016.0</v>
      </c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 t="s">
        <v>37</v>
      </c>
      <c r="Y671" s="1" t="s">
        <v>2860</v>
      </c>
    </row>
    <row r="672">
      <c r="A672" s="1">
        <v>9.1881313E7</v>
      </c>
      <c r="B672" s="1" t="s">
        <v>2861</v>
      </c>
      <c r="C672" s="1" t="s">
        <v>2862</v>
      </c>
      <c r="D672" s="1" t="s">
        <v>2863</v>
      </c>
      <c r="F672" s="2" t="str">
        <f>"1680725785"</f>
        <v>1680725785</v>
      </c>
      <c r="G672" s="2" t="str">
        <f>"9781680725780"</f>
        <v>9781680725780</v>
      </c>
      <c r="H672" s="1" t="s">
        <v>2864</v>
      </c>
      <c r="I672" s="1" t="s">
        <v>91</v>
      </c>
      <c r="J672" s="1">
        <v>32.0</v>
      </c>
      <c r="K672" s="1">
        <v>2017.0</v>
      </c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 t="s">
        <v>92</v>
      </c>
      <c r="Y672" s="1" t="s">
        <v>2865</v>
      </c>
    </row>
    <row r="673">
      <c r="A673" s="1">
        <v>955192.0</v>
      </c>
      <c r="B673" s="1" t="s">
        <v>2866</v>
      </c>
      <c r="C673" s="1" t="s">
        <v>2867</v>
      </c>
      <c r="D673" s="1" t="s">
        <v>2868</v>
      </c>
      <c r="F673" s="2" t="str">
        <f>"0803725531"</f>
        <v>0803725531</v>
      </c>
      <c r="G673" s="2" t="str">
        <f>"9780803725539"</f>
        <v>9780803725539</v>
      </c>
      <c r="H673" s="1" t="s">
        <v>2869</v>
      </c>
      <c r="I673" s="1" t="s">
        <v>31</v>
      </c>
      <c r="J673" s="1">
        <v>32.0</v>
      </c>
      <c r="K673" s="1">
        <v>2002.0</v>
      </c>
      <c r="L673" s="1">
        <v>2002.0</v>
      </c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 t="s">
        <v>1317</v>
      </c>
      <c r="Y673" s="1" t="s">
        <v>2870</v>
      </c>
    </row>
    <row r="674">
      <c r="A674" s="1">
        <v>4.0944115E7</v>
      </c>
      <c r="B674" s="1" t="s">
        <v>2871</v>
      </c>
      <c r="C674" s="1" t="s">
        <v>2872</v>
      </c>
      <c r="D674" s="1" t="s">
        <v>2873</v>
      </c>
      <c r="E674" s="1" t="s">
        <v>2874</v>
      </c>
      <c r="F674" s="2" t="str">
        <f>"0525553363"</f>
        <v>0525553363</v>
      </c>
      <c r="G674" s="2" t="str">
        <f>"9780525553366"</f>
        <v>9780525553366</v>
      </c>
      <c r="H674" s="1" t="s">
        <v>2875</v>
      </c>
      <c r="I674" s="1" t="s">
        <v>31</v>
      </c>
      <c r="J674" s="1">
        <v>32.0</v>
      </c>
      <c r="K674" s="1">
        <v>2019.0</v>
      </c>
      <c r="L674" s="1">
        <v>2019.0</v>
      </c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 t="s">
        <v>1084</v>
      </c>
      <c r="Y674" s="1" t="s">
        <v>2876</v>
      </c>
    </row>
    <row r="675">
      <c r="A675" s="1">
        <v>3.852658E7</v>
      </c>
      <c r="B675" s="1" t="s">
        <v>2877</v>
      </c>
      <c r="C675" s="1" t="s">
        <v>2878</v>
      </c>
      <c r="D675" s="1" t="s">
        <v>2879</v>
      </c>
      <c r="E675" s="1" t="s">
        <v>2880</v>
      </c>
      <c r="F675" s="2" t="str">
        <f>"076246285X"</f>
        <v>076246285X</v>
      </c>
      <c r="G675" s="2" t="str">
        <f>"9780762462858"</f>
        <v>9780762462858</v>
      </c>
      <c r="H675" s="1" t="s">
        <v>2881</v>
      </c>
      <c r="I675" s="1" t="s">
        <v>31</v>
      </c>
      <c r="J675" s="1">
        <v>32.0</v>
      </c>
      <c r="K675" s="1">
        <v>2018.0</v>
      </c>
      <c r="L675" s="1">
        <v>2018.0</v>
      </c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 t="s">
        <v>1105</v>
      </c>
      <c r="Y675" s="1" t="s">
        <v>2882</v>
      </c>
    </row>
    <row r="676">
      <c r="A676" s="1">
        <v>3.4220081E7</v>
      </c>
      <c r="B676" s="1" t="s">
        <v>2883</v>
      </c>
      <c r="C676" s="1" t="s">
        <v>2878</v>
      </c>
      <c r="D676" s="1" t="s">
        <v>2879</v>
      </c>
      <c r="E676" s="1" t="s">
        <v>2884</v>
      </c>
      <c r="F676" s="2" t="str">
        <f>"0762459662"</f>
        <v>0762459662</v>
      </c>
      <c r="G676" s="2" t="str">
        <f>"9780762459667"</f>
        <v>9780762459667</v>
      </c>
      <c r="H676" s="1" t="s">
        <v>2881</v>
      </c>
      <c r="I676" s="1" t="s">
        <v>31</v>
      </c>
      <c r="J676" s="1">
        <v>32.0</v>
      </c>
      <c r="K676" s="1">
        <v>2017.0</v>
      </c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 t="s">
        <v>1105</v>
      </c>
      <c r="Y676" s="1" t="s">
        <v>2885</v>
      </c>
    </row>
    <row r="677">
      <c r="A677" s="1">
        <v>1554931.0</v>
      </c>
      <c r="B677" s="1" t="s">
        <v>2886</v>
      </c>
      <c r="C677" s="1" t="s">
        <v>2887</v>
      </c>
      <c r="D677" s="1" t="s">
        <v>2888</v>
      </c>
      <c r="E677" s="1" t="s">
        <v>2889</v>
      </c>
      <c r="F677" s="2" t="str">
        <f>"0762411201"</f>
        <v>0762411201</v>
      </c>
      <c r="G677" s="2" t="str">
        <f>"9780762411207"</f>
        <v>9780762411207</v>
      </c>
      <c r="H677" s="1" t="s">
        <v>2881</v>
      </c>
      <c r="I677" s="1" t="s">
        <v>31</v>
      </c>
      <c r="J677" s="1">
        <v>32.0</v>
      </c>
      <c r="K677" s="1">
        <v>2001.0</v>
      </c>
      <c r="L677" s="1">
        <v>1897.0</v>
      </c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 t="s">
        <v>863</v>
      </c>
      <c r="Y677" s="1" t="s">
        <v>2890</v>
      </c>
    </row>
    <row r="678">
      <c r="A678" s="1">
        <v>3582316.0</v>
      </c>
      <c r="B678" s="1" t="s">
        <v>2891</v>
      </c>
      <c r="C678" s="1" t="s">
        <v>2892</v>
      </c>
      <c r="D678" s="1" t="s">
        <v>2893</v>
      </c>
      <c r="E678" s="1" t="s">
        <v>2894</v>
      </c>
      <c r="F678" s="2" t="str">
        <f>"0553058630"</f>
        <v>0553058630</v>
      </c>
      <c r="G678" s="2" t="str">
        <f>"9780553058635"</f>
        <v>9780553058635</v>
      </c>
      <c r="H678" s="1" t="s">
        <v>2895</v>
      </c>
      <c r="I678" s="1" t="s">
        <v>31</v>
      </c>
      <c r="J678" s="1">
        <v>32.0</v>
      </c>
      <c r="K678" s="1">
        <v>1990.0</v>
      </c>
      <c r="L678" s="1">
        <v>1990.0</v>
      </c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 t="s">
        <v>83</v>
      </c>
      <c r="Y678" s="1" t="s">
        <v>2896</v>
      </c>
    </row>
    <row r="679">
      <c r="A679" s="1">
        <v>32955.0</v>
      </c>
      <c r="B679" s="1" t="s">
        <v>2897</v>
      </c>
      <c r="C679" s="1" t="s">
        <v>2898</v>
      </c>
      <c r="D679" s="1" t="s">
        <v>2899</v>
      </c>
      <c r="F679" s="2" t="str">
        <f>"0679890076"</f>
        <v>0679890076</v>
      </c>
      <c r="G679" s="2" t="str">
        <f>"9780679890072"</f>
        <v>9780679890072</v>
      </c>
      <c r="H679" s="1" t="s">
        <v>2751</v>
      </c>
      <c r="I679" s="1" t="s">
        <v>36</v>
      </c>
      <c r="J679" s="1">
        <v>32.0</v>
      </c>
      <c r="K679" s="1">
        <v>1997.0</v>
      </c>
      <c r="L679" s="1">
        <v>1994.0</v>
      </c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 t="s">
        <v>61</v>
      </c>
      <c r="Y679" s="1" t="s">
        <v>2900</v>
      </c>
    </row>
    <row r="680">
      <c r="A680" s="1">
        <v>2025079.0</v>
      </c>
      <c r="B680" s="1" t="s">
        <v>2901</v>
      </c>
      <c r="C680" s="1" t="s">
        <v>2902</v>
      </c>
      <c r="D680" s="1" t="s">
        <v>2903</v>
      </c>
      <c r="E680" s="1" t="s">
        <v>2904</v>
      </c>
      <c r="F680" s="2" t="str">
        <f>"0688066194"</f>
        <v>0688066194</v>
      </c>
      <c r="G680" s="2" t="str">
        <f>"9780688066192"</f>
        <v>9780688066192</v>
      </c>
      <c r="H680" s="1" t="s">
        <v>290</v>
      </c>
      <c r="I680" s="1" t="s">
        <v>31</v>
      </c>
      <c r="J680" s="1">
        <v>32.0</v>
      </c>
      <c r="K680" s="1">
        <v>1987.0</v>
      </c>
      <c r="L680" s="1">
        <v>1987.0</v>
      </c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 t="s">
        <v>510</v>
      </c>
      <c r="Y680" s="1" t="s">
        <v>2905</v>
      </c>
    </row>
    <row r="681">
      <c r="A681" s="1">
        <v>3.4504361E7</v>
      </c>
      <c r="B681" s="1" t="s">
        <v>2906</v>
      </c>
      <c r="C681" s="1" t="s">
        <v>2907</v>
      </c>
      <c r="D681" s="1" t="s">
        <v>2908</v>
      </c>
      <c r="E681" s="1" t="s">
        <v>2909</v>
      </c>
      <c r="F681" s="2" t="str">
        <f>"1524741728"</f>
        <v>1524741728</v>
      </c>
      <c r="G681" s="2" t="str">
        <f>"9781524741723"</f>
        <v>9781524741723</v>
      </c>
      <c r="H681" s="1" t="s">
        <v>2253</v>
      </c>
      <c r="I681" s="1" t="s">
        <v>31</v>
      </c>
      <c r="J681" s="1">
        <v>32.0</v>
      </c>
      <c r="K681" s="1">
        <v>2017.0</v>
      </c>
      <c r="L681" s="1">
        <v>2017.0</v>
      </c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 t="s">
        <v>1195</v>
      </c>
      <c r="Y681" s="1" t="s">
        <v>2910</v>
      </c>
    </row>
    <row r="682">
      <c r="A682" s="1">
        <v>5.0695151E7</v>
      </c>
      <c r="B682" s="1" t="s">
        <v>2911</v>
      </c>
      <c r="C682" s="1" t="s">
        <v>2907</v>
      </c>
      <c r="D682" s="1" t="s">
        <v>2908</v>
      </c>
      <c r="E682" s="1" t="s">
        <v>2909</v>
      </c>
      <c r="F682" s="2" t="str">
        <f>"059311454X"</f>
        <v>059311454X</v>
      </c>
      <c r="G682" s="2" t="str">
        <f>"9780593114544"</f>
        <v>9780593114544</v>
      </c>
      <c r="H682" s="1" t="s">
        <v>2253</v>
      </c>
      <c r="I682" s="1" t="s">
        <v>31</v>
      </c>
      <c r="J682" s="1">
        <v>32.0</v>
      </c>
      <c r="K682" s="1">
        <v>2020.0</v>
      </c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 t="s">
        <v>1195</v>
      </c>
      <c r="Y682" s="1" t="s">
        <v>2912</v>
      </c>
    </row>
    <row r="683">
      <c r="A683" s="1">
        <v>1.1737284E7</v>
      </c>
      <c r="B683" s="1" t="s">
        <v>2913</v>
      </c>
      <c r="C683" s="1" t="s">
        <v>2914</v>
      </c>
      <c r="D683" s="1" t="s">
        <v>2915</v>
      </c>
      <c r="F683" s="2" t="str">
        <f>"0670013099"</f>
        <v>0670013099</v>
      </c>
      <c r="G683" s="2" t="str">
        <f>"9780670013098"</f>
        <v>9780670013098</v>
      </c>
      <c r="H683" s="1" t="s">
        <v>2916</v>
      </c>
      <c r="I683" s="1" t="s">
        <v>31</v>
      </c>
      <c r="J683" s="1">
        <v>32.0</v>
      </c>
      <c r="K683" s="1">
        <v>2012.0</v>
      </c>
      <c r="L683" s="1">
        <v>2012.0</v>
      </c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 t="s">
        <v>61</v>
      </c>
      <c r="Y683" s="1" t="s">
        <v>2917</v>
      </c>
    </row>
    <row r="684">
      <c r="A684" s="1">
        <v>4243388.0</v>
      </c>
      <c r="B684" s="1" t="s">
        <v>2918</v>
      </c>
      <c r="C684" s="1" t="s">
        <v>2919</v>
      </c>
      <c r="D684" s="1" t="s">
        <v>2920</v>
      </c>
      <c r="E684" s="1" t="s">
        <v>2921</v>
      </c>
      <c r="F684" s="2" t="str">
        <f>"0822586509"</f>
        <v>0822586509</v>
      </c>
      <c r="G684" s="2" t="str">
        <f>"9780822586500"</f>
        <v>9780822586500</v>
      </c>
      <c r="H684" s="1" t="s">
        <v>2922</v>
      </c>
      <c r="I684" s="1" t="s">
        <v>36</v>
      </c>
      <c r="J684" s="1">
        <v>32.0</v>
      </c>
      <c r="K684" s="1">
        <v>2008.0</v>
      </c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 t="s">
        <v>1466</v>
      </c>
      <c r="Y684" s="1" t="s">
        <v>2923</v>
      </c>
    </row>
    <row r="685">
      <c r="A685" s="1">
        <v>5.4776555E7</v>
      </c>
      <c r="B685" s="1" t="s">
        <v>2924</v>
      </c>
      <c r="C685" s="1" t="s">
        <v>209</v>
      </c>
      <c r="D685" s="1" t="s">
        <v>210</v>
      </c>
      <c r="E685" s="1" t="s">
        <v>1697</v>
      </c>
      <c r="F685" s="2" t="str">
        <f>"1338668307"</f>
        <v>1338668307</v>
      </c>
      <c r="G685" s="2" t="str">
        <f>"9781338668308"</f>
        <v>9781338668308</v>
      </c>
      <c r="H685" s="1" t="s">
        <v>817</v>
      </c>
      <c r="I685" s="1" t="s">
        <v>67</v>
      </c>
      <c r="J685" s="1">
        <v>32.0</v>
      </c>
      <c r="K685" s="1">
        <v>2021.0</v>
      </c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 t="s">
        <v>212</v>
      </c>
      <c r="Y685" s="1" t="s">
        <v>2925</v>
      </c>
    </row>
    <row r="686">
      <c r="A686" s="1">
        <v>1.3591674E7</v>
      </c>
      <c r="B686" s="1" t="s">
        <v>2926</v>
      </c>
      <c r="C686" s="1" t="s">
        <v>209</v>
      </c>
      <c r="D686" s="1" t="s">
        <v>210</v>
      </c>
      <c r="E686" s="1" t="s">
        <v>1697</v>
      </c>
      <c r="F686" s="2" t="str">
        <f>"0545352231"</f>
        <v>0545352231</v>
      </c>
      <c r="G686" s="2" t="str">
        <f>"9780545352239"</f>
        <v>9780545352239</v>
      </c>
      <c r="H686" s="1" t="s">
        <v>817</v>
      </c>
      <c r="I686" s="1" t="s">
        <v>36</v>
      </c>
      <c r="J686" s="1">
        <v>32.0</v>
      </c>
      <c r="K686" s="1">
        <v>2012.0</v>
      </c>
      <c r="L686" s="1">
        <v>2012.0</v>
      </c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 t="s">
        <v>212</v>
      </c>
      <c r="Y686" s="1" t="s">
        <v>2927</v>
      </c>
    </row>
    <row r="687">
      <c r="A687" s="1">
        <v>2029842.0</v>
      </c>
      <c r="B687" s="1" t="s">
        <v>2928</v>
      </c>
      <c r="C687" s="1" t="s">
        <v>209</v>
      </c>
      <c r="D687" s="1" t="s">
        <v>210</v>
      </c>
      <c r="E687" s="1" t="s">
        <v>1697</v>
      </c>
      <c r="F687" s="2" t="str">
        <f>"0439567033"</f>
        <v>0439567033</v>
      </c>
      <c r="G687" s="2" t="str">
        <f>"9780439567039"</f>
        <v>9780439567039</v>
      </c>
      <c r="H687" s="1" t="s">
        <v>817</v>
      </c>
      <c r="I687" s="1" t="s">
        <v>36</v>
      </c>
      <c r="J687" s="1">
        <v>32.0</v>
      </c>
      <c r="K687" s="1">
        <v>2003.0</v>
      </c>
      <c r="L687" s="1">
        <v>1995.0</v>
      </c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 t="s">
        <v>212</v>
      </c>
      <c r="Y687" s="1" t="s">
        <v>2929</v>
      </c>
    </row>
    <row r="688">
      <c r="A688" s="1">
        <v>2490980.0</v>
      </c>
      <c r="B688" s="1" t="s">
        <v>2930</v>
      </c>
      <c r="C688" s="1" t="s">
        <v>209</v>
      </c>
      <c r="D688" s="1" t="s">
        <v>210</v>
      </c>
      <c r="E688" s="1" t="s">
        <v>1697</v>
      </c>
      <c r="F688" s="2" t="str">
        <f>"0439873800"</f>
        <v>0439873800</v>
      </c>
      <c r="G688" s="2" t="str">
        <f>"9780439873802"</f>
        <v>9780439873802</v>
      </c>
      <c r="H688" s="1" t="s">
        <v>86</v>
      </c>
      <c r="I688" s="1" t="s">
        <v>36</v>
      </c>
      <c r="J688" s="1">
        <v>32.0</v>
      </c>
      <c r="K688" s="1">
        <v>2008.0</v>
      </c>
      <c r="L688" s="1">
        <v>2006.0</v>
      </c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 t="s">
        <v>212</v>
      </c>
      <c r="Y688" s="1" t="s">
        <v>2931</v>
      </c>
    </row>
    <row r="689">
      <c r="A689" s="1">
        <v>1.3228477E7</v>
      </c>
      <c r="B689" s="1" t="s">
        <v>2932</v>
      </c>
      <c r="C689" s="1" t="s">
        <v>209</v>
      </c>
      <c r="D689" s="1" t="s">
        <v>210</v>
      </c>
      <c r="F689" s="2" t="str">
        <f>"0545402875"</f>
        <v>0545402875</v>
      </c>
      <c r="G689" s="2" t="str">
        <f>"9780545402873"</f>
        <v>9780545402873</v>
      </c>
      <c r="H689" s="1" t="s">
        <v>86</v>
      </c>
      <c r="I689" s="1" t="s">
        <v>36</v>
      </c>
      <c r="J689" s="1">
        <v>32.0</v>
      </c>
      <c r="K689" s="1">
        <v>2012.0</v>
      </c>
      <c r="L689" s="1">
        <v>2012.0</v>
      </c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 t="s">
        <v>212</v>
      </c>
      <c r="Y689" s="1" t="s">
        <v>2933</v>
      </c>
    </row>
    <row r="690">
      <c r="A690" s="1">
        <v>8332386.0</v>
      </c>
      <c r="B690" s="1" t="s">
        <v>2934</v>
      </c>
      <c r="C690" s="1" t="s">
        <v>209</v>
      </c>
      <c r="D690" s="1" t="s">
        <v>210</v>
      </c>
      <c r="E690" s="1" t="s">
        <v>1697</v>
      </c>
      <c r="F690" s="2" t="str">
        <f>"0545241987"</f>
        <v>0545241987</v>
      </c>
      <c r="G690" s="2" t="str">
        <f>"9780545241984"</f>
        <v>9780545241984</v>
      </c>
      <c r="H690" s="1" t="s">
        <v>86</v>
      </c>
      <c r="I690" s="1" t="s">
        <v>36</v>
      </c>
      <c r="J690" s="1">
        <v>32.0</v>
      </c>
      <c r="K690" s="1">
        <v>2010.0</v>
      </c>
      <c r="L690" s="1">
        <v>2010.0</v>
      </c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 t="s">
        <v>212</v>
      </c>
      <c r="Y690" s="1" t="s">
        <v>2935</v>
      </c>
    </row>
    <row r="691">
      <c r="A691" s="1">
        <v>2.2718718E7</v>
      </c>
      <c r="B691" s="1" t="s">
        <v>2936</v>
      </c>
      <c r="C691" s="1" t="s">
        <v>2937</v>
      </c>
      <c r="D691" s="1" t="s">
        <v>2938</v>
      </c>
      <c r="E691" s="1" t="s">
        <v>2939</v>
      </c>
      <c r="F691" s="2" t="str">
        <f>"125004992X"</f>
        <v>125004992X</v>
      </c>
      <c r="G691" s="2" t="str">
        <f>"9781250049926"</f>
        <v>9781250049926</v>
      </c>
      <c r="H691" s="1" t="s">
        <v>2940</v>
      </c>
      <c r="I691" s="1" t="s">
        <v>31</v>
      </c>
      <c r="J691" s="1">
        <v>32.0</v>
      </c>
      <c r="K691" s="1">
        <v>2015.0</v>
      </c>
      <c r="L691" s="1">
        <v>2015.0</v>
      </c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 t="s">
        <v>863</v>
      </c>
      <c r="Y691" s="1" t="s">
        <v>2941</v>
      </c>
    </row>
    <row r="692">
      <c r="A692" s="1">
        <v>638981.0</v>
      </c>
      <c r="B692" s="1" t="s">
        <v>2942</v>
      </c>
      <c r="C692" s="1" t="s">
        <v>747</v>
      </c>
      <c r="D692" s="1" t="s">
        <v>748</v>
      </c>
      <c r="E692" s="1" t="s">
        <v>2943</v>
      </c>
      <c r="F692" s="2" t="str">
        <f>"0590738720"</f>
        <v>0590738720</v>
      </c>
      <c r="G692" s="2" t="str">
        <f>"9780590738729"</f>
        <v>9780590738729</v>
      </c>
      <c r="H692" s="1" t="s">
        <v>2944</v>
      </c>
      <c r="I692" s="1" t="s">
        <v>36</v>
      </c>
      <c r="J692" s="1">
        <v>32.0</v>
      </c>
      <c r="K692" s="1">
        <v>1996.0</v>
      </c>
      <c r="L692" s="1">
        <v>1996.0</v>
      </c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 t="s">
        <v>629</v>
      </c>
      <c r="Y692" s="1" t="s">
        <v>2945</v>
      </c>
    </row>
    <row r="693">
      <c r="A693" s="1">
        <v>1316394.0</v>
      </c>
      <c r="B693" s="1" t="s">
        <v>2946</v>
      </c>
      <c r="C693" s="1" t="s">
        <v>2947</v>
      </c>
      <c r="D693" s="1" t="s">
        <v>2948</v>
      </c>
      <c r="F693" s="2" t="str">
        <f>"059085951X"</f>
        <v>059085951X</v>
      </c>
      <c r="G693" s="2" t="str">
        <f>"9780590859516"</f>
        <v>9780590859516</v>
      </c>
      <c r="H693" s="1" t="s">
        <v>504</v>
      </c>
      <c r="I693" s="1" t="s">
        <v>36</v>
      </c>
      <c r="J693" s="1">
        <v>32.0</v>
      </c>
      <c r="K693" s="1">
        <v>1996.0</v>
      </c>
      <c r="L693" s="1">
        <v>1996.0</v>
      </c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 t="s">
        <v>92</v>
      </c>
      <c r="Y693" s="1" t="s">
        <v>2949</v>
      </c>
    </row>
    <row r="694">
      <c r="A694" s="1">
        <v>5.8824568E7</v>
      </c>
      <c r="B694" s="1" t="s">
        <v>2950</v>
      </c>
      <c r="C694" s="1" t="s">
        <v>2247</v>
      </c>
      <c r="D694" s="1" t="s">
        <v>2248</v>
      </c>
      <c r="E694" s="1" t="s">
        <v>2951</v>
      </c>
      <c r="F694" s="2" t="str">
        <f>"1338769987"</f>
        <v>1338769987</v>
      </c>
      <c r="G694" s="2" t="str">
        <f>"9781338769982"</f>
        <v>9781338769982</v>
      </c>
      <c r="H694" s="1" t="s">
        <v>1575</v>
      </c>
      <c r="I694" s="1" t="s">
        <v>238</v>
      </c>
      <c r="J694" s="1">
        <v>32.0</v>
      </c>
      <c r="K694" s="1">
        <v>2021.0</v>
      </c>
      <c r="L694" s="1">
        <v>1995.0</v>
      </c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 t="s">
        <v>37</v>
      </c>
      <c r="Y694" s="1" t="s">
        <v>2952</v>
      </c>
    </row>
    <row r="695">
      <c r="A695" s="1">
        <v>2.7172195E7</v>
      </c>
      <c r="B695" s="1" t="s">
        <v>2953</v>
      </c>
      <c r="C695" s="1" t="s">
        <v>849</v>
      </c>
      <c r="D695" s="1" t="s">
        <v>850</v>
      </c>
      <c r="E695" s="1" t="s">
        <v>2954</v>
      </c>
      <c r="F695" s="2" t="str">
        <f>"1484774108"</f>
        <v>1484774108</v>
      </c>
      <c r="G695" s="2" t="str">
        <f>"9781484774106"</f>
        <v>9781484774106</v>
      </c>
      <c r="H695" s="1" t="s">
        <v>2955</v>
      </c>
      <c r="I695" s="1" t="s">
        <v>36</v>
      </c>
      <c r="J695" s="1">
        <v>32.0</v>
      </c>
      <c r="K695" s="1">
        <v>2016.0</v>
      </c>
      <c r="L695" s="1">
        <v>2016.0</v>
      </c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 t="s">
        <v>329</v>
      </c>
      <c r="Y695" s="1" t="s">
        <v>2956</v>
      </c>
    </row>
    <row r="696">
      <c r="A696" s="1">
        <v>866600.0</v>
      </c>
      <c r="B696" s="1" t="s">
        <v>2957</v>
      </c>
      <c r="C696" s="1" t="s">
        <v>2958</v>
      </c>
      <c r="D696" s="1" t="s">
        <v>2959</v>
      </c>
      <c r="E696" s="1" t="s">
        <v>2958</v>
      </c>
      <c r="F696" s="2" t="str">
        <f>"0064433064"</f>
        <v>0064433064</v>
      </c>
      <c r="G696" s="2" t="str">
        <f>"9780064433068"</f>
        <v>9780064433068</v>
      </c>
      <c r="H696" s="1" t="s">
        <v>290</v>
      </c>
      <c r="I696" s="1" t="s">
        <v>36</v>
      </c>
      <c r="J696" s="1">
        <v>32.0</v>
      </c>
      <c r="K696" s="1">
        <v>1995.0</v>
      </c>
      <c r="L696" s="1">
        <v>1989.0</v>
      </c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 t="s">
        <v>579</v>
      </c>
      <c r="Y696" s="1" t="s">
        <v>2960</v>
      </c>
    </row>
    <row r="697">
      <c r="A697" s="1">
        <v>334818.0</v>
      </c>
      <c r="B697" s="1" t="s">
        <v>2961</v>
      </c>
      <c r="C697" s="1" t="s">
        <v>2962</v>
      </c>
      <c r="D697" s="1" t="s">
        <v>2963</v>
      </c>
      <c r="F697" s="2" t="str">
        <f>"0140505393"</f>
        <v>0140505393</v>
      </c>
      <c r="G697" s="2" t="str">
        <f>"9780140505399"</f>
        <v>9780140505399</v>
      </c>
      <c r="H697" s="1" t="s">
        <v>753</v>
      </c>
      <c r="I697" s="1" t="s">
        <v>36</v>
      </c>
      <c r="J697" s="1">
        <v>32.0</v>
      </c>
      <c r="K697" s="1">
        <v>1985.0</v>
      </c>
      <c r="L697" s="1">
        <v>1982.0</v>
      </c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 t="s">
        <v>1235</v>
      </c>
      <c r="Y697" s="1" t="s">
        <v>2964</v>
      </c>
    </row>
    <row r="698">
      <c r="A698" s="1">
        <v>1.4849604E7</v>
      </c>
      <c r="B698" s="1" t="s">
        <v>2965</v>
      </c>
      <c r="C698" s="1" t="s">
        <v>2966</v>
      </c>
      <c r="D698" s="1" t="s">
        <v>2967</v>
      </c>
      <c r="F698" s="2" t="str">
        <f>"0399233423"</f>
        <v>0399233423</v>
      </c>
      <c r="G698" s="2" t="str">
        <f>"9780399233425"</f>
        <v>9780399233425</v>
      </c>
      <c r="H698" s="1" t="s">
        <v>2253</v>
      </c>
      <c r="I698" s="1" t="s">
        <v>31</v>
      </c>
      <c r="J698" s="1">
        <v>32.0</v>
      </c>
      <c r="K698" s="1">
        <v>2013.0</v>
      </c>
      <c r="L698" s="1">
        <v>2013.0</v>
      </c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 t="s">
        <v>742</v>
      </c>
      <c r="Y698" s="1" t="s">
        <v>2968</v>
      </c>
    </row>
    <row r="699">
      <c r="A699" s="1">
        <v>3.1159205E7</v>
      </c>
      <c r="B699" s="1" t="s">
        <v>2969</v>
      </c>
      <c r="C699" s="1" t="s">
        <v>2966</v>
      </c>
      <c r="D699" s="1" t="s">
        <v>2967</v>
      </c>
      <c r="F699" s="2" t="str">
        <f>"0399167404"</f>
        <v>0399167404</v>
      </c>
      <c r="G699" s="2" t="str">
        <f>"9780399167409"</f>
        <v>9780399167409</v>
      </c>
      <c r="H699" s="1" t="s">
        <v>2253</v>
      </c>
      <c r="I699" s="1" t="s">
        <v>31</v>
      </c>
      <c r="J699" s="1">
        <v>32.0</v>
      </c>
      <c r="K699" s="1">
        <v>2017.0</v>
      </c>
      <c r="L699" s="1">
        <v>2017.0</v>
      </c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 t="s">
        <v>742</v>
      </c>
      <c r="Y699" s="1" t="s">
        <v>2970</v>
      </c>
    </row>
    <row r="700">
      <c r="A700" s="1">
        <v>7837466.0</v>
      </c>
      <c r="B700" s="1" t="s">
        <v>2971</v>
      </c>
      <c r="C700" s="1" t="s">
        <v>2972</v>
      </c>
      <c r="D700" s="1" t="s">
        <v>2973</v>
      </c>
      <c r="F700" s="2" t="str">
        <f>"849515028X"</f>
        <v>849515028X</v>
      </c>
      <c r="G700" s="2" t="str">
        <f>"9788495150288"</f>
        <v>9788495150288</v>
      </c>
      <c r="H700" s="1" t="s">
        <v>2859</v>
      </c>
      <c r="I700" s="1" t="s">
        <v>36</v>
      </c>
      <c r="J700" s="1">
        <v>32.0</v>
      </c>
      <c r="K700" s="1">
        <v>1999.0</v>
      </c>
      <c r="L700" s="1">
        <v>1995.0</v>
      </c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 t="s">
        <v>297</v>
      </c>
      <c r="Y700" s="1" t="s">
        <v>2974</v>
      </c>
    </row>
    <row r="701">
      <c r="A701" s="1">
        <v>1405311.0</v>
      </c>
      <c r="B701" s="1" t="s">
        <v>2975</v>
      </c>
      <c r="C701" s="1" t="s">
        <v>2976</v>
      </c>
      <c r="D701" s="1" t="s">
        <v>2977</v>
      </c>
      <c r="F701" s="2" t="str">
        <f>"0375828605"</f>
        <v>0375828605</v>
      </c>
      <c r="G701" s="2" t="str">
        <f>"9780375828607"</f>
        <v>9780375828607</v>
      </c>
      <c r="H701" s="1" t="s">
        <v>156</v>
      </c>
      <c r="I701" s="1" t="s">
        <v>36</v>
      </c>
      <c r="J701" s="1">
        <v>32.0</v>
      </c>
      <c r="K701" s="1">
        <v>2004.0</v>
      </c>
      <c r="L701" s="1">
        <v>1995.0</v>
      </c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 t="s">
        <v>83</v>
      </c>
      <c r="Y701" s="1" t="s">
        <v>2978</v>
      </c>
    </row>
    <row r="702">
      <c r="A702" s="1">
        <v>5.1007703E7</v>
      </c>
      <c r="B702" s="1" t="s">
        <v>2979</v>
      </c>
      <c r="C702" s="1" t="s">
        <v>2980</v>
      </c>
      <c r="D702" s="1" t="s">
        <v>2981</v>
      </c>
      <c r="F702" s="2" t="str">
        <f>"1536207160"</f>
        <v>1536207160</v>
      </c>
      <c r="G702" s="2" t="str">
        <f>"9781536207163"</f>
        <v>9781536207163</v>
      </c>
      <c r="H702" s="1" t="s">
        <v>945</v>
      </c>
      <c r="I702" s="1" t="s">
        <v>31</v>
      </c>
      <c r="J702" s="1">
        <v>32.0</v>
      </c>
      <c r="K702" s="1">
        <v>2020.0</v>
      </c>
      <c r="L702" s="1">
        <v>2020.0</v>
      </c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 t="s">
        <v>1219</v>
      </c>
      <c r="Y702" s="1" t="s">
        <v>2982</v>
      </c>
    </row>
    <row r="703">
      <c r="A703" s="1">
        <v>3.1625795E7</v>
      </c>
      <c r="B703" s="1" t="s">
        <v>2983</v>
      </c>
      <c r="C703" s="1" t="s">
        <v>2980</v>
      </c>
      <c r="D703" s="1" t="s">
        <v>2981</v>
      </c>
      <c r="F703" s="2" t="str">
        <f>"0763678384"</f>
        <v>0763678384</v>
      </c>
      <c r="G703" s="2" t="str">
        <f>"9780763678388"</f>
        <v>9780763678388</v>
      </c>
      <c r="H703" s="1" t="s">
        <v>945</v>
      </c>
      <c r="I703" s="1" t="s">
        <v>31</v>
      </c>
      <c r="J703" s="1">
        <v>32.0</v>
      </c>
      <c r="K703" s="1">
        <v>2017.0</v>
      </c>
      <c r="L703" s="1">
        <v>2017.0</v>
      </c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 t="s">
        <v>1219</v>
      </c>
      <c r="Y703" s="1" t="s">
        <v>2984</v>
      </c>
    </row>
    <row r="704">
      <c r="A704" s="1">
        <v>5.2368681E7</v>
      </c>
      <c r="B704" s="1" t="s">
        <v>2985</v>
      </c>
      <c r="C704" s="1" t="s">
        <v>2980</v>
      </c>
      <c r="D704" s="1" t="s">
        <v>2981</v>
      </c>
      <c r="E704" s="1" t="s">
        <v>2986</v>
      </c>
      <c r="F704" s="2" t="str">
        <f>"1536212547"</f>
        <v>1536212547</v>
      </c>
      <c r="G704" s="2" t="str">
        <f>"9781536212549"</f>
        <v>9781536212549</v>
      </c>
      <c r="H704" s="1" t="s">
        <v>945</v>
      </c>
      <c r="I704" s="1" t="s">
        <v>36</v>
      </c>
      <c r="J704" s="1">
        <v>32.0</v>
      </c>
      <c r="K704" s="1">
        <v>2020.0</v>
      </c>
      <c r="L704" s="1">
        <v>2017.0</v>
      </c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 t="s">
        <v>61</v>
      </c>
      <c r="Y704" s="1" t="s">
        <v>2987</v>
      </c>
    </row>
    <row r="705">
      <c r="A705" s="1">
        <v>871555.0</v>
      </c>
      <c r="B705" s="1" t="s">
        <v>2988</v>
      </c>
      <c r="C705" s="1" t="s">
        <v>2989</v>
      </c>
      <c r="D705" s="1" t="s">
        <v>2990</v>
      </c>
      <c r="F705" s="2" t="str">
        <f>"1416917055"</f>
        <v>1416917055</v>
      </c>
      <c r="G705" s="2" t="str">
        <f>"9781416917052"</f>
        <v>9781416917052</v>
      </c>
      <c r="I705" s="1" t="s">
        <v>36</v>
      </c>
      <c r="J705" s="1">
        <v>32.0</v>
      </c>
      <c r="K705" s="1">
        <v>2007.0</v>
      </c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 t="s">
        <v>2991</v>
      </c>
      <c r="Y705" s="1" t="s">
        <v>2992</v>
      </c>
    </row>
    <row r="706">
      <c r="A706" s="1">
        <v>906836.0</v>
      </c>
      <c r="B706" s="1" t="s">
        <v>2993</v>
      </c>
      <c r="C706" s="1" t="s">
        <v>2994</v>
      </c>
      <c r="D706" s="1" t="s">
        <v>2995</v>
      </c>
      <c r="E706" s="1" t="s">
        <v>2996</v>
      </c>
      <c r="F706" s="2" t="str">
        <f>"0385500300"</f>
        <v>0385500300</v>
      </c>
      <c r="G706" s="2" t="str">
        <f>"9780385500302"</f>
        <v>9780385500302</v>
      </c>
      <c r="H706" s="1" t="s">
        <v>2997</v>
      </c>
      <c r="I706" s="1" t="s">
        <v>31</v>
      </c>
      <c r="J706" s="1">
        <v>32.0</v>
      </c>
      <c r="K706" s="1">
        <v>2000.0</v>
      </c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 t="s">
        <v>1219</v>
      </c>
      <c r="Y706" s="1" t="s">
        <v>2998</v>
      </c>
    </row>
    <row r="707">
      <c r="A707" s="1">
        <v>3.4228347E7</v>
      </c>
      <c r="B707" s="1" t="s">
        <v>2999</v>
      </c>
      <c r="C707" s="1" t="s">
        <v>3000</v>
      </c>
      <c r="D707" s="1" t="s">
        <v>3001</v>
      </c>
      <c r="E707" s="1" t="s">
        <v>3002</v>
      </c>
      <c r="F707" s="2" t="str">
        <f>"1481444964"</f>
        <v>1481444964</v>
      </c>
      <c r="G707" s="2" t="str">
        <f>"9781481444965"</f>
        <v>9781481444965</v>
      </c>
      <c r="H707" s="1" t="s">
        <v>3003</v>
      </c>
      <c r="I707" s="1" t="s">
        <v>31</v>
      </c>
      <c r="J707" s="1">
        <v>32.0</v>
      </c>
      <c r="K707" s="1">
        <v>2017.0</v>
      </c>
      <c r="L707" s="1">
        <v>2017.0</v>
      </c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 t="s">
        <v>1201</v>
      </c>
      <c r="Y707" s="1" t="s">
        <v>3004</v>
      </c>
    </row>
    <row r="708">
      <c r="A708" s="1">
        <v>3.6373278E7</v>
      </c>
      <c r="B708" s="1" t="s">
        <v>3005</v>
      </c>
      <c r="C708" s="1" t="s">
        <v>3000</v>
      </c>
      <c r="D708" s="1" t="s">
        <v>3001</v>
      </c>
      <c r="E708" s="1" t="s">
        <v>3002</v>
      </c>
      <c r="F708" s="2" t="str">
        <f>"1534414495"</f>
        <v>1534414495</v>
      </c>
      <c r="G708" s="2" t="str">
        <f>"9781534414495"</f>
        <v>9781534414495</v>
      </c>
      <c r="H708" s="1" t="s">
        <v>3003</v>
      </c>
      <c r="I708" s="1" t="s">
        <v>31</v>
      </c>
      <c r="J708" s="1">
        <v>32.0</v>
      </c>
      <c r="K708" s="1">
        <v>2018.0</v>
      </c>
      <c r="L708" s="1">
        <v>2018.0</v>
      </c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 t="s">
        <v>1359</v>
      </c>
      <c r="Y708" s="1" t="s">
        <v>3006</v>
      </c>
    </row>
    <row r="709">
      <c r="A709" s="1">
        <v>1.6059388E7</v>
      </c>
      <c r="B709" s="1" t="s">
        <v>3007</v>
      </c>
      <c r="C709" s="1" t="s">
        <v>3008</v>
      </c>
      <c r="D709" s="1" t="s">
        <v>3009</v>
      </c>
      <c r="E709" s="1" t="s">
        <v>3008</v>
      </c>
      <c r="F709" s="2" t="str">
        <f>"0802728030"</f>
        <v>0802728030</v>
      </c>
      <c r="G709" s="2" t="str">
        <f>"9780802728036"</f>
        <v>9780802728036</v>
      </c>
      <c r="H709" s="1" t="s">
        <v>3010</v>
      </c>
      <c r="I709" s="1" t="s">
        <v>31</v>
      </c>
      <c r="J709" s="1">
        <v>32.0</v>
      </c>
      <c r="K709" s="1">
        <v>2013.0</v>
      </c>
      <c r="L709" s="1">
        <v>2013.0</v>
      </c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 t="s">
        <v>412</v>
      </c>
      <c r="Y709" s="1" t="s">
        <v>3011</v>
      </c>
    </row>
    <row r="710">
      <c r="A710" s="1">
        <v>9527312.0</v>
      </c>
      <c r="B710" s="1" t="s">
        <v>3012</v>
      </c>
      <c r="C710" s="1" t="s">
        <v>3013</v>
      </c>
      <c r="D710" s="1" t="s">
        <v>3014</v>
      </c>
      <c r="F710" s="2" t="str">
        <f>"1933032650"</f>
        <v>1933032650</v>
      </c>
      <c r="G710" s="2" t="str">
        <f>"9781933032658"</f>
        <v>9781933032658</v>
      </c>
      <c r="H710" s="1" t="s">
        <v>191</v>
      </c>
      <c r="I710" s="1" t="s">
        <v>36</v>
      </c>
      <c r="J710" s="1">
        <v>32.0</v>
      </c>
      <c r="K710" s="1">
        <v>2010.0</v>
      </c>
      <c r="L710" s="1">
        <v>2010.0</v>
      </c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 t="s">
        <v>109</v>
      </c>
      <c r="Y710" s="1" t="s">
        <v>3015</v>
      </c>
    </row>
    <row r="711">
      <c r="A711" s="1">
        <v>1376588.0</v>
      </c>
      <c r="B711" s="1" t="s">
        <v>3016</v>
      </c>
      <c r="C711" s="1" t="s">
        <v>3017</v>
      </c>
      <c r="D711" s="1" t="s">
        <v>3018</v>
      </c>
      <c r="F711" s="2" t="str">
        <f>"0689717989"</f>
        <v>0689717989</v>
      </c>
      <c r="G711" s="2" t="str">
        <f>"9780689717987"</f>
        <v>9780689717987</v>
      </c>
      <c r="H711" s="1" t="s">
        <v>2496</v>
      </c>
      <c r="I711" s="1" t="s">
        <v>36</v>
      </c>
      <c r="J711" s="1">
        <v>32.0</v>
      </c>
      <c r="K711" s="1">
        <v>1994.0</v>
      </c>
      <c r="L711" s="1">
        <v>1991.0</v>
      </c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 t="s">
        <v>3019</v>
      </c>
      <c r="Y711" s="1" t="s">
        <v>3020</v>
      </c>
    </row>
    <row r="712">
      <c r="A712" s="1">
        <v>3192597.0</v>
      </c>
      <c r="B712" s="1" t="s">
        <v>3021</v>
      </c>
      <c r="C712" s="1" t="s">
        <v>3022</v>
      </c>
      <c r="D712" s="1" t="s">
        <v>3023</v>
      </c>
      <c r="E712" s="1" t="s">
        <v>3024</v>
      </c>
      <c r="F712" s="2" t="str">
        <f>"0061127590"</f>
        <v>0061127590</v>
      </c>
      <c r="G712" s="2" t="str">
        <f>"9780061127595"</f>
        <v>9780061127595</v>
      </c>
      <c r="H712" s="1" t="s">
        <v>290</v>
      </c>
      <c r="I712" s="1" t="s">
        <v>31</v>
      </c>
      <c r="J712" s="1">
        <v>32.0</v>
      </c>
      <c r="K712" s="1">
        <v>2008.0</v>
      </c>
      <c r="L712" s="1">
        <v>2008.0</v>
      </c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 t="s">
        <v>1219</v>
      </c>
      <c r="Y712" s="1" t="s">
        <v>3025</v>
      </c>
    </row>
    <row r="713">
      <c r="A713" s="1">
        <v>2794457.0</v>
      </c>
      <c r="B713" s="1" t="s">
        <v>3026</v>
      </c>
      <c r="C713" s="1" t="s">
        <v>3027</v>
      </c>
      <c r="D713" s="1" t="s">
        <v>3028</v>
      </c>
      <c r="E713" s="1" t="s">
        <v>3029</v>
      </c>
      <c r="F713" s="2" t="str">
        <f>"0689861885"</f>
        <v>0689861885</v>
      </c>
      <c r="G713" s="2" t="str">
        <f>"9780689861888"</f>
        <v>9780689861888</v>
      </c>
      <c r="H713" s="1" t="s">
        <v>3030</v>
      </c>
      <c r="I713" s="1" t="s">
        <v>31</v>
      </c>
      <c r="J713" s="1">
        <v>32.0</v>
      </c>
      <c r="K713" s="1">
        <v>2008.0</v>
      </c>
      <c r="L713" s="1">
        <v>2008.0</v>
      </c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 t="s">
        <v>2298</v>
      </c>
      <c r="Y713" s="1" t="s">
        <v>3031</v>
      </c>
    </row>
    <row r="714">
      <c r="A714" s="1">
        <v>955191.0</v>
      </c>
      <c r="B714" s="1" t="s">
        <v>3032</v>
      </c>
      <c r="C714" s="1" t="s">
        <v>3027</v>
      </c>
      <c r="D714" s="1" t="s">
        <v>3028</v>
      </c>
      <c r="E714" s="1" t="s">
        <v>2867</v>
      </c>
      <c r="F714" s="2" t="str">
        <f>"0805029540"</f>
        <v>0805029540</v>
      </c>
      <c r="G714" s="2" t="str">
        <f>"9780805029543"</f>
        <v>9780805029543</v>
      </c>
      <c r="H714" s="1" t="s">
        <v>3033</v>
      </c>
      <c r="I714" s="1" t="s">
        <v>36</v>
      </c>
      <c r="J714" s="1">
        <v>32.0</v>
      </c>
      <c r="K714" s="1">
        <v>1993.0</v>
      </c>
      <c r="L714" s="1">
        <v>1991.0</v>
      </c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 t="s">
        <v>510</v>
      </c>
      <c r="Y714" s="1" t="s">
        <v>3034</v>
      </c>
    </row>
    <row r="715">
      <c r="A715" s="1">
        <v>7.2813724E7</v>
      </c>
      <c r="B715" s="1" t="s">
        <v>3035</v>
      </c>
      <c r="C715" s="1" t="s">
        <v>3036</v>
      </c>
      <c r="D715" s="1" t="s">
        <v>3037</v>
      </c>
      <c r="E715" s="1" t="s">
        <v>3038</v>
      </c>
      <c r="F715" s="2" t="str">
        <f>"1733325921"</f>
        <v>1733325921</v>
      </c>
      <c r="G715" s="2" t="str">
        <f>"9781733325929"</f>
        <v>9781733325929</v>
      </c>
      <c r="H715" s="1" t="s">
        <v>3039</v>
      </c>
      <c r="I715" s="1" t="s">
        <v>36</v>
      </c>
      <c r="J715" s="1">
        <v>32.0</v>
      </c>
      <c r="K715" s="1">
        <v>2022.0</v>
      </c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 t="s">
        <v>1024</v>
      </c>
      <c r="Y715" s="1" t="s">
        <v>3040</v>
      </c>
    </row>
    <row r="716">
      <c r="A716" s="1">
        <v>4.0597256E7</v>
      </c>
      <c r="B716" s="1" t="s">
        <v>3041</v>
      </c>
      <c r="C716" s="1" t="s">
        <v>3042</v>
      </c>
      <c r="D716" s="1" t="s">
        <v>3043</v>
      </c>
      <c r="E716" s="1" t="s">
        <v>3044</v>
      </c>
      <c r="F716" s="2" t="str">
        <f>"1492664731"</f>
        <v>1492664731</v>
      </c>
      <c r="G716" s="2" t="str">
        <f>"9781492664734"</f>
        <v>9781492664734</v>
      </c>
      <c r="H716" s="1" t="s">
        <v>1465</v>
      </c>
      <c r="I716" s="1" t="s">
        <v>31</v>
      </c>
      <c r="J716" s="1">
        <v>32.0</v>
      </c>
      <c r="K716" s="1">
        <v>2020.0</v>
      </c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 t="s">
        <v>363</v>
      </c>
      <c r="Y716" s="1" t="s">
        <v>3045</v>
      </c>
    </row>
    <row r="717">
      <c r="A717" s="1">
        <v>2074193.0</v>
      </c>
      <c r="B717" s="1" t="s">
        <v>3046</v>
      </c>
      <c r="C717" s="1" t="s">
        <v>3047</v>
      </c>
      <c r="D717" s="1" t="s">
        <v>3048</v>
      </c>
      <c r="F717" s="2" t="str">
        <f>"1929039247"</f>
        <v>1929039247</v>
      </c>
      <c r="G717" s="2" t="str">
        <f>"9781929039241"</f>
        <v>9781929039241</v>
      </c>
      <c r="H717" s="1" t="s">
        <v>3049</v>
      </c>
      <c r="I717" s="1" t="s">
        <v>31</v>
      </c>
      <c r="J717" s="1">
        <v>32.0</v>
      </c>
      <c r="K717" s="1">
        <v>2004.0</v>
      </c>
      <c r="L717" s="1">
        <v>2004.0</v>
      </c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 t="s">
        <v>863</v>
      </c>
      <c r="Y717" s="1" t="s">
        <v>3050</v>
      </c>
    </row>
    <row r="718">
      <c r="A718" s="1">
        <v>1.3518928E7</v>
      </c>
      <c r="B718" s="1" t="s">
        <v>3051</v>
      </c>
      <c r="C718" s="1" t="s">
        <v>3052</v>
      </c>
      <c r="D718" s="1" t="s">
        <v>3053</v>
      </c>
      <c r="E718" s="1" t="s">
        <v>3054</v>
      </c>
      <c r="F718" s="2" t="str">
        <f>"031620384X"</f>
        <v>031620384X</v>
      </c>
      <c r="G718" s="2" t="str">
        <f>"9780316203845"</f>
        <v>9780316203845</v>
      </c>
      <c r="H718" s="1" t="s">
        <v>3055</v>
      </c>
      <c r="I718" s="1" t="s">
        <v>31</v>
      </c>
      <c r="J718" s="1">
        <v>32.0</v>
      </c>
      <c r="K718" s="1">
        <v>2012.0</v>
      </c>
      <c r="L718" s="1">
        <v>2012.0</v>
      </c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 t="s">
        <v>412</v>
      </c>
      <c r="Y718" s="1" t="s">
        <v>3056</v>
      </c>
    </row>
    <row r="719">
      <c r="A719" s="1">
        <v>2.9058898E7</v>
      </c>
      <c r="B719" s="1" t="s">
        <v>3057</v>
      </c>
      <c r="C719" s="1" t="s">
        <v>3058</v>
      </c>
      <c r="D719" s="1" t="s">
        <v>3059</v>
      </c>
      <c r="E719" s="1" t="s">
        <v>3060</v>
      </c>
      <c r="F719" s="2" t="str">
        <f>"1515806529"</f>
        <v>1515806529</v>
      </c>
      <c r="G719" s="2" t="str">
        <f>"9781515806523"</f>
        <v>9781515806523</v>
      </c>
      <c r="H719" s="1" t="s">
        <v>584</v>
      </c>
      <c r="I719" s="1" t="s">
        <v>91</v>
      </c>
      <c r="J719" s="1">
        <v>32.0</v>
      </c>
      <c r="K719" s="1">
        <v>2016.0</v>
      </c>
      <c r="L719" s="1">
        <v>2016.0</v>
      </c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 t="s">
        <v>2100</v>
      </c>
      <c r="Y719" s="1" t="s">
        <v>3061</v>
      </c>
    </row>
    <row r="720">
      <c r="A720" s="1">
        <v>3971248.0</v>
      </c>
      <c r="B720" s="1" t="s">
        <v>3062</v>
      </c>
      <c r="C720" s="1" t="s">
        <v>3063</v>
      </c>
      <c r="D720" s="1" t="s">
        <v>3064</v>
      </c>
      <c r="E720" s="1" t="s">
        <v>3065</v>
      </c>
      <c r="F720" s="2" t="str">
        <f>"0385327463"</f>
        <v>0385327463</v>
      </c>
      <c r="G720" s="2" t="str">
        <f>"9780385327466"</f>
        <v>9780385327466</v>
      </c>
      <c r="H720" s="1" t="s">
        <v>3066</v>
      </c>
      <c r="I720" s="1" t="s">
        <v>31</v>
      </c>
      <c r="J720" s="1">
        <v>32.0</v>
      </c>
      <c r="K720" s="1">
        <v>2002.0</v>
      </c>
      <c r="L720" s="1">
        <v>2002.0</v>
      </c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 t="s">
        <v>1317</v>
      </c>
      <c r="Y720" s="1" t="s">
        <v>3067</v>
      </c>
    </row>
    <row r="721">
      <c r="A721" s="1">
        <v>2.0674702E7</v>
      </c>
      <c r="B721" s="1" t="s">
        <v>3068</v>
      </c>
      <c r="C721" s="1" t="s">
        <v>3069</v>
      </c>
      <c r="D721" s="1" t="s">
        <v>3070</v>
      </c>
      <c r="F721" s="2" t="str">
        <f>"1771380209"</f>
        <v>1771380209</v>
      </c>
      <c r="G721" s="2" t="str">
        <f>"9781771380201"</f>
        <v>9781771380201</v>
      </c>
      <c r="H721" s="1" t="s">
        <v>3071</v>
      </c>
      <c r="I721" s="1" t="s">
        <v>31</v>
      </c>
      <c r="J721" s="1">
        <v>32.0</v>
      </c>
      <c r="K721" s="1">
        <v>2014.0</v>
      </c>
      <c r="L721" s="1">
        <v>2014.0</v>
      </c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 t="s">
        <v>212</v>
      </c>
      <c r="Y721" s="1" t="s">
        <v>3072</v>
      </c>
    </row>
    <row r="722">
      <c r="A722" s="1">
        <v>955293.0</v>
      </c>
      <c r="B722" s="1" t="s">
        <v>3073</v>
      </c>
      <c r="C722" s="1" t="s">
        <v>3074</v>
      </c>
      <c r="D722" s="1" t="s">
        <v>3075</v>
      </c>
      <c r="F722" s="2" t="str">
        <f>"0439472571"</f>
        <v>0439472571</v>
      </c>
      <c r="G722" s="2" t="str">
        <f>"9780439472579"</f>
        <v>9780439472579</v>
      </c>
      <c r="H722" s="1" t="s">
        <v>3076</v>
      </c>
      <c r="I722" s="1" t="s">
        <v>31</v>
      </c>
      <c r="J722" s="1">
        <v>32.0</v>
      </c>
      <c r="K722" s="1">
        <v>2004.0</v>
      </c>
      <c r="L722" s="1">
        <v>2004.0</v>
      </c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 t="s">
        <v>3077</v>
      </c>
      <c r="Y722" s="1" t="s">
        <v>3078</v>
      </c>
    </row>
    <row r="723">
      <c r="A723" s="1">
        <v>781453.0</v>
      </c>
      <c r="B723" s="1" t="s">
        <v>3079</v>
      </c>
      <c r="C723" s="1" t="s">
        <v>963</v>
      </c>
      <c r="D723" s="1" t="s">
        <v>964</v>
      </c>
      <c r="E723" s="1" t="s">
        <v>3080</v>
      </c>
      <c r="F723" s="2" t="str">
        <f>"0794503012"</f>
        <v>0794503012</v>
      </c>
      <c r="G723" s="2" t="str">
        <f>"9780794503017"</f>
        <v>9780794503017</v>
      </c>
      <c r="H723" s="1" t="s">
        <v>917</v>
      </c>
      <c r="I723" s="1" t="s">
        <v>36</v>
      </c>
      <c r="J723" s="1">
        <v>32.0</v>
      </c>
      <c r="K723" s="1">
        <v>2003.0</v>
      </c>
      <c r="L723" s="1">
        <v>2002.0</v>
      </c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 t="s">
        <v>1117</v>
      </c>
      <c r="Y723" s="1" t="s">
        <v>3081</v>
      </c>
    </row>
    <row r="724">
      <c r="A724" s="1">
        <v>2.3315816E7</v>
      </c>
      <c r="B724" s="1" t="s">
        <v>3082</v>
      </c>
      <c r="C724" s="1" t="s">
        <v>1059</v>
      </c>
      <c r="D724" s="1" t="s">
        <v>1060</v>
      </c>
      <c r="E724" s="1" t="s">
        <v>3083</v>
      </c>
      <c r="F724" s="2" t="str">
        <f>"0062303864"</f>
        <v>0062303864</v>
      </c>
      <c r="G724" s="2" t="str">
        <f>"9780062303868"</f>
        <v>9780062303868</v>
      </c>
      <c r="H724" s="1" t="s">
        <v>290</v>
      </c>
      <c r="I724" s="1" t="s">
        <v>31</v>
      </c>
      <c r="J724" s="1">
        <v>32.0</v>
      </c>
      <c r="K724" s="1">
        <v>2015.0</v>
      </c>
      <c r="L724" s="1">
        <v>2015.0</v>
      </c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 t="s">
        <v>960</v>
      </c>
      <c r="Y724" s="1" t="s">
        <v>3084</v>
      </c>
    </row>
    <row r="725">
      <c r="A725" s="1">
        <v>3.1371488E7</v>
      </c>
      <c r="B725" s="1" t="s">
        <v>3085</v>
      </c>
      <c r="C725" s="1" t="s">
        <v>1059</v>
      </c>
      <c r="D725" s="1" t="s">
        <v>1060</v>
      </c>
      <c r="E725" s="1" t="s">
        <v>3083</v>
      </c>
      <c r="F725" s="2" t="str">
        <f>"0062404326"</f>
        <v>0062404326</v>
      </c>
      <c r="G725" s="2" t="str">
        <f>"9780062404329"</f>
        <v>9780062404329</v>
      </c>
      <c r="H725" s="1" t="s">
        <v>290</v>
      </c>
      <c r="I725" s="1" t="s">
        <v>31</v>
      </c>
      <c r="J725" s="1">
        <v>32.0</v>
      </c>
      <c r="K725" s="1">
        <v>2017.0</v>
      </c>
      <c r="L725" s="1">
        <v>2017.0</v>
      </c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 t="s">
        <v>960</v>
      </c>
      <c r="Y725" s="1" t="s">
        <v>3086</v>
      </c>
    </row>
    <row r="726">
      <c r="A726" s="1">
        <v>2.8512697E7</v>
      </c>
      <c r="B726" s="1" t="s">
        <v>3087</v>
      </c>
      <c r="C726" s="1" t="s">
        <v>1059</v>
      </c>
      <c r="D726" s="1" t="s">
        <v>1060</v>
      </c>
      <c r="E726" s="1" t="s">
        <v>3083</v>
      </c>
      <c r="F726" s="2" t="str">
        <f>"0062404253"</f>
        <v>0062404253</v>
      </c>
      <c r="G726" s="2" t="str">
        <f>"9780062404251"</f>
        <v>9780062404251</v>
      </c>
      <c r="H726" s="1" t="s">
        <v>290</v>
      </c>
      <c r="I726" s="1" t="s">
        <v>31</v>
      </c>
      <c r="J726" s="1">
        <v>32.0</v>
      </c>
      <c r="K726" s="1">
        <v>2016.0</v>
      </c>
      <c r="L726" s="1">
        <v>2016.0</v>
      </c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 t="s">
        <v>51</v>
      </c>
      <c r="Y726" s="1" t="s">
        <v>3088</v>
      </c>
    </row>
    <row r="727">
      <c r="A727" s="1">
        <v>3.4848503E7</v>
      </c>
      <c r="B727" s="1" t="s">
        <v>3089</v>
      </c>
      <c r="C727" s="1" t="s">
        <v>1059</v>
      </c>
      <c r="D727" s="1" t="s">
        <v>1060</v>
      </c>
      <c r="E727" s="1" t="s">
        <v>3083</v>
      </c>
      <c r="F727" s="2" t="str">
        <f>"0062675222"</f>
        <v>0062675222</v>
      </c>
      <c r="G727" s="2" t="str">
        <f>"9780062675224"</f>
        <v>9780062675224</v>
      </c>
      <c r="H727" s="1" t="s">
        <v>290</v>
      </c>
      <c r="I727" s="1" t="s">
        <v>31</v>
      </c>
      <c r="J727" s="1">
        <v>32.0</v>
      </c>
      <c r="K727" s="1">
        <v>2018.0</v>
      </c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 t="s">
        <v>1422</v>
      </c>
      <c r="Y727" s="1" t="s">
        <v>3090</v>
      </c>
    </row>
    <row r="728">
      <c r="A728" s="1">
        <v>3.8305144E7</v>
      </c>
      <c r="B728" s="1" t="s">
        <v>3091</v>
      </c>
      <c r="C728" s="1" t="s">
        <v>1059</v>
      </c>
      <c r="D728" s="1" t="s">
        <v>1060</v>
      </c>
      <c r="E728" s="1" t="s">
        <v>3083</v>
      </c>
      <c r="F728" s="2" t="str">
        <f>"0062675311"</f>
        <v>0062675311</v>
      </c>
      <c r="G728" s="2" t="str">
        <f>"9780062675316"</f>
        <v>9780062675316</v>
      </c>
      <c r="H728" s="1" t="s">
        <v>290</v>
      </c>
      <c r="I728" s="1" t="s">
        <v>238</v>
      </c>
      <c r="J728" s="1">
        <v>32.0</v>
      </c>
      <c r="K728" s="1">
        <v>2018.0</v>
      </c>
      <c r="L728" s="1">
        <v>2018.0</v>
      </c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 t="s">
        <v>329</v>
      </c>
      <c r="Y728" s="1" t="s">
        <v>3092</v>
      </c>
    </row>
    <row r="729">
      <c r="A729" s="1">
        <v>3.5261742E7</v>
      </c>
      <c r="B729" s="1" t="s">
        <v>3093</v>
      </c>
      <c r="C729" s="1" t="s">
        <v>1059</v>
      </c>
      <c r="D729" s="1" t="s">
        <v>1060</v>
      </c>
      <c r="E729" s="1" t="s">
        <v>3083</v>
      </c>
      <c r="F729" s="2" t="str">
        <f>"0062675206"</f>
        <v>0062675206</v>
      </c>
      <c r="G729" s="2" t="str">
        <f>"9780062675200"</f>
        <v>9780062675200</v>
      </c>
      <c r="H729" s="1" t="s">
        <v>290</v>
      </c>
      <c r="I729" s="1" t="s">
        <v>238</v>
      </c>
      <c r="J729" s="1">
        <v>32.0</v>
      </c>
      <c r="K729" s="1">
        <v>2017.0</v>
      </c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 t="s">
        <v>51</v>
      </c>
      <c r="Y729" s="1" t="s">
        <v>3094</v>
      </c>
    </row>
    <row r="730">
      <c r="A730" s="1">
        <v>2.8669526E7</v>
      </c>
      <c r="B730" s="1" t="s">
        <v>3095</v>
      </c>
      <c r="C730" s="1" t="s">
        <v>1059</v>
      </c>
      <c r="D730" s="1" t="s">
        <v>1060</v>
      </c>
      <c r="E730" s="1" t="s">
        <v>3083</v>
      </c>
      <c r="F730" s="2" t="str">
        <f>"0062404237"</f>
        <v>0062404237</v>
      </c>
      <c r="G730" s="2" t="str">
        <f>"9780062404237"</f>
        <v>9780062404237</v>
      </c>
      <c r="H730" s="1" t="s">
        <v>290</v>
      </c>
      <c r="I730" s="1" t="s">
        <v>238</v>
      </c>
      <c r="J730" s="1">
        <v>32.0</v>
      </c>
      <c r="K730" s="1">
        <v>2016.0</v>
      </c>
      <c r="L730" s="1">
        <v>2016.0</v>
      </c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 t="s">
        <v>51</v>
      </c>
      <c r="Y730" s="1" t="s">
        <v>3096</v>
      </c>
    </row>
    <row r="731">
      <c r="A731" s="1">
        <v>3.5887186E7</v>
      </c>
      <c r="B731" s="1" t="s">
        <v>3097</v>
      </c>
      <c r="C731" s="1" t="s">
        <v>1059</v>
      </c>
      <c r="D731" s="1" t="s">
        <v>1060</v>
      </c>
      <c r="E731" s="1" t="s">
        <v>3083</v>
      </c>
      <c r="F731" s="2" t="str">
        <f>"0062675249"</f>
        <v>0062675249</v>
      </c>
      <c r="G731" s="2" t="str">
        <f>"9780062675248"</f>
        <v>9780062675248</v>
      </c>
      <c r="H731" s="1" t="s">
        <v>290</v>
      </c>
      <c r="I731" s="1" t="s">
        <v>36</v>
      </c>
      <c r="J731" s="1">
        <v>32.0</v>
      </c>
      <c r="K731" s="1">
        <v>2018.0</v>
      </c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 t="s">
        <v>51</v>
      </c>
      <c r="Y731" s="1" t="s">
        <v>3098</v>
      </c>
    </row>
    <row r="732">
      <c r="A732" s="1">
        <v>1.5818449E7</v>
      </c>
      <c r="B732" s="1" t="s">
        <v>3099</v>
      </c>
      <c r="C732" s="1" t="s">
        <v>1059</v>
      </c>
      <c r="D732" s="1" t="s">
        <v>1060</v>
      </c>
      <c r="E732" s="1" t="s">
        <v>3083</v>
      </c>
      <c r="F732" s="2" t="str">
        <f>"0062110691"</f>
        <v>0062110691</v>
      </c>
      <c r="G732" s="2" t="str">
        <f>"9780062110695"</f>
        <v>9780062110695</v>
      </c>
      <c r="H732" s="1" t="s">
        <v>3100</v>
      </c>
      <c r="I732" s="1" t="s">
        <v>36</v>
      </c>
      <c r="J732" s="1">
        <v>32.0</v>
      </c>
      <c r="K732" s="1">
        <v>2013.0</v>
      </c>
      <c r="L732" s="1">
        <v>2013.0</v>
      </c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 t="s">
        <v>51</v>
      </c>
      <c r="Y732" s="1" t="s">
        <v>3101</v>
      </c>
    </row>
    <row r="733">
      <c r="A733" s="1">
        <v>2.5816942E7</v>
      </c>
      <c r="B733" s="1" t="s">
        <v>3102</v>
      </c>
      <c r="C733" s="1" t="s">
        <v>1059</v>
      </c>
      <c r="D733" s="1" t="s">
        <v>1060</v>
      </c>
      <c r="E733" s="1" t="s">
        <v>3083</v>
      </c>
      <c r="F733" s="2" t="str">
        <f>"0062303880"</f>
        <v>0062303880</v>
      </c>
      <c r="G733" s="2" t="str">
        <f>"9780062303882"</f>
        <v>9780062303882</v>
      </c>
      <c r="H733" s="1" t="s">
        <v>290</v>
      </c>
      <c r="I733" s="1" t="s">
        <v>36</v>
      </c>
      <c r="J733" s="1">
        <v>32.0</v>
      </c>
      <c r="K733" s="1">
        <v>2016.0</v>
      </c>
      <c r="L733" s="1">
        <v>2016.0</v>
      </c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 t="s">
        <v>960</v>
      </c>
      <c r="Y733" s="1" t="s">
        <v>3103</v>
      </c>
    </row>
    <row r="734">
      <c r="A734" s="1">
        <v>2.9875408E7</v>
      </c>
      <c r="B734" s="1" t="s">
        <v>3104</v>
      </c>
      <c r="C734" s="1" t="s">
        <v>1061</v>
      </c>
      <c r="D734" s="1" t="s">
        <v>1064</v>
      </c>
      <c r="E734" s="1" t="s">
        <v>1059</v>
      </c>
      <c r="F734" s="2" t="str">
        <f>"0062404296"</f>
        <v>0062404296</v>
      </c>
      <c r="G734" s="2" t="str">
        <f>"9780062404299"</f>
        <v>9780062404299</v>
      </c>
      <c r="H734" s="1" t="s">
        <v>290</v>
      </c>
      <c r="I734" s="1" t="s">
        <v>31</v>
      </c>
      <c r="J734" s="1">
        <v>32.0</v>
      </c>
      <c r="K734" s="1">
        <v>2017.0</v>
      </c>
      <c r="L734" s="1">
        <v>2017.0</v>
      </c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 t="s">
        <v>51</v>
      </c>
      <c r="Y734" s="1" t="s">
        <v>3105</v>
      </c>
    </row>
    <row r="735">
      <c r="A735" s="1">
        <v>1.5818184E7</v>
      </c>
      <c r="B735" s="1" t="s">
        <v>3106</v>
      </c>
      <c r="C735" s="1" t="s">
        <v>1061</v>
      </c>
      <c r="D735" s="1" t="s">
        <v>1064</v>
      </c>
      <c r="E735" s="1" t="s">
        <v>1059</v>
      </c>
      <c r="F735" s="2" t="str">
        <f>"0062110675"</f>
        <v>0062110675</v>
      </c>
      <c r="G735" s="2" t="str">
        <f>"9780062110671"</f>
        <v>9780062110671</v>
      </c>
      <c r="H735" s="1" t="s">
        <v>290</v>
      </c>
      <c r="I735" s="1" t="s">
        <v>31</v>
      </c>
      <c r="J735" s="1">
        <v>32.0</v>
      </c>
      <c r="K735" s="1">
        <v>2013.0</v>
      </c>
      <c r="L735" s="1">
        <v>2013.0</v>
      </c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 t="s">
        <v>51</v>
      </c>
      <c r="Y735" s="1" t="s">
        <v>3107</v>
      </c>
    </row>
    <row r="736">
      <c r="A736" s="1">
        <v>1.8085446E7</v>
      </c>
      <c r="B736" s="1" t="s">
        <v>3108</v>
      </c>
      <c r="C736" s="1" t="s">
        <v>1061</v>
      </c>
      <c r="D736" s="1" t="s">
        <v>1064</v>
      </c>
      <c r="E736" s="1" t="s">
        <v>1059</v>
      </c>
      <c r="F736" s="2" t="str">
        <f>"0062110764"</f>
        <v>0062110764</v>
      </c>
      <c r="G736" s="2" t="str">
        <f>"9780062110763"</f>
        <v>9780062110763</v>
      </c>
      <c r="H736" s="1" t="s">
        <v>290</v>
      </c>
      <c r="I736" s="1" t="s">
        <v>31</v>
      </c>
      <c r="J736" s="1">
        <v>32.0</v>
      </c>
      <c r="K736" s="1">
        <v>2014.0</v>
      </c>
      <c r="L736" s="1">
        <v>2014.0</v>
      </c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 t="s">
        <v>51</v>
      </c>
      <c r="Y736" s="1" t="s">
        <v>3109</v>
      </c>
    </row>
    <row r="737">
      <c r="A737" s="1">
        <v>4.5183735E7</v>
      </c>
      <c r="B737" s="1" t="s">
        <v>3110</v>
      </c>
      <c r="C737" s="1" t="s">
        <v>1061</v>
      </c>
      <c r="D737" s="1" t="s">
        <v>1064</v>
      </c>
      <c r="E737" s="1" t="s">
        <v>1059</v>
      </c>
      <c r="F737" s="2" t="str">
        <f>"0062868349"</f>
        <v>0062868349</v>
      </c>
      <c r="G737" s="2" t="str">
        <f>"9780062868343"</f>
        <v>9780062868343</v>
      </c>
      <c r="H737" s="1" t="s">
        <v>290</v>
      </c>
      <c r="I737" s="1" t="s">
        <v>238</v>
      </c>
      <c r="J737" s="1">
        <v>32.0</v>
      </c>
      <c r="K737" s="1">
        <v>2019.0</v>
      </c>
      <c r="L737" s="1">
        <v>2019.0</v>
      </c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 t="s">
        <v>51</v>
      </c>
      <c r="Y737" s="1" t="s">
        <v>3111</v>
      </c>
    </row>
    <row r="738">
      <c r="A738" s="1">
        <v>4.3166015E7</v>
      </c>
      <c r="B738" s="1" t="s">
        <v>3112</v>
      </c>
      <c r="C738" s="1" t="s">
        <v>1061</v>
      </c>
      <c r="D738" s="1" t="s">
        <v>1064</v>
      </c>
      <c r="E738" s="1" t="s">
        <v>1059</v>
      </c>
      <c r="F738" s="2" t="str">
        <f>"0062675397"</f>
        <v>0062675397</v>
      </c>
      <c r="G738" s="2" t="str">
        <f>"9780062675392"</f>
        <v>9780062675392</v>
      </c>
      <c r="H738" s="1" t="s">
        <v>290</v>
      </c>
      <c r="I738" s="1" t="s">
        <v>238</v>
      </c>
      <c r="J738" s="1">
        <v>32.0</v>
      </c>
      <c r="K738" s="1">
        <v>2019.0</v>
      </c>
      <c r="L738" s="1">
        <v>2019.0</v>
      </c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 t="s">
        <v>1422</v>
      </c>
      <c r="Y738" s="1" t="s">
        <v>3113</v>
      </c>
    </row>
    <row r="739">
      <c r="A739" s="1">
        <v>5.2583972E7</v>
      </c>
      <c r="B739" s="1" t="s">
        <v>3114</v>
      </c>
      <c r="C739" s="1" t="s">
        <v>1061</v>
      </c>
      <c r="D739" s="1" t="s">
        <v>1064</v>
      </c>
      <c r="E739" s="1" t="s">
        <v>1059</v>
      </c>
      <c r="F739" s="2" t="str">
        <f>"0062868454"</f>
        <v>0062868454</v>
      </c>
      <c r="G739" s="2" t="str">
        <f>"9780062868459"</f>
        <v>9780062868459</v>
      </c>
      <c r="H739" s="1" t="s">
        <v>290</v>
      </c>
      <c r="I739" s="1" t="s">
        <v>36</v>
      </c>
      <c r="J739" s="1">
        <v>32.0</v>
      </c>
      <c r="K739" s="1">
        <v>2020.0</v>
      </c>
      <c r="L739" s="1">
        <v>2020.0</v>
      </c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 t="s">
        <v>51</v>
      </c>
      <c r="Y739" s="1" t="s">
        <v>3115</v>
      </c>
    </row>
    <row r="740">
      <c r="A740" s="1">
        <v>1161992.0</v>
      </c>
      <c r="B740" s="1" t="s">
        <v>3116</v>
      </c>
      <c r="C740" s="1" t="s">
        <v>3117</v>
      </c>
      <c r="D740" s="1" t="s">
        <v>3118</v>
      </c>
      <c r="E740" s="1" t="s">
        <v>3119</v>
      </c>
      <c r="F740" s="2" t="str">
        <f>"1561454257"</f>
        <v>1561454257</v>
      </c>
      <c r="G740" s="2" t="str">
        <f>"9781561454259"</f>
        <v>9781561454259</v>
      </c>
      <c r="H740" s="1" t="s">
        <v>3120</v>
      </c>
      <c r="I740" s="1" t="s">
        <v>31</v>
      </c>
      <c r="J740" s="1">
        <v>32.0</v>
      </c>
      <c r="K740" s="1">
        <v>2007.0</v>
      </c>
      <c r="L740" s="1">
        <v>2007.0</v>
      </c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 t="s">
        <v>109</v>
      </c>
      <c r="Y740" s="1" t="s">
        <v>3121</v>
      </c>
    </row>
    <row r="741">
      <c r="A741" s="1">
        <v>819659.0</v>
      </c>
      <c r="B741" s="1" t="s">
        <v>3122</v>
      </c>
      <c r="C741" s="1" t="s">
        <v>855</v>
      </c>
      <c r="D741" s="1" t="s">
        <v>856</v>
      </c>
      <c r="F741" s="2" t="str">
        <f>"0590418866"</f>
        <v>0590418866</v>
      </c>
      <c r="G741" s="2" t="str">
        <f>"9780590418867"</f>
        <v>9780590418867</v>
      </c>
      <c r="H741" s="1" t="s">
        <v>2944</v>
      </c>
      <c r="I741" s="1" t="s">
        <v>36</v>
      </c>
      <c r="J741" s="1">
        <v>32.0</v>
      </c>
      <c r="K741" s="1">
        <v>1992.0</v>
      </c>
      <c r="L741" s="1">
        <v>1989.0</v>
      </c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 t="s">
        <v>68</v>
      </c>
      <c r="Y741" s="1" t="s">
        <v>3123</v>
      </c>
    </row>
    <row r="742">
      <c r="A742" s="1">
        <v>1.1012811E7</v>
      </c>
      <c r="B742" s="1" t="s">
        <v>3124</v>
      </c>
      <c r="C742" s="1" t="s">
        <v>3125</v>
      </c>
      <c r="D742" s="1" t="s">
        <v>3126</v>
      </c>
      <c r="E742" s="1" t="s">
        <v>2019</v>
      </c>
      <c r="F742" s="2" t="str">
        <f>"0545206294"</f>
        <v>0545206294</v>
      </c>
      <c r="G742" s="2" t="str">
        <f>"9780545206297"</f>
        <v>9780545206297</v>
      </c>
      <c r="H742" s="1" t="s">
        <v>2397</v>
      </c>
      <c r="I742" s="1" t="s">
        <v>31</v>
      </c>
      <c r="J742" s="1">
        <v>32.0</v>
      </c>
      <c r="K742" s="1">
        <v>2011.0</v>
      </c>
      <c r="L742" s="1">
        <v>2011.0</v>
      </c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 t="s">
        <v>405</v>
      </c>
      <c r="Y742" s="1" t="s">
        <v>3127</v>
      </c>
    </row>
    <row r="743">
      <c r="A743" s="1">
        <v>2.8274762E7</v>
      </c>
      <c r="B743" s="1" t="s">
        <v>3128</v>
      </c>
      <c r="C743" s="1" t="s">
        <v>3129</v>
      </c>
      <c r="D743" s="1" t="s">
        <v>3130</v>
      </c>
      <c r="F743" s="2" t="str">
        <f>"1452145032"</f>
        <v>1452145032</v>
      </c>
      <c r="G743" s="2" t="str">
        <f>"9781452145037"</f>
        <v>9781452145037</v>
      </c>
      <c r="H743" s="1" t="s">
        <v>1593</v>
      </c>
      <c r="I743" s="1" t="s">
        <v>67</v>
      </c>
      <c r="J743" s="1">
        <v>32.0</v>
      </c>
      <c r="K743" s="1">
        <v>2016.0</v>
      </c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 t="s">
        <v>897</v>
      </c>
      <c r="Y743" s="1" t="s">
        <v>3131</v>
      </c>
    </row>
    <row r="744">
      <c r="A744" s="1">
        <v>58942.0</v>
      </c>
      <c r="B744" s="1" t="s">
        <v>3132</v>
      </c>
      <c r="C744" s="1" t="s">
        <v>3133</v>
      </c>
      <c r="D744" s="1" t="s">
        <v>3134</v>
      </c>
      <c r="E744" s="1" t="s">
        <v>546</v>
      </c>
      <c r="F744" s="2" t="str">
        <f>"0590202421"</f>
        <v>0590202421</v>
      </c>
      <c r="G744" s="2" t="str">
        <f>"9780590202428"</f>
        <v>9780590202428</v>
      </c>
      <c r="H744" s="1" t="s">
        <v>3076</v>
      </c>
      <c r="I744" s="1" t="s">
        <v>36</v>
      </c>
      <c r="J744" s="1">
        <v>32.0</v>
      </c>
      <c r="K744" s="1">
        <v>1998.0</v>
      </c>
      <c r="L744" s="1">
        <v>1995.0</v>
      </c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 t="s">
        <v>863</v>
      </c>
      <c r="Y744" s="1" t="s">
        <v>3135</v>
      </c>
    </row>
    <row r="745">
      <c r="A745" s="1">
        <v>3.9938161E7</v>
      </c>
      <c r="B745" s="1" t="s">
        <v>3136</v>
      </c>
      <c r="C745" s="1" t="s">
        <v>3137</v>
      </c>
      <c r="D745" s="1" t="s">
        <v>3138</v>
      </c>
      <c r="E745" s="1" t="s">
        <v>3139</v>
      </c>
      <c r="F745" s="2" t="str">
        <f>"0062748688"</f>
        <v>0062748688</v>
      </c>
      <c r="G745" s="2" t="str">
        <f>"9780062748683"</f>
        <v>9780062748683</v>
      </c>
      <c r="H745" s="1" t="s">
        <v>290</v>
      </c>
      <c r="I745" s="1" t="s">
        <v>31</v>
      </c>
      <c r="J745" s="1">
        <v>32.0</v>
      </c>
      <c r="K745" s="1">
        <v>2019.0</v>
      </c>
      <c r="L745" s="1">
        <v>2019.0</v>
      </c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 t="s">
        <v>74</v>
      </c>
      <c r="Y745" s="1" t="s">
        <v>3140</v>
      </c>
    </row>
    <row r="746">
      <c r="A746" s="1">
        <v>98407.0</v>
      </c>
      <c r="B746" s="1" t="s">
        <v>3141</v>
      </c>
      <c r="C746" s="1" t="s">
        <v>2593</v>
      </c>
      <c r="D746" s="1" t="s">
        <v>3142</v>
      </c>
      <c r="F746" s="2" t="str">
        <f>"0698118367"</f>
        <v>0698118367</v>
      </c>
      <c r="G746" s="2" t="str">
        <f>"9780698118362"</f>
        <v>9780698118362</v>
      </c>
      <c r="H746" s="1" t="s">
        <v>753</v>
      </c>
      <c r="I746" s="1" t="s">
        <v>36</v>
      </c>
      <c r="J746" s="1">
        <v>32.0</v>
      </c>
      <c r="K746" s="1">
        <v>2000.0</v>
      </c>
      <c r="L746" s="1">
        <v>1973.0</v>
      </c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 t="s">
        <v>1317</v>
      </c>
      <c r="Y746" s="1" t="s">
        <v>3143</v>
      </c>
    </row>
    <row r="747">
      <c r="A747" s="1">
        <v>1451987.0</v>
      </c>
      <c r="B747" s="1" t="s">
        <v>3144</v>
      </c>
      <c r="C747" s="1" t="s">
        <v>2593</v>
      </c>
      <c r="D747" s="1" t="s">
        <v>3142</v>
      </c>
      <c r="F747" s="2" t="str">
        <f>"0689826974"</f>
        <v>0689826974</v>
      </c>
      <c r="G747" s="2" t="str">
        <f>"9780689826979"</f>
        <v>9780689826979</v>
      </c>
      <c r="H747" s="1" t="s">
        <v>3030</v>
      </c>
      <c r="I747" s="1" t="s">
        <v>36</v>
      </c>
      <c r="J747" s="1">
        <v>32.0</v>
      </c>
      <c r="K747" s="1">
        <v>1999.0</v>
      </c>
      <c r="L747" s="1">
        <v>1973.0</v>
      </c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 t="s">
        <v>543</v>
      </c>
      <c r="Y747" s="1" t="s">
        <v>3145</v>
      </c>
    </row>
    <row r="748">
      <c r="A748" s="1">
        <v>1.8769853E7</v>
      </c>
      <c r="B748" s="1" t="s">
        <v>3146</v>
      </c>
      <c r="C748" s="1" t="s">
        <v>3147</v>
      </c>
      <c r="D748" s="1" t="s">
        <v>3148</v>
      </c>
      <c r="E748" s="1" t="s">
        <v>3149</v>
      </c>
      <c r="F748" s="2" t="str">
        <f>"0375973478"</f>
        <v>0375973478</v>
      </c>
      <c r="G748" s="2" t="str">
        <f>"9780375973475"</f>
        <v>9780375973475</v>
      </c>
      <c r="H748" s="1" t="s">
        <v>156</v>
      </c>
      <c r="I748" s="1" t="s">
        <v>91</v>
      </c>
      <c r="J748" s="1">
        <v>32.0</v>
      </c>
      <c r="K748" s="1">
        <v>2014.0</v>
      </c>
      <c r="L748" s="1">
        <v>2014.0</v>
      </c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 t="s">
        <v>1372</v>
      </c>
      <c r="Y748" s="1" t="s">
        <v>3150</v>
      </c>
    </row>
    <row r="749">
      <c r="A749" s="1">
        <v>3.7585115E7</v>
      </c>
      <c r="B749" s="1" t="s">
        <v>3151</v>
      </c>
      <c r="C749" s="1" t="s">
        <v>3147</v>
      </c>
      <c r="D749" s="1" t="s">
        <v>3148</v>
      </c>
      <c r="E749" s="1" t="s">
        <v>1072</v>
      </c>
      <c r="F749" s="2" t="str">
        <f>"0525580786"</f>
        <v>0525580786</v>
      </c>
      <c r="G749" s="2" t="str">
        <f>"9780525580782"</f>
        <v>9780525580782</v>
      </c>
      <c r="H749" s="1" t="s">
        <v>1565</v>
      </c>
      <c r="I749" s="1" t="s">
        <v>36</v>
      </c>
      <c r="J749" s="1">
        <v>32.0</v>
      </c>
      <c r="K749" s="1">
        <v>2018.0</v>
      </c>
      <c r="L749" s="1">
        <v>2018.0</v>
      </c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 t="s">
        <v>1179</v>
      </c>
      <c r="Y749" s="1" t="s">
        <v>3152</v>
      </c>
    </row>
    <row r="750">
      <c r="A750" s="1">
        <v>5.8984714E7</v>
      </c>
      <c r="B750" s="1" t="s">
        <v>3153</v>
      </c>
      <c r="C750" s="1" t="s">
        <v>3154</v>
      </c>
      <c r="D750" s="1" t="s">
        <v>3155</v>
      </c>
      <c r="E750" s="1" t="s">
        <v>3156</v>
      </c>
      <c r="F750" s="2" t="str">
        <f>"0063216361"</f>
        <v>0063216361</v>
      </c>
      <c r="G750" s="2" t="str">
        <f>"9780063216365"</f>
        <v>9780063216365</v>
      </c>
      <c r="H750" s="1" t="s">
        <v>2736</v>
      </c>
      <c r="I750" s="1" t="s">
        <v>36</v>
      </c>
      <c r="J750" s="1">
        <v>32.0</v>
      </c>
      <c r="K750" s="1">
        <v>2022.0</v>
      </c>
      <c r="L750" s="1">
        <v>2021.0</v>
      </c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 t="s">
        <v>1024</v>
      </c>
      <c r="Y750" s="1" t="s">
        <v>3157</v>
      </c>
    </row>
    <row r="751">
      <c r="A751" s="1">
        <v>4.1183554E7</v>
      </c>
      <c r="B751" s="1" t="s">
        <v>3158</v>
      </c>
      <c r="C751" s="1" t="s">
        <v>225</v>
      </c>
      <c r="D751" s="1" t="s">
        <v>226</v>
      </c>
      <c r="E751" s="1" t="s">
        <v>3159</v>
      </c>
      <c r="F751" s="2" t="str">
        <f>"0763677531"</f>
        <v>0763677531</v>
      </c>
      <c r="G751" s="2" t="str">
        <f>"9780763677534"</f>
        <v>9780763677534</v>
      </c>
      <c r="H751" s="1" t="s">
        <v>945</v>
      </c>
      <c r="I751" s="1" t="s">
        <v>31</v>
      </c>
      <c r="J751" s="1">
        <v>32.0</v>
      </c>
      <c r="K751" s="1">
        <v>2019.0</v>
      </c>
      <c r="L751" s="1">
        <v>2019.0</v>
      </c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 t="s">
        <v>2254</v>
      </c>
      <c r="Y751" s="1" t="s">
        <v>3160</v>
      </c>
    </row>
    <row r="752">
      <c r="A752" s="1">
        <v>4.3663781E7</v>
      </c>
      <c r="B752" s="1" t="s">
        <v>3161</v>
      </c>
      <c r="C752" s="1" t="s">
        <v>3162</v>
      </c>
      <c r="D752" s="1" t="s">
        <v>3163</v>
      </c>
      <c r="E752" s="1" t="s">
        <v>3164</v>
      </c>
      <c r="F752" s="2" t="str">
        <f>"1619307774"</f>
        <v>1619307774</v>
      </c>
      <c r="G752" s="2" t="str">
        <f>"9781619307773"</f>
        <v>9781619307773</v>
      </c>
      <c r="H752" s="1" t="s">
        <v>3165</v>
      </c>
      <c r="I752" s="1" t="s">
        <v>36</v>
      </c>
      <c r="J752" s="1">
        <v>32.0</v>
      </c>
      <c r="K752" s="1">
        <v>2019.0</v>
      </c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 t="s">
        <v>1024</v>
      </c>
      <c r="Y752" s="1" t="s">
        <v>3166</v>
      </c>
    </row>
    <row r="753">
      <c r="A753" s="1">
        <v>4.2771867E7</v>
      </c>
      <c r="B753" s="1" t="s">
        <v>3167</v>
      </c>
      <c r="C753" s="1" t="s">
        <v>3168</v>
      </c>
      <c r="D753" s="1" t="s">
        <v>3169</v>
      </c>
      <c r="E753" s="1" t="s">
        <v>3170</v>
      </c>
      <c r="F753" s="2" t="str">
        <f>"1338254251"</f>
        <v>1338254251</v>
      </c>
      <c r="G753" s="2" t="str">
        <f>"9781338254259"</f>
        <v>9781338254259</v>
      </c>
      <c r="H753" s="1" t="s">
        <v>179</v>
      </c>
      <c r="I753" s="1" t="s">
        <v>36</v>
      </c>
      <c r="J753" s="1">
        <v>32.0</v>
      </c>
      <c r="K753" s="1">
        <v>2018.0</v>
      </c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 t="s">
        <v>1219</v>
      </c>
      <c r="Y753" s="1" t="s">
        <v>3171</v>
      </c>
    </row>
    <row r="754">
      <c r="A754" s="1">
        <v>4339862.0</v>
      </c>
      <c r="B754" s="1" t="s">
        <v>3172</v>
      </c>
      <c r="C754" s="1" t="s">
        <v>3173</v>
      </c>
      <c r="D754" s="1" t="s">
        <v>3174</v>
      </c>
      <c r="E754" s="1" t="s">
        <v>3175</v>
      </c>
      <c r="F754" s="2" t="str">
        <f>"1933916303"</f>
        <v>1933916303</v>
      </c>
      <c r="G754" s="2" t="str">
        <f>"9781933916309"</f>
        <v>9781933916309</v>
      </c>
      <c r="H754" s="1" t="s">
        <v>3176</v>
      </c>
      <c r="I754" s="1" t="s">
        <v>36</v>
      </c>
      <c r="J754" s="1">
        <v>32.0</v>
      </c>
      <c r="K754" s="1">
        <v>2008.0</v>
      </c>
      <c r="L754" s="1">
        <v>2008.0</v>
      </c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 t="s">
        <v>1084</v>
      </c>
      <c r="Y754" s="1" t="s">
        <v>3177</v>
      </c>
    </row>
    <row r="755">
      <c r="A755" s="1">
        <v>447037.0</v>
      </c>
      <c r="B755" s="1" t="s">
        <v>3178</v>
      </c>
      <c r="C755" s="1" t="s">
        <v>3179</v>
      </c>
      <c r="D755" s="1" t="s">
        <v>3180</v>
      </c>
      <c r="F755" s="2" t="str">
        <f>"0140553266"</f>
        <v>0140553266</v>
      </c>
      <c r="G755" s="2" t="str">
        <f>"9780140553260"</f>
        <v>9780140553260</v>
      </c>
      <c r="H755" s="1" t="s">
        <v>753</v>
      </c>
      <c r="I755" s="1" t="s">
        <v>36</v>
      </c>
      <c r="J755" s="1">
        <v>32.0</v>
      </c>
      <c r="K755" s="1">
        <v>1995.0</v>
      </c>
      <c r="L755" s="1">
        <v>1993.0</v>
      </c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 t="s">
        <v>1225</v>
      </c>
      <c r="Y755" s="1" t="s">
        <v>3181</v>
      </c>
    </row>
    <row r="756">
      <c r="A756" s="1">
        <v>516893.0</v>
      </c>
      <c r="B756" s="1" t="s">
        <v>3182</v>
      </c>
      <c r="C756" s="1" t="s">
        <v>3183</v>
      </c>
      <c r="D756" s="1" t="s">
        <v>3184</v>
      </c>
      <c r="F756" s="2" t="str">
        <f>"0892391863"</f>
        <v>0892391863</v>
      </c>
      <c r="G756" s="2" t="str">
        <f>"9780892391868"</f>
        <v>9780892391868</v>
      </c>
      <c r="H756" s="1" t="s">
        <v>3185</v>
      </c>
      <c r="I756" s="1" t="s">
        <v>31</v>
      </c>
      <c r="J756" s="1">
        <v>32.0</v>
      </c>
      <c r="K756" s="1">
        <v>2003.0</v>
      </c>
      <c r="L756" s="1">
        <v>2003.0</v>
      </c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 t="s">
        <v>245</v>
      </c>
      <c r="Y756" s="1" t="s">
        <v>3186</v>
      </c>
    </row>
    <row r="757">
      <c r="A757" s="1">
        <v>1013383.0</v>
      </c>
      <c r="B757" s="1" t="s">
        <v>3187</v>
      </c>
      <c r="C757" s="1" t="s">
        <v>2032</v>
      </c>
      <c r="D757" s="1" t="s">
        <v>2033</v>
      </c>
      <c r="E757" s="1" t="s">
        <v>3188</v>
      </c>
      <c r="F757" s="2" t="str">
        <f>"0333710932"</f>
        <v>0333710932</v>
      </c>
      <c r="G757" s="2" t="str">
        <f>"9780333710937"</f>
        <v>9780333710937</v>
      </c>
      <c r="H757" s="1" t="s">
        <v>3189</v>
      </c>
      <c r="I757" s="1" t="s">
        <v>36</v>
      </c>
      <c r="J757" s="1">
        <v>32.0</v>
      </c>
      <c r="K757" s="1">
        <v>2001.0</v>
      </c>
      <c r="L757" s="1">
        <v>1999.0</v>
      </c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 t="s">
        <v>1317</v>
      </c>
      <c r="Y757" s="1" t="s">
        <v>3190</v>
      </c>
    </row>
    <row r="758">
      <c r="A758" s="1">
        <v>8552223.0</v>
      </c>
      <c r="B758" s="1" t="s">
        <v>3191</v>
      </c>
      <c r="C758" s="1" t="s">
        <v>2032</v>
      </c>
      <c r="D758" s="1" t="s">
        <v>2033</v>
      </c>
      <c r="E758" s="1" t="s">
        <v>3192</v>
      </c>
      <c r="F758" s="2" t="str">
        <f>"0330511181"</f>
        <v>0330511181</v>
      </c>
      <c r="G758" s="2" t="str">
        <f>"9780330511186"</f>
        <v>9780330511186</v>
      </c>
      <c r="H758" s="1" t="s">
        <v>3193</v>
      </c>
      <c r="I758" s="1" t="s">
        <v>36</v>
      </c>
      <c r="J758" s="1">
        <v>32.0</v>
      </c>
      <c r="K758" s="1">
        <v>2012.0</v>
      </c>
      <c r="L758" s="1">
        <v>2010.0</v>
      </c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 t="s">
        <v>3194</v>
      </c>
      <c r="Y758" s="1" t="s">
        <v>3195</v>
      </c>
    </row>
    <row r="759">
      <c r="A759" s="1">
        <v>177245.0</v>
      </c>
      <c r="B759" s="1" t="s">
        <v>3196</v>
      </c>
      <c r="C759" s="1" t="s">
        <v>2032</v>
      </c>
      <c r="D759" s="1" t="s">
        <v>2033</v>
      </c>
      <c r="E759" s="1" t="s">
        <v>3188</v>
      </c>
      <c r="F759" s="2" t="str">
        <f>"0142402753"</f>
        <v>0142402753</v>
      </c>
      <c r="G759" s="2" t="str">
        <f>"9780142402757"</f>
        <v>9780142402757</v>
      </c>
      <c r="H759" s="1" t="s">
        <v>753</v>
      </c>
      <c r="I759" s="1" t="s">
        <v>36</v>
      </c>
      <c r="J759" s="1">
        <v>32.0</v>
      </c>
      <c r="K759" s="1">
        <v>2005.0</v>
      </c>
      <c r="L759" s="1">
        <v>2002.0</v>
      </c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 t="s">
        <v>1219</v>
      </c>
      <c r="Y759" s="1" t="s">
        <v>3197</v>
      </c>
    </row>
    <row r="760">
      <c r="A760" s="1">
        <v>1013382.0</v>
      </c>
      <c r="B760" s="1" t="s">
        <v>3198</v>
      </c>
      <c r="C760" s="1" t="s">
        <v>2032</v>
      </c>
      <c r="D760" s="1" t="s">
        <v>2033</v>
      </c>
      <c r="E760" s="1" t="s">
        <v>3188</v>
      </c>
      <c r="F760" s="2" t="str">
        <f>"033398224X"</f>
        <v>033398224X</v>
      </c>
      <c r="G760" s="2" t="str">
        <f>"9780333982242"</f>
        <v>9780333982242</v>
      </c>
      <c r="H760" s="1" t="s">
        <v>2035</v>
      </c>
      <c r="I760" s="1" t="s">
        <v>36</v>
      </c>
      <c r="J760" s="1">
        <v>32.0</v>
      </c>
      <c r="K760" s="1">
        <v>2005.0</v>
      </c>
      <c r="L760" s="1">
        <v>2003.0</v>
      </c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 t="s">
        <v>68</v>
      </c>
      <c r="Y760" s="1" t="s">
        <v>3199</v>
      </c>
    </row>
    <row r="761">
      <c r="A761" s="1">
        <v>1171849.0</v>
      </c>
      <c r="B761" s="1" t="s">
        <v>3198</v>
      </c>
      <c r="C761" s="1" t="s">
        <v>2032</v>
      </c>
      <c r="D761" s="1" t="s">
        <v>2033</v>
      </c>
      <c r="E761" s="1" t="s">
        <v>3188</v>
      </c>
      <c r="F761" s="2" t="str">
        <f>"0142405809"</f>
        <v>0142405809</v>
      </c>
      <c r="G761" s="2" t="str">
        <f>"9780142405802"</f>
        <v>9780142405802</v>
      </c>
      <c r="H761" s="1" t="s">
        <v>753</v>
      </c>
      <c r="I761" s="1" t="s">
        <v>36</v>
      </c>
      <c r="J761" s="1">
        <v>32.0</v>
      </c>
      <c r="K761" s="1">
        <v>2006.0</v>
      </c>
      <c r="L761" s="1">
        <v>2003.0</v>
      </c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 t="s">
        <v>68</v>
      </c>
      <c r="Y761" s="1" t="s">
        <v>3200</v>
      </c>
    </row>
    <row r="762">
      <c r="A762" s="1">
        <v>177246.0</v>
      </c>
      <c r="B762" s="1" t="s">
        <v>3201</v>
      </c>
      <c r="C762" s="1" t="s">
        <v>2032</v>
      </c>
      <c r="D762" s="1" t="s">
        <v>2033</v>
      </c>
      <c r="E762" s="1" t="s">
        <v>3188</v>
      </c>
      <c r="F762" s="2" t="str">
        <f>"0142501123"</f>
        <v>0142501123</v>
      </c>
      <c r="G762" s="2" t="str">
        <f>"9780142501122"</f>
        <v>9780142501122</v>
      </c>
      <c r="H762" s="1" t="s">
        <v>753</v>
      </c>
      <c r="I762" s="1" t="s">
        <v>36</v>
      </c>
      <c r="J762" s="1">
        <v>32.0</v>
      </c>
      <c r="K762" s="1">
        <v>2003.0</v>
      </c>
      <c r="L762" s="1">
        <v>2001.0</v>
      </c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 t="s">
        <v>68</v>
      </c>
      <c r="Y762" s="1" t="s">
        <v>3202</v>
      </c>
    </row>
    <row r="763">
      <c r="A763" s="1">
        <v>372358.0</v>
      </c>
      <c r="B763" s="1" t="s">
        <v>3203</v>
      </c>
      <c r="C763" s="1" t="s">
        <v>3204</v>
      </c>
      <c r="D763" s="1" t="s">
        <v>3205</v>
      </c>
      <c r="E763" s="1" t="s">
        <v>3206</v>
      </c>
      <c r="F763" s="2" t="str">
        <f>"0448431483"</f>
        <v>0448431483</v>
      </c>
      <c r="G763" s="2" t="str">
        <f>"9780448431482"</f>
        <v>9780448431482</v>
      </c>
      <c r="H763" s="1" t="s">
        <v>2014</v>
      </c>
      <c r="I763" s="1" t="s">
        <v>31</v>
      </c>
      <c r="J763" s="1">
        <v>32.0</v>
      </c>
      <c r="K763" s="1">
        <v>2003.0</v>
      </c>
      <c r="L763" s="1">
        <v>2003.0</v>
      </c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 t="s">
        <v>1084</v>
      </c>
      <c r="Y763" s="1" t="s">
        <v>3207</v>
      </c>
    </row>
    <row r="764">
      <c r="A764" s="1">
        <v>2.7405347E7</v>
      </c>
      <c r="B764" s="1" t="s">
        <v>3208</v>
      </c>
      <c r="C764" s="1" t="s">
        <v>3209</v>
      </c>
      <c r="D764" s="1" t="s">
        <v>3210</v>
      </c>
      <c r="F764" s="2" t="str">
        <f>"055353579X"</f>
        <v>055353579X</v>
      </c>
      <c r="G764" s="2" t="str">
        <f>"9780553535792"</f>
        <v>9780553535792</v>
      </c>
      <c r="H764" s="1" t="s">
        <v>3211</v>
      </c>
      <c r="I764" s="1" t="s">
        <v>31</v>
      </c>
      <c r="J764" s="1">
        <v>32.0</v>
      </c>
      <c r="K764" s="1">
        <v>2016.0</v>
      </c>
      <c r="L764" s="1">
        <v>2016.0</v>
      </c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 t="s">
        <v>1317</v>
      </c>
      <c r="Y764" s="1" t="s">
        <v>3212</v>
      </c>
    </row>
    <row r="765">
      <c r="A765" s="1">
        <v>2.058778E7</v>
      </c>
      <c r="B765" s="1" t="s">
        <v>3213</v>
      </c>
      <c r="C765" s="1" t="s">
        <v>3214</v>
      </c>
      <c r="D765" s="1" t="s">
        <v>3215</v>
      </c>
      <c r="F765" s="2" t="str">
        <f>""</f>
        <v/>
      </c>
      <c r="G765" s="2" t="str">
        <f>"9781441315724"</f>
        <v>9781441315724</v>
      </c>
      <c r="H765" s="1" t="s">
        <v>3216</v>
      </c>
      <c r="I765" s="1" t="s">
        <v>31</v>
      </c>
      <c r="J765" s="1">
        <v>32.0</v>
      </c>
      <c r="K765" s="1">
        <v>2014.0</v>
      </c>
      <c r="L765" s="1">
        <v>2014.0</v>
      </c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 t="s">
        <v>2730</v>
      </c>
      <c r="Y765" s="1" t="s">
        <v>3217</v>
      </c>
    </row>
    <row r="766">
      <c r="A766" s="1">
        <v>657021.0</v>
      </c>
      <c r="B766" s="1" t="s">
        <v>3218</v>
      </c>
      <c r="C766" s="1" t="s">
        <v>3219</v>
      </c>
      <c r="D766" s="1" t="s">
        <v>3220</v>
      </c>
      <c r="F766" s="2" t="str">
        <f>"015201795X"</f>
        <v>015201795X</v>
      </c>
      <c r="G766" s="2" t="str">
        <f>"9780152017958"</f>
        <v>9780152017958</v>
      </c>
      <c r="H766" s="1" t="s">
        <v>1007</v>
      </c>
      <c r="I766" s="1" t="s">
        <v>31</v>
      </c>
      <c r="J766" s="1">
        <v>32.0</v>
      </c>
      <c r="K766" s="1">
        <v>1998.0</v>
      </c>
      <c r="L766" s="1">
        <v>1998.0</v>
      </c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 t="s">
        <v>3221</v>
      </c>
      <c r="Y766" s="1" t="s">
        <v>3222</v>
      </c>
    </row>
    <row r="767">
      <c r="A767" s="1">
        <v>1.2292007E7</v>
      </c>
      <c r="B767" s="1" t="s">
        <v>3223</v>
      </c>
      <c r="C767" s="1" t="s">
        <v>3159</v>
      </c>
      <c r="D767" s="1" t="s">
        <v>3224</v>
      </c>
      <c r="F767" s="2" t="str">
        <f>"0763649465"</f>
        <v>0763649465</v>
      </c>
      <c r="G767" s="2" t="str">
        <f>"9780763649463"</f>
        <v>9780763649463</v>
      </c>
      <c r="H767" s="1" t="s">
        <v>1454</v>
      </c>
      <c r="I767" s="1" t="s">
        <v>31</v>
      </c>
      <c r="J767" s="1">
        <v>32.0</v>
      </c>
      <c r="K767" s="1">
        <v>2012.0</v>
      </c>
      <c r="L767" s="1">
        <v>2012.0</v>
      </c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 t="s">
        <v>2298</v>
      </c>
      <c r="Y767" s="1" t="s">
        <v>3225</v>
      </c>
    </row>
    <row r="768">
      <c r="A768" s="1">
        <v>4.3063329E7</v>
      </c>
      <c r="B768" s="1" t="s">
        <v>3226</v>
      </c>
      <c r="C768" s="1" t="s">
        <v>3159</v>
      </c>
      <c r="D768" s="1" t="s">
        <v>3224</v>
      </c>
      <c r="F768" s="2" t="str">
        <f>"052555291X"</f>
        <v>052555291X</v>
      </c>
      <c r="G768" s="2" t="str">
        <f>"9780525552918"</f>
        <v>9780525552918</v>
      </c>
      <c r="H768" s="1" t="s">
        <v>2364</v>
      </c>
      <c r="I768" s="1" t="s">
        <v>31</v>
      </c>
      <c r="J768" s="1">
        <v>32.0</v>
      </c>
      <c r="K768" s="1">
        <v>2019.0</v>
      </c>
      <c r="L768" s="1">
        <v>2019.0</v>
      </c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 t="s">
        <v>1235</v>
      </c>
      <c r="Y768" s="1" t="s">
        <v>3227</v>
      </c>
    </row>
    <row r="769">
      <c r="A769" s="1">
        <v>231892.0</v>
      </c>
      <c r="B769" s="1" t="s">
        <v>3228</v>
      </c>
      <c r="C769" s="1" t="s">
        <v>3229</v>
      </c>
      <c r="D769" s="1" t="s">
        <v>3230</v>
      </c>
      <c r="F769" s="2" t="str">
        <f>"0394851420"</f>
        <v>0394851420</v>
      </c>
      <c r="G769" s="2" t="str">
        <f>"9780394851426"</f>
        <v>9780394851426</v>
      </c>
      <c r="H769" s="1" t="s">
        <v>156</v>
      </c>
      <c r="I769" s="1" t="s">
        <v>36</v>
      </c>
      <c r="J769" s="1">
        <v>32.0</v>
      </c>
      <c r="K769" s="1">
        <v>1982.0</v>
      </c>
      <c r="L769" s="1">
        <v>1973.0</v>
      </c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 t="s">
        <v>61</v>
      </c>
      <c r="Y769" s="1" t="s">
        <v>3231</v>
      </c>
    </row>
    <row r="770">
      <c r="A770" s="1">
        <v>1717864.0</v>
      </c>
      <c r="B770" s="1" t="s">
        <v>3232</v>
      </c>
      <c r="C770" s="1" t="s">
        <v>3233</v>
      </c>
      <c r="D770" s="1" t="s">
        <v>3234</v>
      </c>
      <c r="F770" s="2" t="str">
        <f>"0152325751"</f>
        <v>0152325751</v>
      </c>
      <c r="G770" s="2" t="str">
        <f>"9780152325756"</f>
        <v>9780152325756</v>
      </c>
      <c r="H770" s="1" t="s">
        <v>3235</v>
      </c>
      <c r="I770" s="1" t="s">
        <v>31</v>
      </c>
      <c r="J770" s="1">
        <v>32.0</v>
      </c>
      <c r="K770" s="1">
        <v>1987.0</v>
      </c>
      <c r="L770" s="1">
        <v>1987.0</v>
      </c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 t="s">
        <v>3236</v>
      </c>
      <c r="Y770" s="1" t="s">
        <v>3237</v>
      </c>
    </row>
    <row r="771">
      <c r="A771" s="1">
        <v>2320786.0</v>
      </c>
      <c r="B771" s="1" t="s">
        <v>3238</v>
      </c>
      <c r="C771" s="1" t="s">
        <v>3239</v>
      </c>
      <c r="D771" s="1" t="s">
        <v>3240</v>
      </c>
      <c r="E771" s="1" t="s">
        <v>3241</v>
      </c>
      <c r="F771" s="2" t="str">
        <f>"0375852085"</f>
        <v>0375852085</v>
      </c>
      <c r="G771" s="2" t="str">
        <f>"9780375852084"</f>
        <v>9780375852084</v>
      </c>
      <c r="H771" s="1" t="s">
        <v>156</v>
      </c>
      <c r="I771" s="1" t="s">
        <v>36</v>
      </c>
      <c r="J771" s="1">
        <v>32.0</v>
      </c>
      <c r="K771" s="1">
        <v>2008.0</v>
      </c>
      <c r="L771" s="1">
        <v>2008.0</v>
      </c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 t="s">
        <v>1422</v>
      </c>
      <c r="Y771" s="1" t="s">
        <v>3242</v>
      </c>
    </row>
    <row r="772">
      <c r="A772" s="1">
        <v>6432941.0</v>
      </c>
      <c r="B772" s="1" t="s">
        <v>3243</v>
      </c>
      <c r="C772" s="1" t="s">
        <v>3244</v>
      </c>
      <c r="D772" s="1" t="s">
        <v>3245</v>
      </c>
      <c r="F772" s="2" t="str">
        <f>"0545071593"</f>
        <v>0545071593</v>
      </c>
      <c r="G772" s="2" t="str">
        <f>"9780545071598"</f>
        <v>9780545071598</v>
      </c>
      <c r="H772" s="1" t="s">
        <v>2231</v>
      </c>
      <c r="I772" s="1" t="s">
        <v>31</v>
      </c>
      <c r="J772" s="1">
        <v>32.0</v>
      </c>
      <c r="K772" s="1">
        <v>2009.0</v>
      </c>
      <c r="L772" s="1">
        <v>2009.0</v>
      </c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 t="s">
        <v>61</v>
      </c>
      <c r="Y772" s="1" t="s">
        <v>3246</v>
      </c>
    </row>
    <row r="773">
      <c r="A773" s="1">
        <v>1.6667896E7</v>
      </c>
      <c r="B773" s="1" t="s">
        <v>3247</v>
      </c>
      <c r="C773" s="1" t="s">
        <v>3248</v>
      </c>
      <c r="D773" s="1" t="s">
        <v>3249</v>
      </c>
      <c r="E773" s="1" t="s">
        <v>3250</v>
      </c>
      <c r="F773" s="2" t="str">
        <f>"039924767X"</f>
        <v>039924767X</v>
      </c>
      <c r="G773" s="2" t="str">
        <f>"9780399247675"</f>
        <v>9780399247675</v>
      </c>
      <c r="H773" s="1" t="s">
        <v>2682</v>
      </c>
      <c r="I773" s="1" t="s">
        <v>31</v>
      </c>
      <c r="J773" s="1">
        <v>32.0</v>
      </c>
      <c r="K773" s="1">
        <v>2014.0</v>
      </c>
      <c r="L773" s="1">
        <v>2013.0</v>
      </c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 t="s">
        <v>74</v>
      </c>
      <c r="Y773" s="1" t="s">
        <v>3251</v>
      </c>
    </row>
    <row r="774">
      <c r="A774" s="1">
        <v>3.3413559E7</v>
      </c>
      <c r="B774" s="1" t="s">
        <v>3252</v>
      </c>
      <c r="C774" s="1" t="s">
        <v>3248</v>
      </c>
      <c r="D774" s="1" t="s">
        <v>3249</v>
      </c>
      <c r="E774" s="1" t="s">
        <v>1665</v>
      </c>
      <c r="F774" s="2" t="str">
        <f>"0399251561"</f>
        <v>0399251561</v>
      </c>
      <c r="G774" s="2" t="str">
        <f>"9780399251566"</f>
        <v>9780399251566</v>
      </c>
      <c r="H774" s="1" t="s">
        <v>3253</v>
      </c>
      <c r="I774" s="1" t="s">
        <v>31</v>
      </c>
      <c r="J774" s="1">
        <v>32.0</v>
      </c>
      <c r="K774" s="1">
        <v>2017.0</v>
      </c>
      <c r="L774" s="1">
        <v>2017.0</v>
      </c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 t="s">
        <v>61</v>
      </c>
      <c r="Y774" s="1" t="s">
        <v>3254</v>
      </c>
    </row>
    <row r="775">
      <c r="A775" s="1">
        <v>2.2571283E7</v>
      </c>
      <c r="B775" s="1" t="s">
        <v>3255</v>
      </c>
      <c r="C775" s="1" t="s">
        <v>3256</v>
      </c>
      <c r="D775" s="1" t="s">
        <v>3257</v>
      </c>
      <c r="F775" s="2" t="str">
        <f>"0545751837"</f>
        <v>0545751837</v>
      </c>
      <c r="G775" s="2" t="str">
        <f>"9780545751834"</f>
        <v>9780545751834</v>
      </c>
      <c r="H775" s="1" t="s">
        <v>3258</v>
      </c>
      <c r="I775" s="1" t="s">
        <v>36</v>
      </c>
      <c r="J775" s="1">
        <v>32.0</v>
      </c>
      <c r="K775" s="1">
        <v>2015.0</v>
      </c>
      <c r="L775" s="1">
        <v>2015.0</v>
      </c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 t="s">
        <v>83</v>
      </c>
      <c r="Y775" s="1" t="s">
        <v>3259</v>
      </c>
    </row>
    <row r="776">
      <c r="A776" s="1">
        <v>2.6026066E7</v>
      </c>
      <c r="B776" s="1" t="s">
        <v>3260</v>
      </c>
      <c r="C776" s="1" t="s">
        <v>3261</v>
      </c>
      <c r="D776" s="1" t="s">
        <v>3262</v>
      </c>
      <c r="F776" s="2" t="str">
        <f>"1101996218"</f>
        <v>1101996218</v>
      </c>
      <c r="G776" s="2" t="str">
        <f>"9781101996218"</f>
        <v>9781101996218</v>
      </c>
      <c r="H776" s="1" t="s">
        <v>2253</v>
      </c>
      <c r="I776" s="1" t="s">
        <v>31</v>
      </c>
      <c r="J776" s="1">
        <v>32.0</v>
      </c>
      <c r="K776" s="1">
        <v>2016.0</v>
      </c>
      <c r="L776" s="1">
        <v>2016.0</v>
      </c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 t="s">
        <v>3263</v>
      </c>
      <c r="Y776" s="1" t="s">
        <v>3264</v>
      </c>
    </row>
    <row r="777">
      <c r="A777" s="1">
        <v>5.1179981E7</v>
      </c>
      <c r="B777" s="1" t="s">
        <v>3265</v>
      </c>
      <c r="C777" s="1" t="s">
        <v>3266</v>
      </c>
      <c r="D777" s="1" t="s">
        <v>3267</v>
      </c>
      <c r="E777" s="1" t="s">
        <v>849</v>
      </c>
      <c r="F777" s="2" t="str">
        <f>"0062983326"</f>
        <v>0062983326</v>
      </c>
      <c r="G777" s="2" t="str">
        <f>"9780062983329"</f>
        <v>9780062983329</v>
      </c>
      <c r="H777" s="1" t="s">
        <v>290</v>
      </c>
      <c r="I777" s="1" t="s">
        <v>31</v>
      </c>
      <c r="J777" s="1">
        <v>32.0</v>
      </c>
      <c r="K777" s="1">
        <v>2020.0</v>
      </c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 t="s">
        <v>1422</v>
      </c>
      <c r="Y777" s="1" t="s">
        <v>3268</v>
      </c>
    </row>
    <row r="778">
      <c r="A778" s="1">
        <v>1546044.0</v>
      </c>
      <c r="B778" s="1" t="s">
        <v>3269</v>
      </c>
      <c r="C778" s="1" t="s">
        <v>3270</v>
      </c>
      <c r="D778" s="1" t="s">
        <v>3271</v>
      </c>
      <c r="E778" s="1" t="s">
        <v>3272</v>
      </c>
      <c r="F778" s="2" t="str">
        <f>"0881062723"</f>
        <v>0881062723</v>
      </c>
      <c r="G778" s="2" t="str">
        <f>"9780881062724"</f>
        <v>9780881062724</v>
      </c>
      <c r="H778" s="1" t="s">
        <v>2550</v>
      </c>
      <c r="I778" s="1" t="s">
        <v>36</v>
      </c>
      <c r="J778" s="1">
        <v>32.0</v>
      </c>
      <c r="K778" s="1">
        <v>1999.0</v>
      </c>
      <c r="L778" s="1">
        <v>1999.0</v>
      </c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 t="s">
        <v>96</v>
      </c>
      <c r="Y778" s="1" t="s">
        <v>3273</v>
      </c>
    </row>
    <row r="779">
      <c r="A779" s="1">
        <v>2.2750248E7</v>
      </c>
      <c r="B779" s="1" t="s">
        <v>3274</v>
      </c>
      <c r="C779" s="1" t="s">
        <v>3275</v>
      </c>
      <c r="D779" s="1" t="s">
        <v>3276</v>
      </c>
      <c r="E779" s="1" t="s">
        <v>3277</v>
      </c>
      <c r="F779" s="2" t="str">
        <f>"1632206072"</f>
        <v>1632206072</v>
      </c>
      <c r="G779" s="2" t="str">
        <f>"9781632206077"</f>
        <v>9781632206077</v>
      </c>
      <c r="H779" s="1" t="s">
        <v>3278</v>
      </c>
      <c r="I779" s="1" t="s">
        <v>31</v>
      </c>
      <c r="J779" s="1">
        <v>32.0</v>
      </c>
      <c r="K779" s="1">
        <v>2015.0</v>
      </c>
      <c r="L779" s="1">
        <v>2015.0</v>
      </c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 t="s">
        <v>412</v>
      </c>
      <c r="Y779" s="1" t="s">
        <v>3279</v>
      </c>
    </row>
    <row r="780">
      <c r="A780" s="1">
        <v>595586.0</v>
      </c>
      <c r="B780" s="1" t="s">
        <v>3280</v>
      </c>
      <c r="C780" s="1" t="s">
        <v>3281</v>
      </c>
      <c r="D780" s="1" t="s">
        <v>3282</v>
      </c>
      <c r="F780" s="2" t="str">
        <f>"0062051857"</f>
        <v>0062051857</v>
      </c>
      <c r="G780" s="2" t="str">
        <f>"9780062051851"</f>
        <v>9780062051851</v>
      </c>
      <c r="H780" s="1" t="s">
        <v>3283</v>
      </c>
      <c r="I780" s="1" t="s">
        <v>31</v>
      </c>
      <c r="J780" s="1">
        <v>32.0</v>
      </c>
      <c r="K780" s="1">
        <v>1999.0</v>
      </c>
      <c r="L780" s="1">
        <v>1999.0</v>
      </c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 t="s">
        <v>1225</v>
      </c>
      <c r="Y780" s="1" t="s">
        <v>3284</v>
      </c>
    </row>
    <row r="781">
      <c r="A781" s="1">
        <v>2.2561323E7</v>
      </c>
      <c r="B781" s="1" t="s">
        <v>3285</v>
      </c>
      <c r="C781" s="1" t="s">
        <v>3286</v>
      </c>
      <c r="D781" s="1" t="s">
        <v>3287</v>
      </c>
      <c r="F781" s="2" t="str">
        <f>"075347199X"</f>
        <v>075347199X</v>
      </c>
      <c r="G781" s="2" t="str">
        <f>"9780753471999"</f>
        <v>9780753471999</v>
      </c>
      <c r="H781" s="1" t="s">
        <v>1704</v>
      </c>
      <c r="I781" s="1" t="s">
        <v>36</v>
      </c>
      <c r="J781" s="1">
        <v>32.0</v>
      </c>
      <c r="K781" s="1">
        <v>2015.0</v>
      </c>
      <c r="L781" s="1">
        <v>2015.0</v>
      </c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 t="s">
        <v>1372</v>
      </c>
      <c r="Y781" s="1" t="s">
        <v>3288</v>
      </c>
    </row>
    <row r="782">
      <c r="A782" s="1">
        <v>2.4951385E7</v>
      </c>
      <c r="B782" s="1" t="s">
        <v>3289</v>
      </c>
      <c r="C782" s="1" t="s">
        <v>3290</v>
      </c>
      <c r="D782" s="1" t="s">
        <v>3291</v>
      </c>
      <c r="F782" s="2" t="str">
        <f>"1409341690"</f>
        <v>1409341690</v>
      </c>
      <c r="G782" s="2" t="str">
        <f>"9781409341697"</f>
        <v>9781409341697</v>
      </c>
      <c r="H782" s="1" t="s">
        <v>3292</v>
      </c>
      <c r="I782" s="1" t="s">
        <v>31</v>
      </c>
      <c r="J782" s="1">
        <v>32.0</v>
      </c>
      <c r="K782" s="1">
        <v>2014.0</v>
      </c>
      <c r="L782" s="1">
        <v>2014.0</v>
      </c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 t="s">
        <v>329</v>
      </c>
      <c r="Y782" s="1" t="s">
        <v>3293</v>
      </c>
    </row>
    <row r="783">
      <c r="A783" s="1">
        <v>1076374.0</v>
      </c>
      <c r="B783" s="1" t="s">
        <v>3294</v>
      </c>
      <c r="C783" s="1" t="s">
        <v>3295</v>
      </c>
      <c r="D783" s="1" t="s">
        <v>3296</v>
      </c>
      <c r="E783" s="1" t="s">
        <v>2002</v>
      </c>
      <c r="F783" s="2" t="str">
        <f>"0802774989"</f>
        <v>0802774989</v>
      </c>
      <c r="G783" s="2" t="str">
        <f>"9780802774989"</f>
        <v>9780802774989</v>
      </c>
      <c r="H783" s="1" t="s">
        <v>2588</v>
      </c>
      <c r="I783" s="1" t="s">
        <v>36</v>
      </c>
      <c r="J783" s="1">
        <v>32.0</v>
      </c>
      <c r="K783" s="1">
        <v>1996.0</v>
      </c>
      <c r="L783" s="1">
        <v>1995.0</v>
      </c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 t="s">
        <v>3297</v>
      </c>
      <c r="Y783" s="1" t="s">
        <v>3298</v>
      </c>
    </row>
    <row r="784">
      <c r="A784" s="1">
        <v>2.8373974E7</v>
      </c>
      <c r="B784" s="1" t="s">
        <v>3299</v>
      </c>
      <c r="C784" s="1" t="s">
        <v>3300</v>
      </c>
      <c r="D784" s="1" t="s">
        <v>3301</v>
      </c>
      <c r="E784" s="1" t="s">
        <v>2318</v>
      </c>
      <c r="F784" s="2" t="str">
        <f>"0062360876"</f>
        <v>0062360876</v>
      </c>
      <c r="G784" s="2" t="str">
        <f>"9780062360878"</f>
        <v>9780062360878</v>
      </c>
      <c r="H784" s="1" t="s">
        <v>290</v>
      </c>
      <c r="I784" s="1" t="s">
        <v>36</v>
      </c>
      <c r="J784" s="1">
        <v>32.0</v>
      </c>
      <c r="K784" s="1">
        <v>2016.0</v>
      </c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 t="s">
        <v>83</v>
      </c>
      <c r="Y784" s="1" t="s">
        <v>3302</v>
      </c>
    </row>
    <row r="785">
      <c r="A785" s="1">
        <v>5402912.0</v>
      </c>
      <c r="B785" s="1" t="s">
        <v>3303</v>
      </c>
      <c r="C785" s="1" t="s">
        <v>3304</v>
      </c>
      <c r="D785" s="1" t="s">
        <v>3305</v>
      </c>
      <c r="E785" s="1" t="s">
        <v>3306</v>
      </c>
      <c r="F785" s="2" t="str">
        <f>"0439816165"</f>
        <v>0439816165</v>
      </c>
      <c r="G785" s="2" t="str">
        <f>"9780439816168"</f>
        <v>9780439816168</v>
      </c>
      <c r="H785" s="1" t="s">
        <v>50</v>
      </c>
      <c r="I785" s="1" t="s">
        <v>36</v>
      </c>
      <c r="J785" s="1">
        <v>32.0</v>
      </c>
      <c r="K785" s="1">
        <v>2006.0</v>
      </c>
      <c r="L785" s="1">
        <v>2006.0</v>
      </c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 t="s">
        <v>1839</v>
      </c>
      <c r="Y785" s="1" t="s">
        <v>3307</v>
      </c>
    </row>
    <row r="786">
      <c r="A786" s="1">
        <v>1133995.0</v>
      </c>
      <c r="B786" s="1" t="s">
        <v>3308</v>
      </c>
      <c r="C786" s="1" t="s">
        <v>3309</v>
      </c>
      <c r="D786" s="1" t="s">
        <v>3310</v>
      </c>
      <c r="E786" s="1" t="s">
        <v>3311</v>
      </c>
      <c r="F786" s="2" t="str">
        <f>"0977742334"</f>
        <v>0977742334</v>
      </c>
      <c r="G786" s="2" t="str">
        <f>"9780977742332"</f>
        <v>9780977742332</v>
      </c>
      <c r="H786" s="1" t="s">
        <v>3312</v>
      </c>
      <c r="I786" s="1" t="s">
        <v>31</v>
      </c>
      <c r="J786" s="1">
        <v>32.0</v>
      </c>
      <c r="K786" s="1">
        <v>2007.0</v>
      </c>
      <c r="L786" s="1">
        <v>2007.0</v>
      </c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 t="s">
        <v>116</v>
      </c>
      <c r="Y786" s="1" t="s">
        <v>3313</v>
      </c>
    </row>
    <row r="787">
      <c r="A787" s="1">
        <v>1529373.0</v>
      </c>
      <c r="B787" s="1" t="s">
        <v>3314</v>
      </c>
      <c r="C787" s="1" t="s">
        <v>3315</v>
      </c>
      <c r="D787" s="1" t="s">
        <v>3316</v>
      </c>
      <c r="F787" s="2" t="str">
        <f>"0805081127"</f>
        <v>0805081127</v>
      </c>
      <c r="G787" s="2" t="str">
        <f>"9780805081121"</f>
        <v>9780805081121</v>
      </c>
      <c r="H787" s="1" t="s">
        <v>3317</v>
      </c>
      <c r="I787" s="1" t="s">
        <v>36</v>
      </c>
      <c r="J787" s="1">
        <v>32.0</v>
      </c>
      <c r="K787" s="1">
        <v>2006.0</v>
      </c>
      <c r="L787" s="1">
        <v>2002.0</v>
      </c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 t="s">
        <v>835</v>
      </c>
      <c r="Y787" s="1" t="s">
        <v>3318</v>
      </c>
    </row>
    <row r="788">
      <c r="A788" s="1">
        <v>3.5238103E7</v>
      </c>
      <c r="B788" s="1" t="s">
        <v>3319</v>
      </c>
      <c r="C788" s="1" t="s">
        <v>3320</v>
      </c>
      <c r="D788" s="1" t="s">
        <v>3321</v>
      </c>
      <c r="F788" s="2" t="str">
        <f>"1338187279"</f>
        <v>1338187279</v>
      </c>
      <c r="G788" s="2" t="str">
        <f>"9781338187274"</f>
        <v>9781338187274</v>
      </c>
      <c r="H788" s="1" t="s">
        <v>817</v>
      </c>
      <c r="I788" s="1" t="s">
        <v>91</v>
      </c>
      <c r="J788" s="1">
        <v>32.0</v>
      </c>
      <c r="K788" s="1">
        <v>2017.0</v>
      </c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 t="s">
        <v>329</v>
      </c>
      <c r="Y788" s="1" t="s">
        <v>3322</v>
      </c>
    </row>
    <row r="789">
      <c r="A789" s="1">
        <v>3.2332924E7</v>
      </c>
      <c r="B789" s="1" t="s">
        <v>3323</v>
      </c>
      <c r="C789" s="1" t="s">
        <v>3320</v>
      </c>
      <c r="D789" s="1" t="s">
        <v>3321</v>
      </c>
      <c r="F789" s="2" t="str">
        <f>"0545935342"</f>
        <v>0545935342</v>
      </c>
      <c r="G789" s="2" t="str">
        <f>"9780545935340"</f>
        <v>9780545935340</v>
      </c>
      <c r="H789" s="1" t="s">
        <v>817</v>
      </c>
      <c r="I789" s="1" t="s">
        <v>36</v>
      </c>
      <c r="J789" s="1">
        <v>32.0</v>
      </c>
      <c r="K789" s="1">
        <v>2017.0</v>
      </c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 t="s">
        <v>1422</v>
      </c>
      <c r="Y789" s="1" t="s">
        <v>3324</v>
      </c>
    </row>
    <row r="790">
      <c r="A790" s="1">
        <v>1.1891485E7</v>
      </c>
      <c r="B790" s="1" t="s">
        <v>3325</v>
      </c>
      <c r="C790" s="1" t="s">
        <v>3326</v>
      </c>
      <c r="D790" s="1" t="s">
        <v>3327</v>
      </c>
      <c r="E790" s="1" t="s">
        <v>3328</v>
      </c>
      <c r="F790" s="2" t="str">
        <f>"1596436247"</f>
        <v>1596436247</v>
      </c>
      <c r="G790" s="2" t="str">
        <f>"9781596436244"</f>
        <v>9781596436244</v>
      </c>
      <c r="H790" s="1" t="s">
        <v>2712</v>
      </c>
      <c r="I790" s="1" t="s">
        <v>31</v>
      </c>
      <c r="J790" s="1">
        <v>32.0</v>
      </c>
      <c r="K790" s="1">
        <v>2012.0</v>
      </c>
      <c r="L790" s="1">
        <v>2012.0</v>
      </c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 t="s">
        <v>1317</v>
      </c>
      <c r="Y790" s="1" t="s">
        <v>3329</v>
      </c>
    </row>
    <row r="791">
      <c r="A791" s="1">
        <v>1275105.0</v>
      </c>
      <c r="B791" s="1" t="s">
        <v>3330</v>
      </c>
      <c r="C791" s="1" t="s">
        <v>3331</v>
      </c>
      <c r="D791" s="1" t="s">
        <v>3332</v>
      </c>
      <c r="E791" s="1" t="s">
        <v>3333</v>
      </c>
      <c r="F791" s="2" t="str">
        <f>"0606300538"</f>
        <v>0606300538</v>
      </c>
      <c r="G791" s="2" t="str">
        <f>"9780606300537"</f>
        <v>9780606300537</v>
      </c>
      <c r="H791" s="1" t="s">
        <v>274</v>
      </c>
      <c r="I791" s="1" t="s">
        <v>31</v>
      </c>
      <c r="J791" s="1">
        <v>32.0</v>
      </c>
      <c r="K791" s="1">
        <v>2004.0</v>
      </c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 t="s">
        <v>863</v>
      </c>
      <c r="Y791" s="1" t="s">
        <v>3334</v>
      </c>
    </row>
    <row r="792">
      <c r="A792" s="1">
        <v>1915739.0</v>
      </c>
      <c r="B792" s="1" t="s">
        <v>3335</v>
      </c>
      <c r="C792" s="1" t="s">
        <v>3331</v>
      </c>
      <c r="D792" s="1" t="s">
        <v>3332</v>
      </c>
      <c r="E792" s="1" t="s">
        <v>3333</v>
      </c>
      <c r="F792" s="2" t="str">
        <f>"068984607X"</f>
        <v>068984607X</v>
      </c>
      <c r="G792" s="2" t="str">
        <f>"9780689846076"</f>
        <v>9780689846076</v>
      </c>
      <c r="H792" s="1" t="s">
        <v>1234</v>
      </c>
      <c r="I792" s="1" t="s">
        <v>36</v>
      </c>
      <c r="J792" s="1">
        <v>32.0</v>
      </c>
      <c r="K792" s="1">
        <v>2001.0</v>
      </c>
      <c r="L792" s="1">
        <v>1966.0</v>
      </c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 t="s">
        <v>863</v>
      </c>
      <c r="Y792" s="1" t="s">
        <v>3336</v>
      </c>
    </row>
    <row r="793">
      <c r="A793" s="1">
        <v>7287323.0</v>
      </c>
      <c r="B793" s="1" t="s">
        <v>3337</v>
      </c>
      <c r="C793" s="1" t="s">
        <v>3338</v>
      </c>
      <c r="D793" s="1" t="s">
        <v>3339</v>
      </c>
      <c r="E793" s="1" t="s">
        <v>578</v>
      </c>
      <c r="F793" s="2" t="str">
        <f>"0670011401"</f>
        <v>0670011401</v>
      </c>
      <c r="G793" s="2" t="str">
        <f>"9780670011407"</f>
        <v>9780670011407</v>
      </c>
      <c r="H793" s="1" t="s">
        <v>2746</v>
      </c>
      <c r="I793" s="1" t="s">
        <v>31</v>
      </c>
      <c r="J793" s="1">
        <v>32.0</v>
      </c>
      <c r="K793" s="1">
        <v>2010.0</v>
      </c>
      <c r="L793" s="1">
        <v>2010.0</v>
      </c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 t="s">
        <v>363</v>
      </c>
      <c r="Y793" s="1" t="s">
        <v>3340</v>
      </c>
    </row>
    <row r="794">
      <c r="A794" s="1">
        <v>2794045.0</v>
      </c>
      <c r="B794" s="1" t="s">
        <v>3341</v>
      </c>
      <c r="C794" s="1" t="s">
        <v>3342</v>
      </c>
      <c r="D794" s="1" t="s">
        <v>3343</v>
      </c>
      <c r="F794" s="2" t="str">
        <f>"0744548950"</f>
        <v>0744548950</v>
      </c>
      <c r="G794" s="2" t="str">
        <f>"9780744548952"</f>
        <v>9780744548952</v>
      </c>
      <c r="H794" s="1" t="s">
        <v>3344</v>
      </c>
      <c r="I794" s="1" t="s">
        <v>36</v>
      </c>
      <c r="J794" s="1">
        <v>32.0</v>
      </c>
      <c r="K794" s="1">
        <v>1998.0</v>
      </c>
      <c r="L794" s="1">
        <v>1998.0</v>
      </c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 t="s">
        <v>363</v>
      </c>
      <c r="Y794" s="1" t="s">
        <v>3345</v>
      </c>
    </row>
    <row r="795">
      <c r="A795" s="1">
        <v>3.2510174E7</v>
      </c>
      <c r="B795" s="1" t="s">
        <v>3346</v>
      </c>
      <c r="C795" s="1" t="s">
        <v>3347</v>
      </c>
      <c r="D795" s="1" t="s">
        <v>3348</v>
      </c>
      <c r="F795" s="2" t="str">
        <f>"0425287998"</f>
        <v>0425287998</v>
      </c>
      <c r="G795" s="2" t="str">
        <f>"9780425287996"</f>
        <v>9780425287996</v>
      </c>
      <c r="H795" s="1" t="s">
        <v>2746</v>
      </c>
      <c r="I795" s="1" t="s">
        <v>31</v>
      </c>
      <c r="J795" s="1">
        <v>32.0</v>
      </c>
      <c r="K795" s="1">
        <v>2017.0</v>
      </c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 t="s">
        <v>1084</v>
      </c>
      <c r="Y795" s="1" t="s">
        <v>3349</v>
      </c>
    </row>
    <row r="796">
      <c r="A796" s="1">
        <v>9465829.0</v>
      </c>
      <c r="B796" s="1" t="s">
        <v>3350</v>
      </c>
      <c r="C796" s="1" t="s">
        <v>3351</v>
      </c>
      <c r="D796" s="1" t="s">
        <v>3352</v>
      </c>
      <c r="E796" s="1" t="s">
        <v>3353</v>
      </c>
      <c r="F796" s="2" t="str">
        <f>"1402254334"</f>
        <v>1402254334</v>
      </c>
      <c r="G796" s="2" t="str">
        <f>"9781402254338"</f>
        <v>9781402254338</v>
      </c>
      <c r="H796" s="1" t="s">
        <v>1465</v>
      </c>
      <c r="I796" s="1" t="s">
        <v>31</v>
      </c>
      <c r="J796" s="1">
        <v>32.0</v>
      </c>
      <c r="K796" s="1">
        <v>2011.0</v>
      </c>
      <c r="L796" s="1">
        <v>2011.0</v>
      </c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 t="s">
        <v>412</v>
      </c>
      <c r="Y796" s="1" t="s">
        <v>3354</v>
      </c>
    </row>
    <row r="797">
      <c r="A797" s="1">
        <v>3486558.0</v>
      </c>
      <c r="B797" s="1" t="s">
        <v>3355</v>
      </c>
      <c r="C797" s="1" t="s">
        <v>3351</v>
      </c>
      <c r="D797" s="1" t="s">
        <v>3352</v>
      </c>
      <c r="E797" s="1" t="s">
        <v>3353</v>
      </c>
      <c r="F797" s="2" t="str">
        <f>"0980200075"</f>
        <v>0980200075</v>
      </c>
      <c r="G797" s="2" t="str">
        <f>"9780980200072"</f>
        <v>9780980200072</v>
      </c>
      <c r="H797" s="1" t="s">
        <v>3356</v>
      </c>
      <c r="I797" s="1" t="s">
        <v>31</v>
      </c>
      <c r="J797" s="1">
        <v>32.0</v>
      </c>
      <c r="K797" s="1">
        <v>2008.0</v>
      </c>
      <c r="L797" s="1">
        <v>2008.0</v>
      </c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 t="s">
        <v>1195</v>
      </c>
      <c r="Y797" s="1" t="s">
        <v>3357</v>
      </c>
    </row>
    <row r="798">
      <c r="A798" s="1">
        <v>1036930.0</v>
      </c>
      <c r="B798" s="1" t="s">
        <v>3358</v>
      </c>
      <c r="C798" s="1" t="s">
        <v>3359</v>
      </c>
      <c r="D798" s="1" t="s">
        <v>3360</v>
      </c>
      <c r="F798" s="2" t="str">
        <f>"0516273094"</f>
        <v>0516273094</v>
      </c>
      <c r="G798" s="2" t="str">
        <f>"9780516273099"</f>
        <v>9780516273099</v>
      </c>
      <c r="H798" s="1" t="s">
        <v>1614</v>
      </c>
      <c r="I798" s="1" t="s">
        <v>36</v>
      </c>
      <c r="J798" s="1">
        <v>32.0</v>
      </c>
      <c r="K798" s="1">
        <v>2001.0</v>
      </c>
      <c r="L798" s="1">
        <v>2001.0</v>
      </c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 t="s">
        <v>835</v>
      </c>
      <c r="Y798" s="1" t="s">
        <v>3361</v>
      </c>
    </row>
    <row r="799">
      <c r="A799" s="1">
        <v>354490.0</v>
      </c>
      <c r="B799" s="1" t="s">
        <v>3362</v>
      </c>
      <c r="C799" s="1" t="s">
        <v>3359</v>
      </c>
      <c r="D799" s="1" t="s">
        <v>3360</v>
      </c>
      <c r="F799" s="2" t="str">
        <f>"0516270494"</f>
        <v>0516270494</v>
      </c>
      <c r="G799" s="2" t="str">
        <f>"9780516270494"</f>
        <v>9780516270494</v>
      </c>
      <c r="H799" s="1" t="s">
        <v>2679</v>
      </c>
      <c r="I799" s="1" t="s">
        <v>36</v>
      </c>
      <c r="J799" s="1">
        <v>32.0</v>
      </c>
      <c r="K799" s="1">
        <v>2000.0</v>
      </c>
      <c r="L799" s="1">
        <v>2000.0</v>
      </c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 t="s">
        <v>841</v>
      </c>
      <c r="Y799" s="1" t="s">
        <v>3363</v>
      </c>
    </row>
    <row r="800">
      <c r="A800" s="1">
        <v>153166.0</v>
      </c>
      <c r="B800" s="1" t="s">
        <v>3364</v>
      </c>
      <c r="C800" s="1" t="s">
        <v>3365</v>
      </c>
      <c r="D800" s="1" t="s">
        <v>3366</v>
      </c>
      <c r="E800" s="1" t="s">
        <v>3367</v>
      </c>
      <c r="F800" s="2" t="str">
        <f>"0152000763"</f>
        <v>0152000763</v>
      </c>
      <c r="G800" s="2" t="str">
        <f>"9780152000769"</f>
        <v>9780152000769</v>
      </c>
      <c r="H800" s="1" t="s">
        <v>1799</v>
      </c>
      <c r="I800" s="1" t="s">
        <v>36</v>
      </c>
      <c r="J800" s="1">
        <v>32.0</v>
      </c>
      <c r="K800" s="1">
        <v>1994.0</v>
      </c>
      <c r="L800" s="1">
        <v>1988.0</v>
      </c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 t="s">
        <v>1024</v>
      </c>
      <c r="Y800" s="1" t="s">
        <v>3368</v>
      </c>
    </row>
    <row r="801">
      <c r="A801" s="1">
        <v>2191406.0</v>
      </c>
      <c r="B801" s="1" t="s">
        <v>3369</v>
      </c>
      <c r="C801" s="1" t="s">
        <v>267</v>
      </c>
      <c r="D801" s="1" t="s">
        <v>268</v>
      </c>
      <c r="E801" s="1" t="s">
        <v>3370</v>
      </c>
      <c r="F801" s="2" t="str">
        <f>"0061208469"</f>
        <v>0061208469</v>
      </c>
      <c r="G801" s="2" t="str">
        <f>"9780061208461"</f>
        <v>9780061208461</v>
      </c>
      <c r="H801" s="1" t="s">
        <v>290</v>
      </c>
      <c r="I801" s="1" t="s">
        <v>31</v>
      </c>
      <c r="J801" s="1">
        <v>32.0</v>
      </c>
      <c r="K801" s="1">
        <v>2008.0</v>
      </c>
      <c r="L801" s="1">
        <v>2008.0</v>
      </c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 t="s">
        <v>2242</v>
      </c>
      <c r="Y801" s="1" t="s">
        <v>3371</v>
      </c>
    </row>
    <row r="802">
      <c r="A802" s="1">
        <v>6977072.0</v>
      </c>
      <c r="B802" s="1" t="s">
        <v>3372</v>
      </c>
      <c r="C802" s="1" t="s">
        <v>267</v>
      </c>
      <c r="D802" s="1" t="s">
        <v>268</v>
      </c>
      <c r="E802" s="1" t="s">
        <v>3370</v>
      </c>
      <c r="F802" s="2" t="str">
        <f>"0061765244"</f>
        <v>0061765244</v>
      </c>
      <c r="G802" s="2" t="str">
        <f>"9780061765247"</f>
        <v>9780061765247</v>
      </c>
      <c r="H802" s="1" t="s">
        <v>698</v>
      </c>
      <c r="I802" s="1" t="s">
        <v>36</v>
      </c>
      <c r="J802" s="1">
        <v>32.0</v>
      </c>
      <c r="K802" s="1">
        <v>2009.0</v>
      </c>
      <c r="L802" s="1">
        <v>2008.0</v>
      </c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 t="s">
        <v>83</v>
      </c>
      <c r="Y802" s="1" t="s">
        <v>3373</v>
      </c>
    </row>
    <row r="803">
      <c r="A803" s="1">
        <v>4.852899E7</v>
      </c>
      <c r="B803" s="1" t="s">
        <v>3374</v>
      </c>
      <c r="C803" s="1" t="s">
        <v>3375</v>
      </c>
      <c r="D803" s="1" t="s">
        <v>3376</v>
      </c>
      <c r="F803" s="2" t="str">
        <f>"9929633154"</f>
        <v>9929633154</v>
      </c>
      <c r="G803" s="2" t="str">
        <f>"9789929633155"</f>
        <v>9789929633155</v>
      </c>
      <c r="H803" s="1" t="s">
        <v>3377</v>
      </c>
      <c r="I803" s="1" t="s">
        <v>36</v>
      </c>
      <c r="J803" s="1">
        <v>32.0</v>
      </c>
      <c r="K803" s="1">
        <v>2016.0</v>
      </c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 t="s">
        <v>61</v>
      </c>
      <c r="Y803" s="1" t="s">
        <v>3378</v>
      </c>
    </row>
    <row r="804">
      <c r="A804" s="1">
        <v>2.4612727E7</v>
      </c>
      <c r="B804" s="1" t="s">
        <v>3379</v>
      </c>
      <c r="C804" s="1" t="s">
        <v>3380</v>
      </c>
      <c r="D804" s="1" t="s">
        <v>3381</v>
      </c>
      <c r="E804" s="1" t="s">
        <v>3382</v>
      </c>
      <c r="F804" s="2" t="str">
        <f>"1454913452"</f>
        <v>1454913452</v>
      </c>
      <c r="G804" s="2" t="str">
        <f>"9781454913450"</f>
        <v>9781454913450</v>
      </c>
      <c r="H804" s="1" t="s">
        <v>1271</v>
      </c>
      <c r="I804" s="1" t="s">
        <v>31</v>
      </c>
      <c r="J804" s="1">
        <v>32.0</v>
      </c>
      <c r="K804" s="1">
        <v>2015.0</v>
      </c>
      <c r="L804" s="1">
        <v>2015.0</v>
      </c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 t="s">
        <v>2298</v>
      </c>
      <c r="Y804" s="1" t="s">
        <v>3383</v>
      </c>
    </row>
    <row r="805">
      <c r="A805" s="1">
        <v>2.3102725E7</v>
      </c>
      <c r="B805" s="1" t="s">
        <v>3384</v>
      </c>
      <c r="C805" s="1" t="s">
        <v>2121</v>
      </c>
      <c r="D805" s="1" t="s">
        <v>2122</v>
      </c>
      <c r="F805" s="2" t="str">
        <f>"1847385710"</f>
        <v>1847385710</v>
      </c>
      <c r="G805" s="2" t="str">
        <f>"9781847385710"</f>
        <v>9781847385710</v>
      </c>
      <c r="H805" s="1" t="s">
        <v>3385</v>
      </c>
      <c r="I805" s="1" t="s">
        <v>31</v>
      </c>
      <c r="J805" s="1">
        <v>32.0</v>
      </c>
      <c r="K805" s="1">
        <v>2014.0</v>
      </c>
      <c r="L805" s="1">
        <v>2014.0</v>
      </c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 t="s">
        <v>323</v>
      </c>
      <c r="Y805" s="1" t="s">
        <v>3386</v>
      </c>
    </row>
    <row r="806">
      <c r="A806" s="1">
        <v>1.7334406E7</v>
      </c>
      <c r="B806" s="1" t="s">
        <v>3387</v>
      </c>
      <c r="C806" s="1" t="s">
        <v>2121</v>
      </c>
      <c r="D806" s="1" t="s">
        <v>2122</v>
      </c>
      <c r="F806" s="2" t="str">
        <f>"1442485124"</f>
        <v>1442485124</v>
      </c>
      <c r="G806" s="2" t="str">
        <f>"9781442485129"</f>
        <v>9781442485129</v>
      </c>
      <c r="H806" s="1" t="s">
        <v>2496</v>
      </c>
      <c r="I806" s="1" t="s">
        <v>31</v>
      </c>
      <c r="J806" s="1">
        <v>32.0</v>
      </c>
      <c r="K806" s="1">
        <v>2013.0</v>
      </c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 t="s">
        <v>3388</v>
      </c>
      <c r="Y806" s="1" t="s">
        <v>3389</v>
      </c>
    </row>
    <row r="807">
      <c r="A807" s="1">
        <v>366978.0</v>
      </c>
      <c r="B807" s="1" t="s">
        <v>3390</v>
      </c>
      <c r="C807" s="1" t="s">
        <v>3391</v>
      </c>
      <c r="D807" s="1" t="s">
        <v>3392</v>
      </c>
      <c r="F807" s="2" t="str">
        <f>"0140503285"</f>
        <v>0140503285</v>
      </c>
      <c r="G807" s="2" t="str">
        <f>"9780140503289"</f>
        <v>9780140503289</v>
      </c>
      <c r="H807" s="1" t="s">
        <v>753</v>
      </c>
      <c r="I807" s="1" t="s">
        <v>36</v>
      </c>
      <c r="J807" s="1">
        <v>32.0</v>
      </c>
      <c r="K807" s="1">
        <v>1978.0</v>
      </c>
      <c r="L807" s="1">
        <v>1966.0</v>
      </c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 t="s">
        <v>291</v>
      </c>
      <c r="Y807" s="1" t="s">
        <v>3393</v>
      </c>
    </row>
    <row r="808">
      <c r="A808" s="1">
        <v>3.0227904E7</v>
      </c>
      <c r="B808" s="1" t="s">
        <v>3394</v>
      </c>
      <c r="C808" s="1" t="s">
        <v>1507</v>
      </c>
      <c r="D808" s="1" t="s">
        <v>1508</v>
      </c>
      <c r="E808" s="1" t="s">
        <v>3395</v>
      </c>
      <c r="F808" s="2" t="str">
        <f>"1481467522"</f>
        <v>1481467522</v>
      </c>
      <c r="G808" s="2" t="str">
        <f>"9781481467520"</f>
        <v>9781481467520</v>
      </c>
      <c r="H808" s="1" t="s">
        <v>1371</v>
      </c>
      <c r="I808" s="1" t="s">
        <v>31</v>
      </c>
      <c r="J808" s="1">
        <v>32.0</v>
      </c>
      <c r="K808" s="1">
        <v>2016.0</v>
      </c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 t="s">
        <v>3396</v>
      </c>
      <c r="Y808" s="1" t="s">
        <v>3397</v>
      </c>
    </row>
    <row r="809">
      <c r="A809" s="1">
        <v>1967067.0</v>
      </c>
      <c r="B809" s="1" t="s">
        <v>3398</v>
      </c>
      <c r="C809" s="1" t="s">
        <v>3399</v>
      </c>
      <c r="D809" s="1" t="s">
        <v>3400</v>
      </c>
      <c r="E809" s="1" t="s">
        <v>3401</v>
      </c>
      <c r="F809" s="2" t="str">
        <f>"0060838086"</f>
        <v>0060838086</v>
      </c>
      <c r="G809" s="2" t="str">
        <f>"9780060838089"</f>
        <v>9780060838089</v>
      </c>
      <c r="H809" s="1" t="s">
        <v>290</v>
      </c>
      <c r="I809" s="1" t="s">
        <v>31</v>
      </c>
      <c r="J809" s="1">
        <v>32.0</v>
      </c>
      <c r="K809" s="1">
        <v>2009.0</v>
      </c>
      <c r="L809" s="1">
        <v>2009.0</v>
      </c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 t="s">
        <v>412</v>
      </c>
      <c r="Y809" s="1" t="s">
        <v>3402</v>
      </c>
    </row>
    <row r="810">
      <c r="A810" s="1">
        <v>5.4470343E7</v>
      </c>
      <c r="B810" s="1" t="s">
        <v>3403</v>
      </c>
      <c r="C810" s="1" t="s">
        <v>3404</v>
      </c>
      <c r="D810" s="1" t="s">
        <v>3405</v>
      </c>
      <c r="E810" s="1" t="s">
        <v>3406</v>
      </c>
      <c r="F810" s="2" t="str">
        <f>"1400314232"</f>
        <v>1400314232</v>
      </c>
      <c r="G810" s="2" t="str">
        <f>"9781400314232"</f>
        <v>9781400314232</v>
      </c>
      <c r="H810" s="1" t="s">
        <v>3407</v>
      </c>
      <c r="I810" s="1" t="s">
        <v>31</v>
      </c>
      <c r="J810" s="1">
        <v>32.0</v>
      </c>
      <c r="K810" s="1">
        <v>2020.0</v>
      </c>
      <c r="L810" s="1">
        <v>2020.0</v>
      </c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 t="s">
        <v>1084</v>
      </c>
      <c r="Y810" s="1" t="s">
        <v>3408</v>
      </c>
    </row>
    <row r="811">
      <c r="A811" s="1">
        <v>3.3938956E7</v>
      </c>
      <c r="B811" s="1" t="s">
        <v>3409</v>
      </c>
      <c r="C811" s="1" t="s">
        <v>3410</v>
      </c>
      <c r="D811" s="1" t="s">
        <v>3411</v>
      </c>
      <c r="E811" s="1" t="s">
        <v>3412</v>
      </c>
      <c r="F811" s="2" t="str">
        <f>"1338187856"</f>
        <v>1338187856</v>
      </c>
      <c r="G811" s="2" t="str">
        <f>"9781338187854"</f>
        <v>9781338187854</v>
      </c>
      <c r="H811" s="1" t="s">
        <v>1575</v>
      </c>
      <c r="I811" s="1" t="s">
        <v>36</v>
      </c>
      <c r="J811" s="1">
        <v>32.0</v>
      </c>
      <c r="K811" s="1">
        <v>2017.0</v>
      </c>
      <c r="L811" s="1">
        <v>2017.0</v>
      </c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 t="s">
        <v>863</v>
      </c>
      <c r="Y811" s="1" t="s">
        <v>3413</v>
      </c>
    </row>
    <row r="812">
      <c r="A812" s="1">
        <v>280248.0</v>
      </c>
      <c r="B812" s="1" t="s">
        <v>3414</v>
      </c>
      <c r="C812" s="1" t="s">
        <v>3415</v>
      </c>
      <c r="D812" s="1" t="s">
        <v>3416</v>
      </c>
      <c r="F812" s="2" t="str">
        <f>"0395525993"</f>
        <v>0395525993</v>
      </c>
      <c r="G812" s="2" t="str">
        <f>"9780395525999"</f>
        <v>9780395525999</v>
      </c>
      <c r="H812" s="1" t="s">
        <v>1799</v>
      </c>
      <c r="I812" s="1" t="s">
        <v>36</v>
      </c>
      <c r="J812" s="1">
        <v>32.0</v>
      </c>
      <c r="K812" s="1">
        <v>1990.0</v>
      </c>
      <c r="L812" s="1">
        <v>1985.0</v>
      </c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 t="s">
        <v>212</v>
      </c>
      <c r="Y812" s="1" t="s">
        <v>3417</v>
      </c>
    </row>
    <row r="813">
      <c r="A813" s="1">
        <v>3.4885548E7</v>
      </c>
      <c r="B813" s="1" t="s">
        <v>3418</v>
      </c>
      <c r="C813" s="1" t="s">
        <v>3419</v>
      </c>
      <c r="D813" s="1" t="s">
        <v>3420</v>
      </c>
      <c r="F813" s="2" t="str">
        <f>"1481491776"</f>
        <v>1481491776</v>
      </c>
      <c r="G813" s="2" t="str">
        <f>"9781481491778"</f>
        <v>9781481491778</v>
      </c>
      <c r="H813" s="1" t="s">
        <v>1371</v>
      </c>
      <c r="I813" s="1" t="s">
        <v>238</v>
      </c>
      <c r="J813" s="1">
        <v>32.0</v>
      </c>
      <c r="K813" s="1">
        <v>2017.0</v>
      </c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 t="s">
        <v>1372</v>
      </c>
      <c r="Y813" s="1" t="s">
        <v>3421</v>
      </c>
    </row>
    <row r="814">
      <c r="A814" s="1">
        <v>1224383.0</v>
      </c>
      <c r="B814" s="1" t="s">
        <v>3422</v>
      </c>
      <c r="C814" s="1" t="s">
        <v>3423</v>
      </c>
      <c r="D814" s="1" t="s">
        <v>3424</v>
      </c>
      <c r="F814" s="2" t="str">
        <f>"1856978737"</f>
        <v>1856978737</v>
      </c>
      <c r="G814" s="2" t="str">
        <f>"9781856978736"</f>
        <v>9781856978736</v>
      </c>
      <c r="H814" s="1" t="s">
        <v>1704</v>
      </c>
      <c r="I814" s="1" t="s">
        <v>31</v>
      </c>
      <c r="J814" s="1">
        <v>32.0</v>
      </c>
      <c r="K814" s="1">
        <v>1994.0</v>
      </c>
      <c r="L814" s="1">
        <v>1993.0</v>
      </c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 t="s">
        <v>96</v>
      </c>
      <c r="Y814" s="1" t="s">
        <v>3425</v>
      </c>
    </row>
    <row r="815">
      <c r="A815" s="1">
        <v>1130666.0</v>
      </c>
      <c r="B815" s="1" t="s">
        <v>3426</v>
      </c>
      <c r="C815" s="1" t="s">
        <v>3423</v>
      </c>
      <c r="D815" s="1" t="s">
        <v>3424</v>
      </c>
      <c r="F815" s="2" t="str">
        <f>"0753456117"</f>
        <v>0753456117</v>
      </c>
      <c r="G815" s="2" t="str">
        <f>"9780753456118"</f>
        <v>9780753456118</v>
      </c>
      <c r="H815" s="1" t="s">
        <v>1704</v>
      </c>
      <c r="I815" s="1" t="s">
        <v>36</v>
      </c>
      <c r="J815" s="1">
        <v>32.0</v>
      </c>
      <c r="K815" s="1">
        <v>2003.0</v>
      </c>
      <c r="L815" s="1">
        <v>1994.0</v>
      </c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 t="s">
        <v>629</v>
      </c>
      <c r="Y815" s="1" t="s">
        <v>3427</v>
      </c>
    </row>
    <row r="816">
      <c r="A816" s="1">
        <v>1450699.0</v>
      </c>
      <c r="B816" s="1" t="s">
        <v>3428</v>
      </c>
      <c r="C816" s="1" t="s">
        <v>3429</v>
      </c>
      <c r="D816" s="1" t="s">
        <v>3430</v>
      </c>
      <c r="E816" s="1" t="s">
        <v>3431</v>
      </c>
      <c r="F816" s="2" t="str">
        <f>"0395537665"</f>
        <v>0395537665</v>
      </c>
      <c r="G816" s="2" t="str">
        <f>"9780395537664"</f>
        <v>9780395537664</v>
      </c>
      <c r="H816" s="1" t="s">
        <v>1710</v>
      </c>
      <c r="I816" s="1" t="s">
        <v>31</v>
      </c>
      <c r="J816" s="1">
        <v>32.0</v>
      </c>
      <c r="K816" s="1">
        <v>1990.0</v>
      </c>
      <c r="L816" s="1">
        <v>1990.0</v>
      </c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 t="s">
        <v>1219</v>
      </c>
      <c r="Y816" s="1" t="s">
        <v>3432</v>
      </c>
    </row>
    <row r="817">
      <c r="A817" s="1">
        <v>2.6795347E7</v>
      </c>
      <c r="B817" s="1" t="s">
        <v>3433</v>
      </c>
      <c r="C817" s="1" t="s">
        <v>3434</v>
      </c>
      <c r="D817" s="1" t="s">
        <v>3435</v>
      </c>
      <c r="F817" s="2" t="str">
        <f>"0062366580"</f>
        <v>0062366580</v>
      </c>
      <c r="G817" s="2" t="str">
        <f>"9780062366580"</f>
        <v>9780062366580</v>
      </c>
      <c r="H817" s="1" t="s">
        <v>290</v>
      </c>
      <c r="I817" s="1" t="s">
        <v>31</v>
      </c>
      <c r="J817" s="1">
        <v>32.0</v>
      </c>
      <c r="K817" s="1">
        <v>2016.0</v>
      </c>
      <c r="L817" s="1">
        <v>2016.0</v>
      </c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 t="s">
        <v>3436</v>
      </c>
      <c r="Y817" s="1" t="s">
        <v>3437</v>
      </c>
    </row>
    <row r="818">
      <c r="A818" s="1">
        <v>1293605.0</v>
      </c>
      <c r="B818" s="1" t="s">
        <v>3438</v>
      </c>
      <c r="C818" s="1" t="s">
        <v>3439</v>
      </c>
      <c r="D818" s="1" t="s">
        <v>3440</v>
      </c>
      <c r="E818" s="1" t="s">
        <v>3441</v>
      </c>
      <c r="F818" s="2" t="str">
        <f>"0892392061"</f>
        <v>0892392061</v>
      </c>
      <c r="G818" s="2" t="str">
        <f>"9780892392063"</f>
        <v>9780892392063</v>
      </c>
      <c r="H818" s="1" t="s">
        <v>3185</v>
      </c>
      <c r="I818" s="1" t="s">
        <v>31</v>
      </c>
      <c r="J818" s="1">
        <v>32.0</v>
      </c>
      <c r="K818" s="1">
        <v>2005.0</v>
      </c>
      <c r="L818" s="1">
        <v>1990.0</v>
      </c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 t="s">
        <v>245</v>
      </c>
      <c r="Y818" s="1" t="s">
        <v>3442</v>
      </c>
    </row>
    <row r="819">
      <c r="A819" s="1">
        <v>3.8402165E7</v>
      </c>
      <c r="B819" s="1" t="s">
        <v>3443</v>
      </c>
      <c r="C819" s="1" t="s">
        <v>3444</v>
      </c>
      <c r="D819" s="1" t="s">
        <v>3445</v>
      </c>
      <c r="E819" s="1" t="s">
        <v>3446</v>
      </c>
      <c r="F819" s="2" t="str">
        <f>"1576878945"</f>
        <v>1576878945</v>
      </c>
      <c r="G819" s="2" t="str">
        <f>"9781576878941"</f>
        <v>9781576878941</v>
      </c>
      <c r="H819" s="1" t="s">
        <v>3447</v>
      </c>
      <c r="I819" s="1" t="s">
        <v>31</v>
      </c>
      <c r="J819" s="1">
        <v>32.0</v>
      </c>
      <c r="K819" s="1">
        <v>2018.0</v>
      </c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 t="s">
        <v>61</v>
      </c>
      <c r="Y819" s="1" t="s">
        <v>3448</v>
      </c>
    </row>
    <row r="820">
      <c r="A820" s="1">
        <v>2.3080083E7</v>
      </c>
      <c r="B820" s="1" t="s">
        <v>3449</v>
      </c>
      <c r="C820" s="1" t="s">
        <v>3450</v>
      </c>
      <c r="D820" s="1" t="s">
        <v>3451</v>
      </c>
      <c r="E820" s="1" t="s">
        <v>3452</v>
      </c>
      <c r="F820" s="2" t="str">
        <f>"1467711888"</f>
        <v>1467711888</v>
      </c>
      <c r="G820" s="2" t="str">
        <f>"9781467711883"</f>
        <v>9781467711883</v>
      </c>
      <c r="H820" s="1" t="s">
        <v>3453</v>
      </c>
      <c r="I820" s="1" t="s">
        <v>31</v>
      </c>
      <c r="J820" s="1">
        <v>32.0</v>
      </c>
      <c r="K820" s="1">
        <v>2015.0</v>
      </c>
      <c r="L820" s="1">
        <v>2015.0</v>
      </c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 t="s">
        <v>68</v>
      </c>
      <c r="Y820" s="1" t="s">
        <v>3454</v>
      </c>
    </row>
    <row r="821">
      <c r="A821" s="1">
        <v>2010944.0</v>
      </c>
      <c r="B821" s="1" t="s">
        <v>3455</v>
      </c>
      <c r="C821" s="1" t="s">
        <v>3456</v>
      </c>
      <c r="D821" s="1" t="s">
        <v>3457</v>
      </c>
      <c r="F821" s="2" t="str">
        <f>"0764117629"</f>
        <v>0764117629</v>
      </c>
      <c r="G821" s="2" t="str">
        <f>"9780764117626"</f>
        <v>9780764117626</v>
      </c>
      <c r="H821" s="1" t="s">
        <v>2199</v>
      </c>
      <c r="I821" s="1" t="s">
        <v>36</v>
      </c>
      <c r="J821" s="1">
        <v>32.0</v>
      </c>
      <c r="K821" s="1">
        <v>2001.0</v>
      </c>
      <c r="L821" s="1">
        <v>1999.0</v>
      </c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 t="s">
        <v>1317</v>
      </c>
      <c r="Y821" s="1" t="s">
        <v>3458</v>
      </c>
    </row>
    <row r="822">
      <c r="A822" s="1">
        <v>3.3913928E7</v>
      </c>
      <c r="B822" s="1" t="s">
        <v>3459</v>
      </c>
      <c r="C822" s="1" t="s">
        <v>3460</v>
      </c>
      <c r="D822" s="1" t="s">
        <v>3461</v>
      </c>
      <c r="E822" s="1" t="s">
        <v>3462</v>
      </c>
      <c r="F822" s="2" t="str">
        <f>"0062353195"</f>
        <v>0062353195</v>
      </c>
      <c r="G822" s="2" t="str">
        <f>"9780062353191"</f>
        <v>9780062353191</v>
      </c>
      <c r="H822" s="1" t="s">
        <v>290</v>
      </c>
      <c r="I822" s="1" t="s">
        <v>31</v>
      </c>
      <c r="J822" s="1">
        <v>32.0</v>
      </c>
      <c r="K822" s="1">
        <v>2017.0</v>
      </c>
      <c r="L822" s="1">
        <v>2017.0</v>
      </c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 t="s">
        <v>51</v>
      </c>
      <c r="Y822" s="1" t="s">
        <v>3463</v>
      </c>
    </row>
    <row r="823">
      <c r="A823" s="1">
        <v>2.8686864E7</v>
      </c>
      <c r="B823" s="1" t="s">
        <v>3464</v>
      </c>
      <c r="C823" s="1" t="s">
        <v>3460</v>
      </c>
      <c r="D823" s="1" t="s">
        <v>3461</v>
      </c>
      <c r="E823" s="1" t="s">
        <v>3465</v>
      </c>
      <c r="F823" s="2" t="str">
        <f>"055352481X"</f>
        <v>055352481X</v>
      </c>
      <c r="G823" s="2" t="str">
        <f>"9780553524819"</f>
        <v>9780553524819</v>
      </c>
      <c r="H823" s="1" t="s">
        <v>3466</v>
      </c>
      <c r="I823" s="1" t="s">
        <v>31</v>
      </c>
      <c r="J823" s="1">
        <v>32.0</v>
      </c>
      <c r="K823" s="1">
        <v>2016.0</v>
      </c>
      <c r="L823" s="1">
        <v>2016.0</v>
      </c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 t="s">
        <v>863</v>
      </c>
      <c r="Y823" s="1" t="s">
        <v>3467</v>
      </c>
    </row>
    <row r="824">
      <c r="A824" s="1">
        <v>3383493.0</v>
      </c>
      <c r="B824" s="1" t="s">
        <v>3468</v>
      </c>
      <c r="C824" s="1" t="s">
        <v>3469</v>
      </c>
      <c r="D824" s="1" t="s">
        <v>3470</v>
      </c>
      <c r="F824" s="2" t="str">
        <f>"0374466599"</f>
        <v>0374466599</v>
      </c>
      <c r="G824" s="2" t="str">
        <f>"9780374466596"</f>
        <v>9780374466596</v>
      </c>
      <c r="H824" s="1" t="s">
        <v>3471</v>
      </c>
      <c r="I824" s="1" t="s">
        <v>36</v>
      </c>
      <c r="J824" s="1">
        <v>32.0</v>
      </c>
      <c r="K824" s="1">
        <v>1986.0</v>
      </c>
      <c r="L824" s="1">
        <v>1984.0</v>
      </c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 t="s">
        <v>323</v>
      </c>
      <c r="Y824" s="1" t="s">
        <v>3472</v>
      </c>
    </row>
    <row r="825">
      <c r="A825" s="1">
        <v>480315.0</v>
      </c>
      <c r="B825" s="1" t="s">
        <v>3473</v>
      </c>
      <c r="C825" s="1" t="s">
        <v>3474</v>
      </c>
      <c r="D825" s="1" t="s">
        <v>3475</v>
      </c>
      <c r="F825" s="2" t="str">
        <f>"0688154115"</f>
        <v>0688154115</v>
      </c>
      <c r="G825" s="2" t="str">
        <f>"9780688154110"</f>
        <v>9780688154110</v>
      </c>
      <c r="H825" s="1" t="s">
        <v>290</v>
      </c>
      <c r="I825" s="1" t="s">
        <v>36</v>
      </c>
      <c r="J825" s="1">
        <v>32.0</v>
      </c>
      <c r="K825" s="1">
        <v>1997.0</v>
      </c>
      <c r="L825" s="1">
        <v>1994.0</v>
      </c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 t="s">
        <v>116</v>
      </c>
      <c r="Y825" s="1" t="s">
        <v>3476</v>
      </c>
    </row>
    <row r="826">
      <c r="A826" s="1">
        <v>1300668.0</v>
      </c>
      <c r="B826" s="1" t="s">
        <v>3477</v>
      </c>
      <c r="C826" s="1" t="s">
        <v>3474</v>
      </c>
      <c r="D826" s="1" t="s">
        <v>3475</v>
      </c>
      <c r="F826" s="2" t="str">
        <f>"0823406997"</f>
        <v>0823406997</v>
      </c>
      <c r="G826" s="2" t="str">
        <f>"9780823406999"</f>
        <v>9780823406999</v>
      </c>
      <c r="H826" s="1" t="s">
        <v>2347</v>
      </c>
      <c r="I826" s="1" t="s">
        <v>36</v>
      </c>
      <c r="J826" s="1">
        <v>32.0</v>
      </c>
      <c r="K826" s="1">
        <v>1987.0</v>
      </c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 t="s">
        <v>32</v>
      </c>
      <c r="Y826" s="1" t="s">
        <v>3478</v>
      </c>
    </row>
    <row r="827">
      <c r="A827" s="1">
        <v>3.8506702E7</v>
      </c>
      <c r="B827" s="1" t="s">
        <v>3479</v>
      </c>
      <c r="C827" s="1" t="s">
        <v>3480</v>
      </c>
      <c r="D827" s="1" t="s">
        <v>3481</v>
      </c>
      <c r="E827" s="1" t="s">
        <v>849</v>
      </c>
      <c r="F827" s="2" t="str">
        <f>"1368021409"</f>
        <v>1368021409</v>
      </c>
      <c r="G827" s="2" t="str">
        <f>"9781368021401"</f>
        <v>9781368021401</v>
      </c>
      <c r="H827" s="1" t="s">
        <v>851</v>
      </c>
      <c r="I827" s="1" t="s">
        <v>31</v>
      </c>
      <c r="J827" s="1">
        <v>32.0</v>
      </c>
      <c r="K827" s="1">
        <v>2018.0</v>
      </c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 t="s">
        <v>3482</v>
      </c>
      <c r="Y827" s="1" t="s">
        <v>3483</v>
      </c>
    </row>
    <row r="828">
      <c r="A828" s="1">
        <v>2422595.0</v>
      </c>
      <c r="B828" s="1" t="s">
        <v>3484</v>
      </c>
      <c r="C828" s="1" t="s">
        <v>3485</v>
      </c>
      <c r="D828" s="1" t="s">
        <v>3486</v>
      </c>
      <c r="F828" s="2" t="str">
        <f>"0531070239"</f>
        <v>0531070239</v>
      </c>
      <c r="G828" s="2" t="str">
        <f>"9780531070239"</f>
        <v>9780531070239</v>
      </c>
      <c r="H828" s="1" t="s">
        <v>2397</v>
      </c>
      <c r="I828" s="1" t="s">
        <v>36</v>
      </c>
      <c r="J828" s="1">
        <v>32.0</v>
      </c>
      <c r="K828" s="1">
        <v>1991.0</v>
      </c>
      <c r="L828" s="1">
        <v>1988.0</v>
      </c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 t="s">
        <v>742</v>
      </c>
      <c r="Y828" s="1" t="s">
        <v>3487</v>
      </c>
    </row>
    <row r="829">
      <c r="A829" s="1">
        <v>2401853.0</v>
      </c>
      <c r="B829" s="1" t="s">
        <v>3488</v>
      </c>
      <c r="C829" s="1" t="s">
        <v>3489</v>
      </c>
      <c r="D829" s="1" t="s">
        <v>3490</v>
      </c>
      <c r="F829" s="2" t="str">
        <f>"1889910147"</f>
        <v>1889910147</v>
      </c>
      <c r="G829" s="2" t="str">
        <f>"9781889910147"</f>
        <v>9781889910147</v>
      </c>
      <c r="H829" s="1" t="s">
        <v>3491</v>
      </c>
      <c r="I829" s="1" t="s">
        <v>36</v>
      </c>
      <c r="J829" s="1">
        <v>32.0</v>
      </c>
      <c r="K829" s="1">
        <v>1997.0</v>
      </c>
      <c r="L829" s="1">
        <v>1994.0</v>
      </c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 t="s">
        <v>92</v>
      </c>
      <c r="Y829" s="1" t="s">
        <v>3492</v>
      </c>
    </row>
    <row r="830">
      <c r="A830" s="1">
        <v>1250630.0</v>
      </c>
      <c r="B830" s="1" t="s">
        <v>3493</v>
      </c>
      <c r="C830" s="1" t="s">
        <v>3494</v>
      </c>
      <c r="D830" s="1" t="s">
        <v>3495</v>
      </c>
      <c r="E830" s="1" t="s">
        <v>3494</v>
      </c>
      <c r="F830" s="2" t="str">
        <f>"043906757X"</f>
        <v>043906757X</v>
      </c>
      <c r="G830" s="2" t="str">
        <f>"9780439067577"</f>
        <v>9780439067577</v>
      </c>
      <c r="H830" s="1" t="s">
        <v>1575</v>
      </c>
      <c r="I830" s="1" t="s">
        <v>36</v>
      </c>
      <c r="J830" s="1">
        <v>32.0</v>
      </c>
      <c r="K830" s="1">
        <v>1999.0</v>
      </c>
      <c r="L830" s="1">
        <v>1994.0</v>
      </c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 t="s">
        <v>37</v>
      </c>
      <c r="Y830" s="1" t="s">
        <v>3496</v>
      </c>
    </row>
    <row r="831">
      <c r="A831" s="1">
        <v>5.342015E7</v>
      </c>
      <c r="B831" s="1" t="s">
        <v>3497</v>
      </c>
      <c r="C831" s="1" t="s">
        <v>3498</v>
      </c>
      <c r="D831" s="1" t="s">
        <v>3499</v>
      </c>
      <c r="E831" s="1" t="s">
        <v>3500</v>
      </c>
      <c r="F831" s="2" t="str">
        <f>"0593203224"</f>
        <v>0593203224</v>
      </c>
      <c r="G831" s="2" t="str">
        <f>"9780593203224"</f>
        <v>9780593203224</v>
      </c>
      <c r="H831" s="1" t="s">
        <v>2746</v>
      </c>
      <c r="I831" s="1" t="s">
        <v>31</v>
      </c>
      <c r="J831" s="1">
        <v>32.0</v>
      </c>
      <c r="K831" s="1">
        <v>2021.0</v>
      </c>
      <c r="L831" s="1">
        <v>2021.0</v>
      </c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 t="s">
        <v>742</v>
      </c>
      <c r="Y831" s="1" t="s">
        <v>3501</v>
      </c>
    </row>
    <row r="832">
      <c r="A832" s="1">
        <v>1.8640485E7</v>
      </c>
      <c r="B832" s="1" t="s">
        <v>3502</v>
      </c>
      <c r="C832" s="1" t="s">
        <v>3503</v>
      </c>
      <c r="D832" s="1" t="s">
        <v>3504</v>
      </c>
      <c r="F832" s="2" t="str">
        <f>"1465420266"</f>
        <v>1465420266</v>
      </c>
      <c r="G832" s="2" t="str">
        <f>"9781465420268"</f>
        <v>9781465420268</v>
      </c>
      <c r="H832" s="1" t="s">
        <v>1089</v>
      </c>
      <c r="I832" s="1" t="s">
        <v>31</v>
      </c>
      <c r="J832" s="1">
        <v>32.0</v>
      </c>
      <c r="K832" s="1">
        <v>2014.0</v>
      </c>
      <c r="L832" s="1">
        <v>2014.0</v>
      </c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 t="s">
        <v>329</v>
      </c>
      <c r="Y832" s="1" t="s">
        <v>3505</v>
      </c>
    </row>
    <row r="833">
      <c r="A833" s="1">
        <v>1.8640487E7</v>
      </c>
      <c r="B833" s="1" t="s">
        <v>3506</v>
      </c>
      <c r="C833" s="1" t="s">
        <v>3503</v>
      </c>
      <c r="D833" s="1" t="s">
        <v>3504</v>
      </c>
      <c r="F833" s="2" t="str">
        <f>"1465420282"</f>
        <v>1465420282</v>
      </c>
      <c r="G833" s="2" t="str">
        <f>"9781465420282"</f>
        <v>9781465420282</v>
      </c>
      <c r="H833" s="1" t="s">
        <v>1089</v>
      </c>
      <c r="I833" s="1" t="s">
        <v>31</v>
      </c>
      <c r="J833" s="1">
        <v>32.0</v>
      </c>
      <c r="K833" s="1">
        <v>2014.0</v>
      </c>
      <c r="L833" s="1">
        <v>2012.0</v>
      </c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 t="s">
        <v>83</v>
      </c>
      <c r="Y833" s="1" t="s">
        <v>3507</v>
      </c>
    </row>
    <row r="834">
      <c r="A834" s="1">
        <v>3.3605561E7</v>
      </c>
      <c r="B834" s="1" t="s">
        <v>3508</v>
      </c>
      <c r="C834" s="1" t="s">
        <v>3509</v>
      </c>
      <c r="D834" s="1" t="s">
        <v>3510</v>
      </c>
      <c r="E834" s="1" t="s">
        <v>3511</v>
      </c>
      <c r="F834" s="2" t="str">
        <f>"1338116959"</f>
        <v>1338116959</v>
      </c>
      <c r="G834" s="2" t="str">
        <f>"9781338116953"</f>
        <v>9781338116953</v>
      </c>
      <c r="H834" s="1" t="s">
        <v>857</v>
      </c>
      <c r="I834" s="1" t="s">
        <v>31</v>
      </c>
      <c r="J834" s="1">
        <v>32.0</v>
      </c>
      <c r="K834" s="1">
        <v>2017.0</v>
      </c>
      <c r="L834" s="1">
        <v>2016.0</v>
      </c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 t="s">
        <v>1317</v>
      </c>
      <c r="Y834" s="1" t="s">
        <v>3512</v>
      </c>
    </row>
    <row r="835">
      <c r="A835" s="1">
        <v>2.4879775E7</v>
      </c>
      <c r="B835" s="1" t="s">
        <v>3513</v>
      </c>
      <c r="C835" s="1" t="s">
        <v>3509</v>
      </c>
      <c r="D835" s="1" t="s">
        <v>3510</v>
      </c>
      <c r="E835" s="1" t="s">
        <v>3514</v>
      </c>
      <c r="F835" s="2" t="str">
        <f>"0545687918"</f>
        <v>0545687918</v>
      </c>
      <c r="G835" s="2" t="str">
        <f>"9780545687911"</f>
        <v>9780545687911</v>
      </c>
      <c r="H835" s="1" t="s">
        <v>179</v>
      </c>
      <c r="I835" s="1" t="s">
        <v>31</v>
      </c>
      <c r="J835" s="1">
        <v>32.0</v>
      </c>
      <c r="K835" s="1">
        <v>2015.0</v>
      </c>
      <c r="L835" s="1">
        <v>2014.0</v>
      </c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 t="s">
        <v>68</v>
      </c>
      <c r="Y835" s="1" t="s">
        <v>3515</v>
      </c>
    </row>
    <row r="836">
      <c r="A836" s="1">
        <v>704194.0</v>
      </c>
      <c r="B836" s="1" t="s">
        <v>3516</v>
      </c>
      <c r="C836" s="1" t="s">
        <v>3517</v>
      </c>
      <c r="D836" s="1" t="s">
        <v>3518</v>
      </c>
      <c r="E836" s="1" t="s">
        <v>3519</v>
      </c>
      <c r="F836" s="2" t="str">
        <f>"0316355763"</f>
        <v>0316355763</v>
      </c>
      <c r="G836" s="2" t="str">
        <f>"9780316355766"</f>
        <v>9780316355766</v>
      </c>
      <c r="H836" s="1" t="s">
        <v>112</v>
      </c>
      <c r="I836" s="1" t="s">
        <v>36</v>
      </c>
      <c r="J836" s="1">
        <v>32.0</v>
      </c>
      <c r="K836" s="1">
        <v>2002.0</v>
      </c>
      <c r="L836" s="1">
        <v>1997.0</v>
      </c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 t="s">
        <v>68</v>
      </c>
      <c r="Y836" s="1" t="s">
        <v>3520</v>
      </c>
    </row>
    <row r="837">
      <c r="A837" s="1">
        <v>7576641.0</v>
      </c>
      <c r="B837" s="1" t="s">
        <v>3521</v>
      </c>
      <c r="C837" s="1" t="s">
        <v>3522</v>
      </c>
      <c r="D837" s="1" t="s">
        <v>3523</v>
      </c>
      <c r="E837" s="1" t="s">
        <v>3524</v>
      </c>
      <c r="F837" s="2" t="str">
        <f>"0061853879"</f>
        <v>0061853879</v>
      </c>
      <c r="G837" s="2" t="str">
        <f>"9780061853876"</f>
        <v>9780061853876</v>
      </c>
      <c r="H837" s="1" t="s">
        <v>290</v>
      </c>
      <c r="I837" s="1" t="s">
        <v>31</v>
      </c>
      <c r="J837" s="1">
        <v>32.0</v>
      </c>
      <c r="K837" s="1">
        <v>2010.0</v>
      </c>
      <c r="L837" s="1">
        <v>2010.0</v>
      </c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 t="s">
        <v>83</v>
      </c>
      <c r="Y837" s="1" t="s">
        <v>3525</v>
      </c>
    </row>
    <row r="838">
      <c r="A838" s="1">
        <v>3.121328E7</v>
      </c>
      <c r="B838" s="1" t="s">
        <v>3526</v>
      </c>
      <c r="C838" s="1" t="s">
        <v>3527</v>
      </c>
      <c r="D838" s="1" t="s">
        <v>3528</v>
      </c>
      <c r="E838" s="1" t="s">
        <v>3529</v>
      </c>
      <c r="F838" s="2" t="str">
        <f>"1510712704"</f>
        <v>1510712704</v>
      </c>
      <c r="G838" s="2" t="str">
        <f>"9781510712706"</f>
        <v>9781510712706</v>
      </c>
      <c r="H838" s="1" t="s">
        <v>3278</v>
      </c>
      <c r="I838" s="1" t="s">
        <v>36</v>
      </c>
      <c r="J838" s="1">
        <v>32.0</v>
      </c>
      <c r="K838" s="1">
        <v>2017.0</v>
      </c>
      <c r="L838" s="1">
        <v>2013.0</v>
      </c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 t="s">
        <v>742</v>
      </c>
      <c r="Y838" s="1" t="s">
        <v>3530</v>
      </c>
    </row>
    <row r="839">
      <c r="A839" s="1">
        <v>454460.0</v>
      </c>
      <c r="B839" s="1" t="s">
        <v>3531</v>
      </c>
      <c r="C839" s="1" t="s">
        <v>3532</v>
      </c>
      <c r="D839" s="1" t="s">
        <v>3533</v>
      </c>
      <c r="E839" s="1" t="s">
        <v>3534</v>
      </c>
      <c r="F839" s="2" t="str">
        <f>"059046275X"</f>
        <v>059046275X</v>
      </c>
      <c r="G839" s="2" t="str">
        <f>"9780590462754"</f>
        <v>9780590462754</v>
      </c>
      <c r="H839" s="1" t="s">
        <v>50</v>
      </c>
      <c r="I839" s="1" t="s">
        <v>36</v>
      </c>
      <c r="J839" s="1">
        <v>32.0</v>
      </c>
      <c r="K839" s="1">
        <v>1993.0</v>
      </c>
      <c r="L839" s="1">
        <v>1989.0</v>
      </c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 t="s">
        <v>1397</v>
      </c>
      <c r="Y839" s="1" t="s">
        <v>3535</v>
      </c>
    </row>
    <row r="840">
      <c r="A840" s="1">
        <v>317871.0</v>
      </c>
      <c r="B840" s="1" t="s">
        <v>3536</v>
      </c>
      <c r="C840" s="1" t="s">
        <v>3537</v>
      </c>
      <c r="D840" s="1" t="s">
        <v>3538</v>
      </c>
      <c r="E840" s="1" t="s">
        <v>3539</v>
      </c>
      <c r="F840" s="2" t="str">
        <f>"0805065822"</f>
        <v>0805065822</v>
      </c>
      <c r="G840" s="2" t="str">
        <f>"9780805065824"</f>
        <v>9780805065824</v>
      </c>
      <c r="H840" s="1" t="s">
        <v>2118</v>
      </c>
      <c r="I840" s="1" t="s">
        <v>31</v>
      </c>
      <c r="J840" s="1">
        <v>32.0</v>
      </c>
      <c r="K840" s="1">
        <v>2004.0</v>
      </c>
      <c r="L840" s="1">
        <v>2004.0</v>
      </c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 t="s">
        <v>1317</v>
      </c>
      <c r="Y840" s="1" t="s">
        <v>3540</v>
      </c>
    </row>
    <row r="841">
      <c r="A841" s="1">
        <v>4.3218173E7</v>
      </c>
      <c r="B841" s="1" t="s">
        <v>3541</v>
      </c>
      <c r="C841" s="1" t="s">
        <v>3542</v>
      </c>
      <c r="D841" s="1" t="s">
        <v>3543</v>
      </c>
      <c r="E841" s="1" t="s">
        <v>3544</v>
      </c>
      <c r="F841" s="2" t="str">
        <f>"1524740705"</f>
        <v>1524740705</v>
      </c>
      <c r="G841" s="2" t="str">
        <f>"9781524740702"</f>
        <v>9781524740702</v>
      </c>
      <c r="H841" s="1" t="s">
        <v>2418</v>
      </c>
      <c r="I841" s="1" t="s">
        <v>31</v>
      </c>
      <c r="J841" s="1">
        <v>32.0</v>
      </c>
      <c r="K841" s="1">
        <v>2019.0</v>
      </c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 t="s">
        <v>61</v>
      </c>
      <c r="Y841" s="1" t="s">
        <v>3545</v>
      </c>
    </row>
    <row r="842">
      <c r="A842" s="1">
        <v>4.0218137E7</v>
      </c>
      <c r="B842" s="1" t="s">
        <v>3546</v>
      </c>
      <c r="C842" s="1" t="s">
        <v>3547</v>
      </c>
      <c r="D842" s="1" t="s">
        <v>3548</v>
      </c>
      <c r="E842" s="1" t="s">
        <v>3549</v>
      </c>
      <c r="F842" s="2" t="str">
        <f>"1683353773"</f>
        <v>1683353773</v>
      </c>
      <c r="G842" s="2" t="str">
        <f>"9781683353775"</f>
        <v>9781683353775</v>
      </c>
      <c r="H842" s="1" t="s">
        <v>2568</v>
      </c>
      <c r="I842" s="1" t="s">
        <v>238</v>
      </c>
      <c r="J842" s="1">
        <v>32.0</v>
      </c>
      <c r="K842" s="1">
        <v>2018.0</v>
      </c>
      <c r="L842" s="1">
        <v>2018.0</v>
      </c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 t="s">
        <v>68</v>
      </c>
      <c r="Y842" s="1" t="s">
        <v>3550</v>
      </c>
    </row>
    <row r="843">
      <c r="A843" s="1">
        <v>1.6225459E7</v>
      </c>
      <c r="B843" s="1" t="s">
        <v>3551</v>
      </c>
      <c r="C843" s="1" t="s">
        <v>3552</v>
      </c>
      <c r="D843" s="1" t="s">
        <v>3553</v>
      </c>
      <c r="E843" s="1" t="s">
        <v>3554</v>
      </c>
      <c r="F843" s="2" t="str">
        <f>"0062192264"</f>
        <v>0062192264</v>
      </c>
      <c r="G843" s="2" t="str">
        <f>"9780062192264"</f>
        <v>9780062192264</v>
      </c>
      <c r="H843" s="1" t="s">
        <v>290</v>
      </c>
      <c r="I843" s="1" t="s">
        <v>31</v>
      </c>
      <c r="J843" s="1">
        <v>32.0</v>
      </c>
      <c r="K843" s="1">
        <v>2013.0</v>
      </c>
      <c r="L843" s="1">
        <v>2013.0</v>
      </c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 t="s">
        <v>3555</v>
      </c>
      <c r="Y843" s="1" t="s">
        <v>3556</v>
      </c>
    </row>
    <row r="844">
      <c r="A844" s="1">
        <v>9653049.0</v>
      </c>
      <c r="B844" s="1" t="s">
        <v>3557</v>
      </c>
      <c r="C844" s="1" t="s">
        <v>3558</v>
      </c>
      <c r="D844" s="1" t="s">
        <v>3559</v>
      </c>
      <c r="E844" s="1" t="s">
        <v>3560</v>
      </c>
      <c r="F844" s="2" t="str">
        <f>"1599904683"</f>
        <v>1599904683</v>
      </c>
      <c r="G844" s="2" t="str">
        <f>"9781599904689"</f>
        <v>9781599904689</v>
      </c>
      <c r="H844" s="1" t="s">
        <v>2588</v>
      </c>
      <c r="I844" s="1" t="s">
        <v>31</v>
      </c>
      <c r="J844" s="1">
        <v>32.0</v>
      </c>
      <c r="K844" s="1">
        <v>2011.0</v>
      </c>
      <c r="L844" s="1">
        <v>2011.0</v>
      </c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 t="s">
        <v>1225</v>
      </c>
      <c r="Y844" s="1" t="s">
        <v>3561</v>
      </c>
    </row>
    <row r="845">
      <c r="A845" s="1">
        <v>492806.0</v>
      </c>
      <c r="B845" s="1" t="s">
        <v>3562</v>
      </c>
      <c r="C845" s="1" t="s">
        <v>1531</v>
      </c>
      <c r="D845" s="1" t="s">
        <v>1532</v>
      </c>
      <c r="E845" s="1" t="s">
        <v>3563</v>
      </c>
      <c r="F845" s="2" t="str">
        <f>"0516246232"</f>
        <v>0516246232</v>
      </c>
      <c r="G845" s="2" t="str">
        <f>"9780516246239"</f>
        <v>9780516246239</v>
      </c>
      <c r="H845" s="1" t="s">
        <v>1614</v>
      </c>
      <c r="I845" s="1" t="s">
        <v>36</v>
      </c>
      <c r="J845" s="1">
        <v>32.0</v>
      </c>
      <c r="K845" s="1">
        <v>2004.0</v>
      </c>
      <c r="L845" s="1">
        <v>1994.0</v>
      </c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 t="s">
        <v>3564</v>
      </c>
      <c r="Y845" s="1" t="s">
        <v>3565</v>
      </c>
    </row>
    <row r="846">
      <c r="A846" s="1">
        <v>1.37938378E8</v>
      </c>
      <c r="B846" s="1" t="s">
        <v>3566</v>
      </c>
      <c r="C846" s="1" t="s">
        <v>3567</v>
      </c>
      <c r="D846" s="1" t="s">
        <v>3568</v>
      </c>
      <c r="F846" s="2" t="str">
        <f>"1915963028"</f>
        <v>1915963028</v>
      </c>
      <c r="G846" s="2" t="str">
        <f>"9781915963024"</f>
        <v>9781915963024</v>
      </c>
      <c r="H846" s="1" t="s">
        <v>3569</v>
      </c>
      <c r="I846" s="1" t="s">
        <v>31</v>
      </c>
      <c r="J846" s="1">
        <v>32.0</v>
      </c>
      <c r="K846" s="1">
        <v>2023.0</v>
      </c>
    </row>
    <row r="847">
      <c r="A847" s="1">
        <v>1147714.0</v>
      </c>
      <c r="B847" s="1" t="s">
        <v>3570</v>
      </c>
      <c r="C847" s="1" t="s">
        <v>3571</v>
      </c>
      <c r="D847" s="1" t="s">
        <v>3572</v>
      </c>
      <c r="E847" s="1" t="s">
        <v>3573</v>
      </c>
      <c r="F847" s="2" t="str">
        <f>"0735819653"</f>
        <v>0735819653</v>
      </c>
      <c r="G847" s="2" t="str">
        <f>"9780735819658"</f>
        <v>9780735819658</v>
      </c>
      <c r="H847" s="1" t="s">
        <v>3574</v>
      </c>
      <c r="I847" s="1" t="s">
        <v>31</v>
      </c>
      <c r="J847" s="1">
        <v>32.0</v>
      </c>
      <c r="K847" s="1">
        <v>2004.0</v>
      </c>
      <c r="L847" s="1">
        <v>2004.0</v>
      </c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 t="s">
        <v>1518</v>
      </c>
      <c r="Y847" s="1" t="s">
        <v>3575</v>
      </c>
    </row>
    <row r="848">
      <c r="A848" s="1">
        <v>2887503.0</v>
      </c>
      <c r="B848" s="1" t="s">
        <v>3576</v>
      </c>
      <c r="C848" s="1" t="s">
        <v>3577</v>
      </c>
      <c r="D848" s="1" t="s">
        <v>3578</v>
      </c>
      <c r="E848" s="1" t="s">
        <v>3579</v>
      </c>
      <c r="F848" s="2" t="str">
        <f>"1405437820"</f>
        <v>1405437820</v>
      </c>
      <c r="G848" s="2" t="str">
        <f>"9781405437820"</f>
        <v>9781405437820</v>
      </c>
      <c r="H848" s="1" t="s">
        <v>2107</v>
      </c>
      <c r="I848" s="1" t="s">
        <v>31</v>
      </c>
      <c r="J848" s="1">
        <v>32.0</v>
      </c>
      <c r="K848" s="1">
        <v>2012.0</v>
      </c>
      <c r="L848" s="1">
        <v>2004.0</v>
      </c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 t="s">
        <v>412</v>
      </c>
      <c r="Y848" s="1" t="s">
        <v>3580</v>
      </c>
    </row>
    <row r="849">
      <c r="A849" s="1">
        <v>72660.0</v>
      </c>
      <c r="B849" s="1" t="s">
        <v>3581</v>
      </c>
      <c r="C849" s="1" t="s">
        <v>3582</v>
      </c>
      <c r="D849" s="1" t="s">
        <v>3583</v>
      </c>
      <c r="E849" s="1" t="s">
        <v>3584</v>
      </c>
      <c r="F849" s="2" t="str">
        <f>"0399246967"</f>
        <v>0399246967</v>
      </c>
      <c r="G849" s="2" t="str">
        <f>"9780399246968"</f>
        <v>9780399246968</v>
      </c>
      <c r="H849" s="1" t="s">
        <v>2525</v>
      </c>
      <c r="I849" s="1" t="s">
        <v>31</v>
      </c>
      <c r="J849" s="1">
        <v>32.0</v>
      </c>
      <c r="K849" s="1">
        <v>2006.0</v>
      </c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 t="s">
        <v>212</v>
      </c>
      <c r="Y849" s="1" t="s">
        <v>3585</v>
      </c>
    </row>
    <row r="850">
      <c r="A850" s="1">
        <v>1205139.0</v>
      </c>
      <c r="B850" s="1" t="s">
        <v>3586</v>
      </c>
      <c r="C850" s="1" t="s">
        <v>3587</v>
      </c>
      <c r="D850" s="1" t="s">
        <v>3588</v>
      </c>
      <c r="F850" s="2" t="str">
        <f>"0789492202"</f>
        <v>0789492202</v>
      </c>
      <c r="G850" s="2" t="str">
        <f>"9780789492203"</f>
        <v>9780789492203</v>
      </c>
      <c r="H850" s="1" t="s">
        <v>1089</v>
      </c>
      <c r="I850" s="1" t="s">
        <v>36</v>
      </c>
      <c r="J850" s="1">
        <v>32.0</v>
      </c>
      <c r="K850" s="1">
        <v>2003.0</v>
      </c>
      <c r="L850" s="1">
        <v>2003.0</v>
      </c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 t="s">
        <v>841</v>
      </c>
      <c r="Y850" s="1" t="s">
        <v>3589</v>
      </c>
    </row>
    <row r="851">
      <c r="A851" s="1">
        <v>366180.0</v>
      </c>
      <c r="B851" s="1" t="s">
        <v>3590</v>
      </c>
      <c r="C851" s="1" t="s">
        <v>2423</v>
      </c>
      <c r="D851" s="1" t="s">
        <v>3591</v>
      </c>
      <c r="E851" s="1" t="s">
        <v>3592</v>
      </c>
      <c r="F851" s="2" t="str">
        <f>"0439293111"</f>
        <v>0439293111</v>
      </c>
      <c r="G851" s="2" t="str">
        <f>"9780439293112"</f>
        <v>9780439293112</v>
      </c>
      <c r="H851" s="1" t="s">
        <v>3593</v>
      </c>
      <c r="I851" s="1" t="s">
        <v>31</v>
      </c>
      <c r="J851" s="1">
        <v>32.0</v>
      </c>
      <c r="K851" s="1">
        <v>2001.0</v>
      </c>
      <c r="L851" s="1">
        <v>2001.0</v>
      </c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 t="s">
        <v>109</v>
      </c>
      <c r="Y851" s="1" t="s">
        <v>3594</v>
      </c>
    </row>
    <row r="852">
      <c r="A852" s="1">
        <v>4341129.0</v>
      </c>
      <c r="B852" s="1" t="s">
        <v>3595</v>
      </c>
      <c r="C852" s="1" t="s">
        <v>3596</v>
      </c>
      <c r="D852" s="1" t="s">
        <v>3597</v>
      </c>
      <c r="E852" s="1" t="s">
        <v>3598</v>
      </c>
      <c r="F852" s="2" t="str">
        <f>"1550745433"</f>
        <v>1550745433</v>
      </c>
      <c r="G852" s="2" t="str">
        <f>"9781550745436"</f>
        <v>9781550745436</v>
      </c>
      <c r="H852" s="1" t="s">
        <v>3071</v>
      </c>
      <c r="I852" s="1" t="s">
        <v>31</v>
      </c>
      <c r="J852" s="1">
        <v>32.0</v>
      </c>
      <c r="K852" s="1">
        <v>2000.0</v>
      </c>
      <c r="L852" s="1">
        <v>2000.0</v>
      </c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 t="s">
        <v>3599</v>
      </c>
      <c r="Y852" s="1" t="s">
        <v>3600</v>
      </c>
    </row>
    <row r="853">
      <c r="A853" s="1">
        <v>518635.0</v>
      </c>
      <c r="B853" s="1" t="s">
        <v>3601</v>
      </c>
      <c r="C853" s="1" t="s">
        <v>3602</v>
      </c>
      <c r="D853" s="1" t="s">
        <v>3603</v>
      </c>
      <c r="F853" s="2" t="str">
        <f>"0448409658"</f>
        <v>0448409658</v>
      </c>
      <c r="G853" s="2" t="str">
        <f>"9780448409658"</f>
        <v>9780448409658</v>
      </c>
      <c r="H853" s="1" t="s">
        <v>2014</v>
      </c>
      <c r="I853" s="1" t="s">
        <v>36</v>
      </c>
      <c r="J853" s="1">
        <v>32.0</v>
      </c>
      <c r="K853" s="1">
        <v>1995.0</v>
      </c>
      <c r="L853" s="1">
        <v>1986.0</v>
      </c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 t="s">
        <v>96</v>
      </c>
      <c r="Y853" s="1" t="s">
        <v>3604</v>
      </c>
    </row>
    <row r="854">
      <c r="A854" s="1">
        <v>635083.0</v>
      </c>
      <c r="B854" s="1" t="s">
        <v>3605</v>
      </c>
      <c r="C854" s="1" t="s">
        <v>3606</v>
      </c>
      <c r="D854" s="1" t="s">
        <v>3607</v>
      </c>
      <c r="F854" s="2" t="str">
        <f>"0688114490"</f>
        <v>0688114490</v>
      </c>
      <c r="G854" s="2" t="str">
        <f>"9780688114497"</f>
        <v>9780688114497</v>
      </c>
      <c r="H854" s="1" t="s">
        <v>1570</v>
      </c>
      <c r="I854" s="1" t="s">
        <v>31</v>
      </c>
      <c r="J854" s="1">
        <v>32.0</v>
      </c>
      <c r="K854" s="1">
        <v>1993.0</v>
      </c>
      <c r="L854" s="1">
        <v>1993.0</v>
      </c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 t="s">
        <v>1839</v>
      </c>
      <c r="Y854" s="1" t="s">
        <v>3608</v>
      </c>
    </row>
    <row r="855">
      <c r="A855" s="1">
        <v>858514.0</v>
      </c>
      <c r="B855" s="1" t="s">
        <v>3609</v>
      </c>
      <c r="C855" s="1" t="s">
        <v>3606</v>
      </c>
      <c r="D855" s="1" t="s">
        <v>3607</v>
      </c>
      <c r="F855" s="2" t="str">
        <f>"0688170277"</f>
        <v>0688170277</v>
      </c>
      <c r="G855" s="2" t="str">
        <f>"9780688170271"</f>
        <v>9780688170271</v>
      </c>
      <c r="H855" s="1" t="s">
        <v>1570</v>
      </c>
      <c r="I855" s="1" t="s">
        <v>31</v>
      </c>
      <c r="J855" s="1">
        <v>32.0</v>
      </c>
      <c r="K855" s="1">
        <v>2000.0</v>
      </c>
      <c r="L855" s="1">
        <v>2000.0</v>
      </c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 t="s">
        <v>1219</v>
      </c>
      <c r="Y855" s="1" t="s">
        <v>3610</v>
      </c>
    </row>
    <row r="856">
      <c r="A856" s="1">
        <v>2.3735067E7</v>
      </c>
      <c r="B856" s="1" t="s">
        <v>3611</v>
      </c>
      <c r="C856" s="1" t="s">
        <v>3606</v>
      </c>
      <c r="D856" s="1" t="s">
        <v>3607</v>
      </c>
      <c r="F856" s="2" t="str">
        <f>"0062368435"</f>
        <v>0062368435</v>
      </c>
      <c r="G856" s="2" t="str">
        <f>"9780062368430"</f>
        <v>9780062368430</v>
      </c>
      <c r="H856" s="1" t="s">
        <v>1570</v>
      </c>
      <c r="I856" s="1" t="s">
        <v>31</v>
      </c>
      <c r="J856" s="1">
        <v>32.0</v>
      </c>
      <c r="K856" s="1">
        <v>2015.0</v>
      </c>
      <c r="L856" s="1">
        <v>2015.0</v>
      </c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 t="s">
        <v>2254</v>
      </c>
      <c r="Y856" s="1" t="s">
        <v>3612</v>
      </c>
    </row>
    <row r="857">
      <c r="A857" s="1">
        <v>20692.0</v>
      </c>
      <c r="B857" s="1" t="s">
        <v>3613</v>
      </c>
      <c r="C857" s="1" t="s">
        <v>3606</v>
      </c>
      <c r="D857" s="1" t="s">
        <v>3607</v>
      </c>
      <c r="F857" s="2" t="str">
        <f>"0688154727"</f>
        <v>0688154727</v>
      </c>
      <c r="G857" s="2" t="str">
        <f>"9780688154721"</f>
        <v>9780688154721</v>
      </c>
      <c r="H857" s="1" t="s">
        <v>1570</v>
      </c>
      <c r="I857" s="1" t="s">
        <v>36</v>
      </c>
      <c r="J857" s="1">
        <v>32.0</v>
      </c>
      <c r="K857" s="1">
        <v>1997.0</v>
      </c>
      <c r="L857" s="1">
        <v>1988.0</v>
      </c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 t="s">
        <v>1839</v>
      </c>
      <c r="Y857" s="1" t="s">
        <v>3614</v>
      </c>
    </row>
    <row r="858">
      <c r="A858" s="1">
        <v>20691.0</v>
      </c>
      <c r="B858" s="1" t="s">
        <v>3615</v>
      </c>
      <c r="C858" s="1" t="s">
        <v>3606</v>
      </c>
      <c r="D858" s="1" t="s">
        <v>3607</v>
      </c>
      <c r="F858" s="2" t="str">
        <f>"0688140246"</f>
        <v>0688140246</v>
      </c>
      <c r="G858" s="2" t="str">
        <f>"9780688140243"</f>
        <v>9780688140243</v>
      </c>
      <c r="H858" s="1" t="s">
        <v>1570</v>
      </c>
      <c r="I858" s="1" t="s">
        <v>36</v>
      </c>
      <c r="J858" s="1">
        <v>32.0</v>
      </c>
      <c r="K858" s="1">
        <v>1995.0</v>
      </c>
      <c r="L858" s="1">
        <v>1986.0</v>
      </c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 t="s">
        <v>1839</v>
      </c>
      <c r="Y858" s="1" t="s">
        <v>3616</v>
      </c>
    </row>
    <row r="859">
      <c r="A859" s="1">
        <v>858513.0</v>
      </c>
      <c r="B859" s="1" t="s">
        <v>3617</v>
      </c>
      <c r="C859" s="1" t="s">
        <v>3606</v>
      </c>
      <c r="D859" s="1" t="s">
        <v>3607</v>
      </c>
      <c r="F859" s="2" t="str">
        <f>"0688147321"</f>
        <v>0688147321</v>
      </c>
      <c r="G859" s="2" t="str">
        <f>"9780688147327"</f>
        <v>9780688147327</v>
      </c>
      <c r="H859" s="1" t="s">
        <v>1997</v>
      </c>
      <c r="I859" s="1" t="s">
        <v>36</v>
      </c>
      <c r="J859" s="1">
        <v>32.0</v>
      </c>
      <c r="K859" s="1">
        <v>2008.0</v>
      </c>
      <c r="L859" s="1">
        <v>1991.0</v>
      </c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 t="s">
        <v>3618</v>
      </c>
      <c r="Y859" s="1" t="s">
        <v>3619</v>
      </c>
    </row>
    <row r="860">
      <c r="A860" s="1">
        <v>1.3356661E7</v>
      </c>
      <c r="B860" s="1" t="s">
        <v>3620</v>
      </c>
      <c r="C860" s="1" t="s">
        <v>3621</v>
      </c>
      <c r="D860" s="1" t="s">
        <v>3622</v>
      </c>
      <c r="F860" s="2" t="str">
        <f>"0547681070"</f>
        <v>0547681070</v>
      </c>
      <c r="G860" s="2" t="str">
        <f>"9780547681078"</f>
        <v>9780547681078</v>
      </c>
      <c r="H860" s="1" t="s">
        <v>1799</v>
      </c>
      <c r="I860" s="1" t="s">
        <v>31</v>
      </c>
      <c r="J860" s="1">
        <v>32.0</v>
      </c>
      <c r="K860" s="1">
        <v>2013.0</v>
      </c>
      <c r="L860" s="1">
        <v>2013.0</v>
      </c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 t="s">
        <v>1317</v>
      </c>
      <c r="Y860" s="1" t="s">
        <v>3623</v>
      </c>
    </row>
    <row r="861">
      <c r="A861" s="1">
        <v>3.9805821E7</v>
      </c>
      <c r="B861" s="1" t="s">
        <v>3624</v>
      </c>
      <c r="C861" s="1" t="s">
        <v>3625</v>
      </c>
      <c r="D861" s="1" t="s">
        <v>3626</v>
      </c>
      <c r="E861" s="1" t="s">
        <v>3627</v>
      </c>
      <c r="F861" s="2" t="str">
        <f>"0062840584"</f>
        <v>0062840584</v>
      </c>
      <c r="G861" s="2" t="str">
        <f>"9780062840585"</f>
        <v>9780062840585</v>
      </c>
      <c r="H861" s="1" t="s">
        <v>290</v>
      </c>
      <c r="I861" s="1" t="s">
        <v>31</v>
      </c>
      <c r="J861" s="1">
        <v>32.0</v>
      </c>
      <c r="K861" s="1">
        <v>2018.0</v>
      </c>
      <c r="L861" s="1">
        <v>2018.0</v>
      </c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 t="s">
        <v>3628</v>
      </c>
      <c r="Y861" s="1" t="s">
        <v>3629</v>
      </c>
    </row>
    <row r="862">
      <c r="A862" s="1">
        <v>1.8350224E7</v>
      </c>
      <c r="B862" s="1" t="s">
        <v>3630</v>
      </c>
      <c r="C862" s="1" t="s">
        <v>3631</v>
      </c>
      <c r="D862" s="1" t="s">
        <v>3632</v>
      </c>
      <c r="F862" s="2" t="str">
        <f>"0531249778"</f>
        <v>0531249778</v>
      </c>
      <c r="G862" s="2" t="str">
        <f>"9780531249772"</f>
        <v>9780531249772</v>
      </c>
      <c r="H862" s="1" t="s">
        <v>3633</v>
      </c>
      <c r="I862" s="1" t="s">
        <v>36</v>
      </c>
      <c r="J862" s="1">
        <v>32.0</v>
      </c>
      <c r="K862" s="1">
        <v>2014.0</v>
      </c>
      <c r="L862" s="1">
        <v>2014.0</v>
      </c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 t="s">
        <v>116</v>
      </c>
      <c r="Y862" s="1" t="s">
        <v>3634</v>
      </c>
    </row>
    <row r="863">
      <c r="A863" s="1">
        <v>4.0641107E7</v>
      </c>
      <c r="B863" s="1" t="s">
        <v>3635</v>
      </c>
      <c r="C863" s="1" t="s">
        <v>1232</v>
      </c>
      <c r="D863" s="1" t="s">
        <v>1233</v>
      </c>
      <c r="F863" s="2" t="str">
        <f>"0525644903"</f>
        <v>0525644903</v>
      </c>
      <c r="G863" s="2" t="str">
        <f>"9780525644903"</f>
        <v>9780525644903</v>
      </c>
      <c r="H863" s="1" t="s">
        <v>1565</v>
      </c>
      <c r="I863" s="1" t="s">
        <v>36</v>
      </c>
      <c r="J863" s="1">
        <v>32.0</v>
      </c>
      <c r="K863" s="1">
        <v>2019.0</v>
      </c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 t="s">
        <v>1372</v>
      </c>
      <c r="Y863" s="1" t="s">
        <v>3636</v>
      </c>
    </row>
    <row r="864">
      <c r="A864" s="1">
        <v>3357906.0</v>
      </c>
      <c r="B864" s="1" t="s">
        <v>3637</v>
      </c>
      <c r="C864" s="1" t="s">
        <v>3638</v>
      </c>
      <c r="D864" s="1" t="s">
        <v>3639</v>
      </c>
      <c r="F864" s="2" t="str">
        <f>"080508682X"</f>
        <v>080508682X</v>
      </c>
      <c r="G864" s="2" t="str">
        <f>"9780805086829"</f>
        <v>9780805086829</v>
      </c>
      <c r="H864" s="1" t="s">
        <v>2118</v>
      </c>
      <c r="I864" s="1" t="s">
        <v>31</v>
      </c>
      <c r="J864" s="1">
        <v>32.0</v>
      </c>
      <c r="K864" s="1">
        <v>2008.0</v>
      </c>
      <c r="L864" s="1">
        <v>2008.0</v>
      </c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 t="s">
        <v>1225</v>
      </c>
      <c r="Y864" s="1" t="s">
        <v>3640</v>
      </c>
    </row>
    <row r="865">
      <c r="A865" s="1">
        <v>436968.0</v>
      </c>
      <c r="B865" s="1" t="s">
        <v>3641</v>
      </c>
      <c r="C865" s="1" t="s">
        <v>3642</v>
      </c>
      <c r="D865" s="1" t="s">
        <v>3643</v>
      </c>
      <c r="E865" s="1" t="s">
        <v>3644</v>
      </c>
      <c r="F865" s="2" t="str">
        <f>"0064434133"</f>
        <v>0064434133</v>
      </c>
      <c r="G865" s="2" t="str">
        <f>"9780064434133"</f>
        <v>9780064434133</v>
      </c>
      <c r="H865" s="1" t="s">
        <v>3645</v>
      </c>
      <c r="I865" s="1" t="s">
        <v>36</v>
      </c>
      <c r="J865" s="1">
        <v>32.0</v>
      </c>
      <c r="K865" s="1">
        <v>2002.0</v>
      </c>
      <c r="L865" s="1">
        <v>1960.0</v>
      </c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 t="s">
        <v>61</v>
      </c>
      <c r="Y865" s="1" t="s">
        <v>3646</v>
      </c>
    </row>
    <row r="866">
      <c r="A866" s="1">
        <v>906541.0</v>
      </c>
      <c r="B866" s="1" t="s">
        <v>3647</v>
      </c>
      <c r="C866" s="1" t="s">
        <v>3642</v>
      </c>
      <c r="D866" s="1" t="s">
        <v>3643</v>
      </c>
      <c r="E866" s="1" t="s">
        <v>3648</v>
      </c>
      <c r="F866" s="2" t="str">
        <f>"0064434516"</f>
        <v>0064434516</v>
      </c>
      <c r="G866" s="2" t="str">
        <f>"9780064434515"</f>
        <v>9780064434515</v>
      </c>
      <c r="H866" s="1" t="s">
        <v>290</v>
      </c>
      <c r="I866" s="1" t="s">
        <v>36</v>
      </c>
      <c r="J866" s="1">
        <v>32.0</v>
      </c>
      <c r="K866" s="1">
        <v>1995.0</v>
      </c>
      <c r="L866" s="1">
        <v>1960.0</v>
      </c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 t="s">
        <v>239</v>
      </c>
      <c r="Y866" s="1" t="s">
        <v>3649</v>
      </c>
    </row>
    <row r="867">
      <c r="A867" s="1">
        <v>1.4688022E7</v>
      </c>
      <c r="B867" s="1" t="s">
        <v>3650</v>
      </c>
      <c r="C867" s="1" t="s">
        <v>3651</v>
      </c>
      <c r="D867" s="1" t="s">
        <v>3652</v>
      </c>
      <c r="F867" s="2" t="str">
        <f>"8423667413"</f>
        <v>8423667413</v>
      </c>
      <c r="G867" s="2" t="str">
        <f>"9788423667413"</f>
        <v>9788423667413</v>
      </c>
      <c r="H867" s="1" t="s">
        <v>3653</v>
      </c>
      <c r="I867" s="1" t="s">
        <v>31</v>
      </c>
      <c r="J867" s="1">
        <v>32.0</v>
      </c>
      <c r="K867" s="1">
        <v>2003.0</v>
      </c>
      <c r="L867" s="1">
        <v>2001.0</v>
      </c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 t="s">
        <v>92</v>
      </c>
      <c r="Y867" s="1" t="s">
        <v>3654</v>
      </c>
    </row>
    <row r="868">
      <c r="A868" s="1">
        <v>110599.0</v>
      </c>
      <c r="B868" s="1" t="s">
        <v>3655</v>
      </c>
      <c r="C868" s="1" t="s">
        <v>3656</v>
      </c>
      <c r="D868" s="1" t="s">
        <v>3657</v>
      </c>
      <c r="F868" s="2" t="str">
        <f>"0064441458"</f>
        <v>0064441458</v>
      </c>
      <c r="G868" s="2" t="str">
        <f>"9780064441452"</f>
        <v>9780064441452</v>
      </c>
      <c r="H868" s="1" t="s">
        <v>290</v>
      </c>
      <c r="I868" s="1" t="s">
        <v>36</v>
      </c>
      <c r="J868" s="1">
        <v>32.0</v>
      </c>
      <c r="K868" s="1">
        <v>1991.0</v>
      </c>
      <c r="L868" s="1">
        <v>1988.0</v>
      </c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 t="s">
        <v>3436</v>
      </c>
      <c r="Y868" s="1" t="s">
        <v>3658</v>
      </c>
    </row>
    <row r="869">
      <c r="A869" s="1">
        <v>765193.0</v>
      </c>
      <c r="B869" s="1" t="s">
        <v>3659</v>
      </c>
      <c r="C869" s="1" t="s">
        <v>3660</v>
      </c>
      <c r="D869" s="1" t="s">
        <v>3661</v>
      </c>
      <c r="E869" s="1" t="s">
        <v>3662</v>
      </c>
      <c r="F869" s="2" t="str">
        <f>"0803710402"</f>
        <v>0803710402</v>
      </c>
      <c r="G869" s="2" t="str">
        <f>"9780803710405"</f>
        <v>9780803710405</v>
      </c>
      <c r="H869" s="1" t="s">
        <v>2600</v>
      </c>
      <c r="I869" s="1" t="s">
        <v>31</v>
      </c>
      <c r="J869" s="1">
        <v>32.0</v>
      </c>
      <c r="K869" s="1">
        <v>2016.0</v>
      </c>
      <c r="L869" s="1">
        <v>1991.0</v>
      </c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 t="s">
        <v>742</v>
      </c>
      <c r="Y869" s="1" t="s">
        <v>3663</v>
      </c>
    </row>
    <row r="870">
      <c r="A870" s="1">
        <v>883302.0</v>
      </c>
      <c r="B870" s="1" t="s">
        <v>3664</v>
      </c>
      <c r="C870" s="1" t="s">
        <v>3665</v>
      </c>
      <c r="D870" s="1" t="s">
        <v>3666</v>
      </c>
      <c r="E870" s="1" t="s">
        <v>3667</v>
      </c>
      <c r="F870" s="2" t="str">
        <f>"0670060585"</f>
        <v>0670060585</v>
      </c>
      <c r="G870" s="2" t="str">
        <f>"9780670060580"</f>
        <v>9780670060580</v>
      </c>
      <c r="H870" s="1" t="s">
        <v>2746</v>
      </c>
      <c r="I870" s="1" t="s">
        <v>31</v>
      </c>
      <c r="J870" s="1">
        <v>32.0</v>
      </c>
      <c r="K870" s="1">
        <v>2006.0</v>
      </c>
      <c r="L870" s="1">
        <v>1986.0</v>
      </c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 t="s">
        <v>2298</v>
      </c>
      <c r="Y870" s="1" t="s">
        <v>3668</v>
      </c>
    </row>
    <row r="871">
      <c r="A871" s="1">
        <v>2.7265179E7</v>
      </c>
      <c r="B871" s="1" t="s">
        <v>3669</v>
      </c>
      <c r="C871" s="1" t="s">
        <v>3670</v>
      </c>
      <c r="D871" s="1" t="s">
        <v>3671</v>
      </c>
      <c r="E871" s="1" t="s">
        <v>3672</v>
      </c>
      <c r="F871" s="2" t="str">
        <f>"1620141566"</f>
        <v>1620141566</v>
      </c>
      <c r="G871" s="2" t="str">
        <f>"9781620141564"</f>
        <v>9781620141564</v>
      </c>
      <c r="H871" s="1" t="s">
        <v>2515</v>
      </c>
      <c r="I871" s="1" t="s">
        <v>31</v>
      </c>
      <c r="J871" s="1">
        <v>32.0</v>
      </c>
      <c r="K871" s="1">
        <v>2016.0</v>
      </c>
      <c r="L871" s="1">
        <v>2016.0</v>
      </c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 t="s">
        <v>1024</v>
      </c>
      <c r="Y871" s="1" t="s">
        <v>3673</v>
      </c>
    </row>
    <row r="872">
      <c r="A872" s="1">
        <v>114998.0</v>
      </c>
      <c r="B872" s="1" t="s">
        <v>3674</v>
      </c>
      <c r="C872" s="1" t="s">
        <v>3675</v>
      </c>
      <c r="D872" s="1" t="s">
        <v>3676</v>
      </c>
      <c r="E872" s="1" t="s">
        <v>3677</v>
      </c>
      <c r="F872" s="2" t="str">
        <f>"1883672546"</f>
        <v>1883672546</v>
      </c>
      <c r="G872" s="2" t="str">
        <f>"9781883672546"</f>
        <v>9781883672546</v>
      </c>
      <c r="H872" s="1" t="s">
        <v>3678</v>
      </c>
      <c r="I872" s="1" t="s">
        <v>31</v>
      </c>
      <c r="J872" s="1">
        <v>32.0</v>
      </c>
      <c r="K872" s="1">
        <v>1998.0</v>
      </c>
      <c r="L872" s="1">
        <v>1998.0</v>
      </c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 t="s">
        <v>363</v>
      </c>
      <c r="Y872" s="1" t="s">
        <v>3679</v>
      </c>
    </row>
    <row r="873">
      <c r="A873" s="1">
        <v>4.9688891E7</v>
      </c>
      <c r="B873" s="1" t="s">
        <v>3680</v>
      </c>
      <c r="C873" s="1" t="s">
        <v>3681</v>
      </c>
      <c r="D873" s="1" t="s">
        <v>3682</v>
      </c>
      <c r="F873" s="2" t="str">
        <f>"0192746405"</f>
        <v>0192746405</v>
      </c>
      <c r="G873" s="2" t="str">
        <f>"9780192746405"</f>
        <v>9780192746405</v>
      </c>
      <c r="H873" s="1" t="s">
        <v>3683</v>
      </c>
      <c r="I873" s="1" t="s">
        <v>36</v>
      </c>
      <c r="J873" s="1">
        <v>32.0</v>
      </c>
      <c r="K873" s="1">
        <v>2019.0</v>
      </c>
      <c r="L873" s="1">
        <v>2017.0</v>
      </c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 t="s">
        <v>2730</v>
      </c>
      <c r="Y873" s="1" t="s">
        <v>3684</v>
      </c>
    </row>
    <row r="874">
      <c r="A874" s="1">
        <v>1.2219016E7</v>
      </c>
      <c r="B874" s="1" t="s">
        <v>3685</v>
      </c>
      <c r="C874" s="1" t="s">
        <v>3686</v>
      </c>
      <c r="D874" s="1" t="s">
        <v>3687</v>
      </c>
      <c r="E874" s="1" t="s">
        <v>3688</v>
      </c>
      <c r="F874" s="2" t="str">
        <f>"0061430064"</f>
        <v>0061430064</v>
      </c>
      <c r="G874" s="2" t="str">
        <f>"9780061430060"</f>
        <v>9780061430060</v>
      </c>
      <c r="H874" s="1" t="s">
        <v>290</v>
      </c>
      <c r="I874" s="1" t="s">
        <v>31</v>
      </c>
      <c r="J874" s="1">
        <v>32.0</v>
      </c>
      <c r="K874" s="1">
        <v>2011.0</v>
      </c>
      <c r="L874" s="1">
        <v>2009.0</v>
      </c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 t="s">
        <v>83</v>
      </c>
      <c r="Y874" s="1" t="s">
        <v>3689</v>
      </c>
    </row>
    <row r="875">
      <c r="A875" s="1">
        <v>443611.0</v>
      </c>
      <c r="B875" s="1" t="s">
        <v>3690</v>
      </c>
      <c r="C875" s="1" t="s">
        <v>3691</v>
      </c>
      <c r="D875" s="1" t="s">
        <v>3692</v>
      </c>
      <c r="E875" s="1" t="s">
        <v>3693</v>
      </c>
      <c r="F875" s="2" t="str">
        <f>"0140547444"</f>
        <v>0140547444</v>
      </c>
      <c r="G875" s="2" t="str">
        <f>"9780140547443"</f>
        <v>9780140547443</v>
      </c>
      <c r="H875" s="1" t="s">
        <v>753</v>
      </c>
      <c r="I875" s="1" t="s">
        <v>36</v>
      </c>
      <c r="J875" s="1">
        <v>32.0</v>
      </c>
      <c r="K875" s="1">
        <v>1992.0</v>
      </c>
      <c r="L875" s="1">
        <v>1984.0</v>
      </c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 t="s">
        <v>1317</v>
      </c>
      <c r="Y875" s="1" t="s">
        <v>3694</v>
      </c>
    </row>
    <row r="876">
      <c r="A876" s="1">
        <v>1786503.0</v>
      </c>
      <c r="B876" s="1" t="s">
        <v>3695</v>
      </c>
      <c r="C876" s="1" t="s">
        <v>3696</v>
      </c>
      <c r="D876" s="1" t="s">
        <v>3697</v>
      </c>
      <c r="E876" s="1" t="s">
        <v>3698</v>
      </c>
      <c r="F876" s="2" t="str">
        <f>"0823413675"</f>
        <v>0823413675</v>
      </c>
      <c r="G876" s="2" t="str">
        <f>"9780823413676"</f>
        <v>9780823413676</v>
      </c>
      <c r="H876" s="1" t="s">
        <v>2347</v>
      </c>
      <c r="I876" s="1" t="s">
        <v>31</v>
      </c>
      <c r="J876" s="1">
        <v>32.0</v>
      </c>
      <c r="K876" s="1">
        <v>1999.0</v>
      </c>
      <c r="L876" s="1">
        <v>1999.0</v>
      </c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 t="s">
        <v>863</v>
      </c>
      <c r="Y876" s="1" t="s">
        <v>3699</v>
      </c>
    </row>
    <row r="877">
      <c r="A877" s="1">
        <v>2.4612603E7</v>
      </c>
      <c r="B877" s="1" t="s">
        <v>3700</v>
      </c>
      <c r="C877" s="1" t="s">
        <v>817</v>
      </c>
      <c r="D877" s="1" t="s">
        <v>896</v>
      </c>
      <c r="F877" s="2" t="str">
        <f>"0545750326"</f>
        <v>0545750326</v>
      </c>
      <c r="G877" s="2" t="str">
        <f>"9780545750325"</f>
        <v>9780545750325</v>
      </c>
      <c r="H877" s="1" t="s">
        <v>1575</v>
      </c>
      <c r="I877" s="1" t="s">
        <v>36</v>
      </c>
      <c r="J877" s="1">
        <v>32.0</v>
      </c>
      <c r="K877" s="1">
        <v>2015.0</v>
      </c>
      <c r="L877" s="1">
        <v>2015.0</v>
      </c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 t="s">
        <v>74</v>
      </c>
      <c r="Y877" s="1" t="s">
        <v>3701</v>
      </c>
    </row>
    <row r="878">
      <c r="A878" s="1">
        <v>321795.0</v>
      </c>
      <c r="B878" s="1" t="s">
        <v>3702</v>
      </c>
      <c r="C878" s="1" t="s">
        <v>2306</v>
      </c>
      <c r="D878" s="1" t="s">
        <v>2307</v>
      </c>
      <c r="F878" s="2" t="str">
        <f>"0688131034"</f>
        <v>0688131034</v>
      </c>
      <c r="G878" s="2" t="str">
        <f>"9780688131036"</f>
        <v>9780688131036</v>
      </c>
      <c r="H878" s="1" t="s">
        <v>1570</v>
      </c>
      <c r="I878" s="1" t="s">
        <v>36</v>
      </c>
      <c r="J878" s="1">
        <v>32.0</v>
      </c>
      <c r="K878" s="1">
        <v>1994.0</v>
      </c>
      <c r="L878" s="1">
        <v>1991.0</v>
      </c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 t="s">
        <v>742</v>
      </c>
      <c r="Y878" s="1" t="s">
        <v>3703</v>
      </c>
    </row>
    <row r="879">
      <c r="A879" s="1">
        <v>1114159.0</v>
      </c>
      <c r="B879" s="1" t="s">
        <v>3704</v>
      </c>
      <c r="C879" s="1" t="s">
        <v>3705</v>
      </c>
      <c r="D879" s="1" t="s">
        <v>3706</v>
      </c>
      <c r="E879" s="1" t="s">
        <v>3707</v>
      </c>
      <c r="F879" s="2" t="str">
        <f>"1586853570"</f>
        <v>1586853570</v>
      </c>
      <c r="G879" s="2" t="str">
        <f>"9781586853570"</f>
        <v>9781586853570</v>
      </c>
      <c r="H879" s="1" t="s">
        <v>3708</v>
      </c>
      <c r="I879" s="1" t="s">
        <v>31</v>
      </c>
      <c r="J879" s="1">
        <v>32.0</v>
      </c>
      <c r="K879" s="1">
        <v>2004.0</v>
      </c>
      <c r="L879" s="1">
        <v>2004.0</v>
      </c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 t="s">
        <v>3709</v>
      </c>
      <c r="Y879" s="1" t="s">
        <v>3710</v>
      </c>
    </row>
    <row r="880">
      <c r="A880" s="1">
        <v>522000.0</v>
      </c>
      <c r="B880" s="1" t="s">
        <v>3711</v>
      </c>
      <c r="C880" s="1" t="s">
        <v>3712</v>
      </c>
      <c r="D880" s="1" t="s">
        <v>3713</v>
      </c>
      <c r="F880" s="2" t="str">
        <f>"1558854525"</f>
        <v>1558854525</v>
      </c>
      <c r="G880" s="2" t="str">
        <f>"9781558854529"</f>
        <v>9781558854529</v>
      </c>
      <c r="H880" s="1" t="s">
        <v>3714</v>
      </c>
      <c r="I880" s="1" t="s">
        <v>31</v>
      </c>
      <c r="J880" s="1">
        <v>32.0</v>
      </c>
      <c r="K880" s="1">
        <v>2005.0</v>
      </c>
      <c r="L880" s="1">
        <v>1996.0</v>
      </c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 t="s">
        <v>37</v>
      </c>
      <c r="Y880" s="1" t="s">
        <v>3715</v>
      </c>
    </row>
    <row r="881">
      <c r="A881" s="1">
        <v>281614.0</v>
      </c>
      <c r="B881" s="1" t="s">
        <v>3716</v>
      </c>
      <c r="C881" s="1" t="s">
        <v>3717</v>
      </c>
      <c r="D881" s="1" t="s">
        <v>3718</v>
      </c>
      <c r="E881" s="1" t="s">
        <v>3719</v>
      </c>
      <c r="F881" s="2" t="str">
        <f>"0439466253"</f>
        <v>0439466253</v>
      </c>
      <c r="G881" s="2" t="str">
        <f>"9780439466257"</f>
        <v>9780439466257</v>
      </c>
      <c r="H881" s="1" t="s">
        <v>1992</v>
      </c>
      <c r="I881" s="1" t="s">
        <v>36</v>
      </c>
      <c r="J881" s="1">
        <v>32.0</v>
      </c>
      <c r="K881" s="1">
        <v>2003.0</v>
      </c>
      <c r="L881" s="1">
        <v>2003.0</v>
      </c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 t="s">
        <v>83</v>
      </c>
      <c r="Y881" s="1" t="s">
        <v>3720</v>
      </c>
    </row>
    <row r="882">
      <c r="A882" s="1">
        <v>425818.0</v>
      </c>
      <c r="B882" s="1" t="s">
        <v>3721</v>
      </c>
      <c r="C882" s="1" t="s">
        <v>314</v>
      </c>
      <c r="D882" s="1" t="s">
        <v>315</v>
      </c>
      <c r="F882" s="2" t="str">
        <f>"0007228074"</f>
        <v>0007228074</v>
      </c>
      <c r="G882" s="2" t="str">
        <f>"9780007228072"</f>
        <v>9780007228072</v>
      </c>
      <c r="H882" s="1" t="s">
        <v>316</v>
      </c>
      <c r="I882" s="1" t="s">
        <v>31</v>
      </c>
      <c r="J882" s="1">
        <v>32.0</v>
      </c>
      <c r="K882" s="1">
        <v>2006.0</v>
      </c>
      <c r="L882" s="1">
        <v>2004.0</v>
      </c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 t="s">
        <v>2254</v>
      </c>
      <c r="Y882" s="1" t="s">
        <v>3722</v>
      </c>
    </row>
    <row r="883">
      <c r="A883" s="1">
        <v>1.6101012E7</v>
      </c>
      <c r="B883" s="1" t="s">
        <v>3723</v>
      </c>
      <c r="C883" s="1" t="s">
        <v>314</v>
      </c>
      <c r="D883" s="1" t="s">
        <v>315</v>
      </c>
      <c r="F883" s="2" t="str">
        <f>"0399257683"</f>
        <v>0399257683</v>
      </c>
      <c r="G883" s="2" t="str">
        <f>"9780399257681"</f>
        <v>9780399257681</v>
      </c>
      <c r="H883" s="1" t="s">
        <v>2253</v>
      </c>
      <c r="I883" s="1" t="s">
        <v>31</v>
      </c>
      <c r="J883" s="1">
        <v>32.0</v>
      </c>
      <c r="K883" s="1">
        <v>2014.0</v>
      </c>
      <c r="L883" s="1">
        <v>2013.0</v>
      </c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 t="s">
        <v>3724</v>
      </c>
      <c r="Y883" s="1" t="s">
        <v>3725</v>
      </c>
    </row>
    <row r="884">
      <c r="A884" s="1">
        <v>1406157.0</v>
      </c>
      <c r="B884" s="1" t="s">
        <v>3726</v>
      </c>
      <c r="C884" s="1" t="s">
        <v>3539</v>
      </c>
      <c r="D884" s="1" t="s">
        <v>3727</v>
      </c>
      <c r="F884" s="2" t="str">
        <f>"0395861365"</f>
        <v>0395861365</v>
      </c>
      <c r="G884" s="2" t="str">
        <f>"9780395861363"</f>
        <v>9780395861363</v>
      </c>
      <c r="H884" s="1" t="s">
        <v>1799</v>
      </c>
      <c r="I884" s="1" t="s">
        <v>36</v>
      </c>
      <c r="J884" s="1">
        <v>32.0</v>
      </c>
      <c r="K884" s="1">
        <v>1997.0</v>
      </c>
      <c r="L884" s="1">
        <v>1995.0</v>
      </c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 t="s">
        <v>96</v>
      </c>
      <c r="Y884" s="1" t="s">
        <v>3728</v>
      </c>
    </row>
    <row r="885">
      <c r="A885" s="1">
        <v>2.8439554E7</v>
      </c>
      <c r="B885" s="1" t="s">
        <v>3729</v>
      </c>
      <c r="C885" s="1" t="s">
        <v>3730</v>
      </c>
      <c r="D885" s="1" t="s">
        <v>3731</v>
      </c>
      <c r="E885" s="1" t="s">
        <v>3732</v>
      </c>
      <c r="F885" s="2" t="str">
        <f>"0553513370"</f>
        <v>0553513370</v>
      </c>
      <c r="G885" s="2" t="str">
        <f>"9780553513370"</f>
        <v>9780553513370</v>
      </c>
      <c r="H885" s="1" t="s">
        <v>3733</v>
      </c>
      <c r="I885" s="1" t="s">
        <v>31</v>
      </c>
      <c r="J885" s="1">
        <v>32.0</v>
      </c>
      <c r="K885" s="1">
        <v>2016.0</v>
      </c>
      <c r="L885" s="1">
        <v>2016.0</v>
      </c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 t="s">
        <v>146</v>
      </c>
      <c r="Y885" s="1" t="s">
        <v>3734</v>
      </c>
    </row>
    <row r="886">
      <c r="A886" s="1">
        <v>4.1453957E7</v>
      </c>
      <c r="B886" s="1" t="s">
        <v>3735</v>
      </c>
      <c r="C886" s="1" t="s">
        <v>3730</v>
      </c>
      <c r="D886" s="1" t="s">
        <v>3731</v>
      </c>
      <c r="E886" s="1" t="s">
        <v>3736</v>
      </c>
      <c r="F886" s="2" t="str">
        <f>"006234319X"</f>
        <v>006234319X</v>
      </c>
      <c r="G886" s="2" t="str">
        <f>"9780062343192"</f>
        <v>9780062343192</v>
      </c>
      <c r="H886" s="1" t="s">
        <v>290</v>
      </c>
      <c r="I886" s="1" t="s">
        <v>31</v>
      </c>
      <c r="J886" s="1">
        <v>32.0</v>
      </c>
      <c r="K886" s="1">
        <v>2019.0</v>
      </c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 t="s">
        <v>1045</v>
      </c>
      <c r="Y886" s="1" t="s">
        <v>3737</v>
      </c>
    </row>
    <row r="887">
      <c r="A887" s="1">
        <v>5.8089272E7</v>
      </c>
      <c r="B887" s="1" t="s">
        <v>3738</v>
      </c>
      <c r="C887" s="1" t="s">
        <v>3730</v>
      </c>
      <c r="D887" s="1" t="s">
        <v>3731</v>
      </c>
      <c r="E887" s="1" t="s">
        <v>3736</v>
      </c>
      <c r="F887" s="2" t="str">
        <f>"0063089378"</f>
        <v>0063089378</v>
      </c>
      <c r="G887" s="2" t="str">
        <f>"9780063089372"</f>
        <v>9780063089372</v>
      </c>
      <c r="H887" s="1" t="s">
        <v>290</v>
      </c>
      <c r="I887" s="1" t="s">
        <v>238</v>
      </c>
      <c r="J887" s="1">
        <v>32.0</v>
      </c>
      <c r="K887" s="1">
        <v>2021.0</v>
      </c>
      <c r="L887" s="1">
        <v>2021.0</v>
      </c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 t="s">
        <v>1466</v>
      </c>
      <c r="Y887" s="1" t="s">
        <v>3739</v>
      </c>
    </row>
    <row r="888">
      <c r="A888" s="1">
        <v>6.1799662E7</v>
      </c>
      <c r="B888" s="1" t="s">
        <v>3740</v>
      </c>
      <c r="C888" s="1" t="s">
        <v>3730</v>
      </c>
      <c r="D888" s="1" t="s">
        <v>3731</v>
      </c>
      <c r="E888" s="1" t="s">
        <v>3736</v>
      </c>
      <c r="F888" s="2" t="str">
        <f>"0063295946"</f>
        <v>0063295946</v>
      </c>
      <c r="G888" s="2" t="str">
        <f>"9780063295940"</f>
        <v>9780063295940</v>
      </c>
      <c r="H888" s="1" t="s">
        <v>290</v>
      </c>
      <c r="I888" s="1" t="s">
        <v>238</v>
      </c>
      <c r="J888" s="1">
        <v>32.0</v>
      </c>
      <c r="K888" s="1">
        <v>2022.0</v>
      </c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 t="s">
        <v>363</v>
      </c>
      <c r="Y888" s="1" t="s">
        <v>3741</v>
      </c>
    </row>
    <row r="889">
      <c r="A889" s="1">
        <v>696039.0</v>
      </c>
      <c r="B889" s="1" t="s">
        <v>3742</v>
      </c>
      <c r="C889" s="1" t="s">
        <v>3743</v>
      </c>
      <c r="D889" s="1" t="s">
        <v>3744</v>
      </c>
      <c r="E889" s="1" t="s">
        <v>3745</v>
      </c>
      <c r="F889" s="2" t="str">
        <f>"0439782252"</f>
        <v>0439782252</v>
      </c>
      <c r="G889" s="2" t="str">
        <f>"9780439782258"</f>
        <v>9780439782258</v>
      </c>
      <c r="H889" s="1" t="s">
        <v>2397</v>
      </c>
      <c r="I889" s="1" t="s">
        <v>31</v>
      </c>
      <c r="J889" s="1">
        <v>32.0</v>
      </c>
      <c r="K889" s="1">
        <v>2007.0</v>
      </c>
      <c r="L889" s="1">
        <v>2009.0</v>
      </c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 t="s">
        <v>742</v>
      </c>
      <c r="Y889" s="1" t="s">
        <v>3746</v>
      </c>
    </row>
    <row r="890">
      <c r="A890" s="1">
        <v>546176.0</v>
      </c>
      <c r="B890" s="1" t="s">
        <v>3747</v>
      </c>
      <c r="C890" s="1" t="s">
        <v>3743</v>
      </c>
      <c r="D890" s="1" t="s">
        <v>3744</v>
      </c>
      <c r="E890" s="1" t="s">
        <v>3748</v>
      </c>
      <c r="F890" s="2" t="str">
        <f>"0689826095"</f>
        <v>0689826095</v>
      </c>
      <c r="G890" s="2" t="str">
        <f>"9780689826092"</f>
        <v>9780689826092</v>
      </c>
      <c r="H890" s="1" t="s">
        <v>3030</v>
      </c>
      <c r="I890" s="1" t="s">
        <v>31</v>
      </c>
      <c r="J890" s="1">
        <v>32.0</v>
      </c>
      <c r="K890" s="1">
        <v>2003.0</v>
      </c>
      <c r="L890" s="1">
        <v>2003.0</v>
      </c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 t="s">
        <v>2254</v>
      </c>
      <c r="Y890" s="1" t="s">
        <v>3749</v>
      </c>
    </row>
    <row r="891">
      <c r="A891" s="1">
        <v>272399.0</v>
      </c>
      <c r="B891" s="1" t="s">
        <v>3750</v>
      </c>
      <c r="C891" s="1" t="s">
        <v>3743</v>
      </c>
      <c r="D891" s="1" t="s">
        <v>3744</v>
      </c>
      <c r="E891" s="1" t="s">
        <v>3751</v>
      </c>
      <c r="F891" s="2" t="str">
        <f>"0531070352"</f>
        <v>0531070352</v>
      </c>
      <c r="G891" s="2" t="str">
        <f>"9780531070352"</f>
        <v>9780531070352</v>
      </c>
      <c r="H891" s="1" t="s">
        <v>817</v>
      </c>
      <c r="I891" s="1" t="s">
        <v>36</v>
      </c>
      <c r="J891" s="1">
        <v>32.0</v>
      </c>
      <c r="K891" s="1">
        <v>1993.0</v>
      </c>
      <c r="L891" s="1">
        <v>1990.0</v>
      </c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 t="s">
        <v>510</v>
      </c>
      <c r="Y891" s="1" t="s">
        <v>3752</v>
      </c>
    </row>
    <row r="892">
      <c r="A892" s="1">
        <v>272397.0</v>
      </c>
      <c r="B892" s="1" t="s">
        <v>3753</v>
      </c>
      <c r="C892" s="1" t="s">
        <v>3743</v>
      </c>
      <c r="D892" s="1" t="s">
        <v>3744</v>
      </c>
      <c r="E892" s="1" t="s">
        <v>3754</v>
      </c>
      <c r="F892" s="2" t="str">
        <f>"0531071758"</f>
        <v>0531071758</v>
      </c>
      <c r="G892" s="2" t="str">
        <f>"9780531071755"</f>
        <v>9780531071755</v>
      </c>
      <c r="H892" s="1" t="s">
        <v>817</v>
      </c>
      <c r="I892" s="1" t="s">
        <v>36</v>
      </c>
      <c r="J892" s="1">
        <v>32.0</v>
      </c>
      <c r="K892" s="1">
        <v>2000.0</v>
      </c>
      <c r="L892" s="1">
        <v>1997.0</v>
      </c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 t="s">
        <v>742</v>
      </c>
      <c r="Y892" s="1" t="s">
        <v>3755</v>
      </c>
    </row>
    <row r="893">
      <c r="A893" s="1">
        <v>2989886.0</v>
      </c>
      <c r="B893" s="1" t="s">
        <v>3756</v>
      </c>
      <c r="C893" s="1" t="s">
        <v>3757</v>
      </c>
      <c r="D893" s="1" t="s">
        <v>3758</v>
      </c>
      <c r="E893" s="1" t="s">
        <v>3759</v>
      </c>
      <c r="F893" s="2" t="str">
        <f>"1883672554"</f>
        <v>1883672554</v>
      </c>
      <c r="G893" s="2" t="str">
        <f>"9781883672553"</f>
        <v>9781883672553</v>
      </c>
      <c r="H893" s="1" t="s">
        <v>3678</v>
      </c>
      <c r="I893" s="1" t="s">
        <v>31</v>
      </c>
      <c r="J893" s="1">
        <v>32.0</v>
      </c>
      <c r="K893" s="1">
        <v>2004.0</v>
      </c>
      <c r="L893" s="1">
        <v>1998.0</v>
      </c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 t="s">
        <v>1235</v>
      </c>
      <c r="Y893" s="1" t="s">
        <v>3760</v>
      </c>
    </row>
    <row r="894">
      <c r="A894" s="1">
        <v>1300700.0</v>
      </c>
      <c r="B894" s="1" t="s">
        <v>3761</v>
      </c>
      <c r="C894" s="1" t="s">
        <v>3762</v>
      </c>
      <c r="D894" s="1" t="s">
        <v>3763</v>
      </c>
      <c r="F894" s="2" t="str">
        <f>"0670856312"</f>
        <v>0670856312</v>
      </c>
      <c r="G894" s="2" t="str">
        <f>"9780670856312"</f>
        <v>9780670856312</v>
      </c>
      <c r="H894" s="1" t="s">
        <v>3764</v>
      </c>
      <c r="I894" s="1" t="s">
        <v>31</v>
      </c>
      <c r="J894" s="1">
        <v>32.0</v>
      </c>
      <c r="K894" s="1">
        <v>1995.0</v>
      </c>
      <c r="L894" s="1">
        <v>1995.0</v>
      </c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 t="s">
        <v>835</v>
      </c>
      <c r="Y894" s="1" t="s">
        <v>3765</v>
      </c>
    </row>
    <row r="895">
      <c r="A895" s="1">
        <v>1072646.0</v>
      </c>
      <c r="B895" s="1" t="s">
        <v>3766</v>
      </c>
      <c r="C895" s="1" t="s">
        <v>3767</v>
      </c>
      <c r="D895" s="1" t="s">
        <v>3768</v>
      </c>
      <c r="F895" s="2" t="str">
        <f>"0140556400"</f>
        <v>0140556400</v>
      </c>
      <c r="G895" s="2" t="str">
        <f>"9780140556407"</f>
        <v>9780140556407</v>
      </c>
      <c r="H895" s="1" t="s">
        <v>753</v>
      </c>
      <c r="I895" s="1" t="s">
        <v>36</v>
      </c>
      <c r="J895" s="1">
        <v>32.0</v>
      </c>
      <c r="K895" s="1">
        <v>1995.0</v>
      </c>
      <c r="L895" s="1">
        <v>1991.0</v>
      </c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 t="s">
        <v>146</v>
      </c>
      <c r="Y895" s="1" t="s">
        <v>3769</v>
      </c>
    </row>
    <row r="896">
      <c r="A896" s="1">
        <v>2718.0</v>
      </c>
      <c r="B896" s="1" t="s">
        <v>3770</v>
      </c>
      <c r="C896" s="1" t="s">
        <v>3771</v>
      </c>
      <c r="D896" s="1" t="s">
        <v>3772</v>
      </c>
      <c r="E896" s="1" t="s">
        <v>3773</v>
      </c>
      <c r="F896" s="2" t="str">
        <f>"0689834195"</f>
        <v>0689834195</v>
      </c>
      <c r="G896" s="2" t="str">
        <f>"9780689834196"</f>
        <v>9780689834196</v>
      </c>
      <c r="H896" s="1" t="s">
        <v>3030</v>
      </c>
      <c r="I896" s="1" t="s">
        <v>36</v>
      </c>
      <c r="J896" s="1">
        <v>32.0</v>
      </c>
      <c r="K896" s="1">
        <v>2003.0</v>
      </c>
      <c r="L896" s="1">
        <v>2000.0</v>
      </c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 t="s">
        <v>742</v>
      </c>
      <c r="Y896" s="1" t="s">
        <v>3774</v>
      </c>
    </row>
    <row r="897">
      <c r="A897" s="1">
        <v>695773.0</v>
      </c>
      <c r="B897" s="1" t="s">
        <v>3775</v>
      </c>
      <c r="C897" s="1" t="s">
        <v>3776</v>
      </c>
      <c r="D897" s="1" t="s">
        <v>3777</v>
      </c>
      <c r="E897" s="1" t="s">
        <v>1021</v>
      </c>
      <c r="F897" s="2" t="str">
        <f>"0805083367"</f>
        <v>0805083367</v>
      </c>
      <c r="G897" s="2" t="str">
        <f>"9780805083361"</f>
        <v>9780805083361</v>
      </c>
      <c r="H897" s="1" t="s">
        <v>2118</v>
      </c>
      <c r="I897" s="1" t="s">
        <v>31</v>
      </c>
      <c r="J897" s="1">
        <v>32.0</v>
      </c>
      <c r="K897" s="1">
        <v>2007.0</v>
      </c>
      <c r="L897" s="1">
        <v>2007.0</v>
      </c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 t="s">
        <v>3778</v>
      </c>
      <c r="Y897" s="1" t="s">
        <v>3779</v>
      </c>
    </row>
    <row r="898">
      <c r="A898" s="1">
        <v>293595.0</v>
      </c>
      <c r="B898" s="1" t="s">
        <v>3780</v>
      </c>
      <c r="C898" s="1" t="s">
        <v>3776</v>
      </c>
      <c r="D898" s="1" t="s">
        <v>3777</v>
      </c>
      <c r="E898" s="1" t="s">
        <v>3781</v>
      </c>
      <c r="F898" s="2" t="str">
        <f>"068983568X"</f>
        <v>068983568X</v>
      </c>
      <c r="G898" s="2" t="str">
        <f>"9780689835681"</f>
        <v>9780689835681</v>
      </c>
      <c r="H898" s="1" t="s">
        <v>3782</v>
      </c>
      <c r="I898" s="1" t="s">
        <v>36</v>
      </c>
      <c r="J898" s="1">
        <v>32.0</v>
      </c>
      <c r="K898" s="1">
        <v>2000.0</v>
      </c>
      <c r="L898" s="1">
        <v>1989.0</v>
      </c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 t="s">
        <v>2254</v>
      </c>
      <c r="Y898" s="1" t="s">
        <v>3783</v>
      </c>
    </row>
    <row r="899">
      <c r="A899" s="1">
        <v>3.5517671E7</v>
      </c>
      <c r="B899" s="1" t="s">
        <v>3784</v>
      </c>
      <c r="C899" s="1" t="s">
        <v>3785</v>
      </c>
      <c r="D899" s="1" t="s">
        <v>3786</v>
      </c>
      <c r="F899" s="2" t="str">
        <f>"1524785520"</f>
        <v>1524785520</v>
      </c>
      <c r="G899" s="2" t="str">
        <f>"9781524785529"</f>
        <v>9781524785529</v>
      </c>
      <c r="H899" s="1" t="s">
        <v>2351</v>
      </c>
      <c r="I899" s="1" t="s">
        <v>238</v>
      </c>
      <c r="J899" s="1">
        <v>32.0</v>
      </c>
      <c r="K899" s="1">
        <v>2017.0</v>
      </c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 t="s">
        <v>1117</v>
      </c>
      <c r="Y899" s="1" t="s">
        <v>3787</v>
      </c>
    </row>
    <row r="900">
      <c r="A900" s="1">
        <v>2324682.0</v>
      </c>
      <c r="B900" s="1" t="s">
        <v>3788</v>
      </c>
      <c r="C900" s="1" t="s">
        <v>3789</v>
      </c>
      <c r="D900" s="1" t="s">
        <v>3790</v>
      </c>
      <c r="F900" s="2" t="str">
        <f>"0606338225"</f>
        <v>0606338225</v>
      </c>
      <c r="G900" s="2" t="str">
        <f>"9780606338226"</f>
        <v>9780606338226</v>
      </c>
      <c r="H900" s="1" t="s">
        <v>274</v>
      </c>
      <c r="I900" s="1" t="s">
        <v>91</v>
      </c>
      <c r="J900" s="1">
        <v>32.0</v>
      </c>
      <c r="K900" s="1">
        <v>2005.0</v>
      </c>
      <c r="L900" s="1">
        <v>2004.0</v>
      </c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 t="s">
        <v>1219</v>
      </c>
      <c r="Y900" s="1" t="s">
        <v>3791</v>
      </c>
    </row>
    <row r="901">
      <c r="A901" s="1">
        <v>2.8634912E7</v>
      </c>
      <c r="B901" s="1" t="s">
        <v>3792</v>
      </c>
      <c r="C901" s="1" t="s">
        <v>3793</v>
      </c>
      <c r="D901" s="1" t="s">
        <v>3794</v>
      </c>
      <c r="E901" s="1" t="s">
        <v>3795</v>
      </c>
      <c r="F901" s="2" t="str">
        <f>"1847808891"</f>
        <v>1847808891</v>
      </c>
      <c r="G901" s="2" t="str">
        <f>"9781847808899"</f>
        <v>9781847808899</v>
      </c>
      <c r="H901" s="1" t="s">
        <v>3796</v>
      </c>
      <c r="I901" s="1" t="s">
        <v>31</v>
      </c>
      <c r="J901" s="1">
        <v>32.0</v>
      </c>
      <c r="K901" s="1">
        <v>2016.0</v>
      </c>
      <c r="L901" s="1">
        <v>2016.0</v>
      </c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 t="s">
        <v>1195</v>
      </c>
      <c r="Y901" s="1" t="s">
        <v>3797</v>
      </c>
    </row>
    <row r="902">
      <c r="A902" s="1">
        <v>7858521.0</v>
      </c>
      <c r="B902" s="1" t="s">
        <v>3798</v>
      </c>
      <c r="C902" s="1" t="s">
        <v>3799</v>
      </c>
      <c r="D902" s="1" t="s">
        <v>3800</v>
      </c>
      <c r="F902" s="2" t="str">
        <f>"0778732940"</f>
        <v>0778732940</v>
      </c>
      <c r="G902" s="2" t="str">
        <f>"9780778732945"</f>
        <v>9780778732945</v>
      </c>
      <c r="H902" s="1" t="s">
        <v>3801</v>
      </c>
      <c r="I902" s="1" t="s">
        <v>36</v>
      </c>
      <c r="J902" s="1">
        <v>32.0</v>
      </c>
      <c r="K902" s="1">
        <v>2007.0</v>
      </c>
      <c r="L902" s="1">
        <v>2007.0</v>
      </c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 t="s">
        <v>629</v>
      </c>
      <c r="Y902" s="1" t="s">
        <v>3802</v>
      </c>
    </row>
    <row r="903">
      <c r="A903" s="1">
        <v>5447354.0</v>
      </c>
      <c r="B903" s="1" t="s">
        <v>3803</v>
      </c>
      <c r="C903" s="1" t="s">
        <v>326</v>
      </c>
      <c r="D903" s="1" t="s">
        <v>327</v>
      </c>
      <c r="F903" s="2" t="str">
        <f>"0061244082"</f>
        <v>0061244082</v>
      </c>
      <c r="G903" s="2" t="str">
        <f>"9780061244087"</f>
        <v>9780061244087</v>
      </c>
      <c r="H903" s="1" t="s">
        <v>290</v>
      </c>
      <c r="I903" s="1" t="s">
        <v>31</v>
      </c>
      <c r="J903" s="1">
        <v>32.0</v>
      </c>
      <c r="K903" s="1">
        <v>2009.0</v>
      </c>
      <c r="L903" s="1">
        <v>2009.0</v>
      </c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 t="s">
        <v>370</v>
      </c>
      <c r="Y903" s="1" t="s">
        <v>3804</v>
      </c>
    </row>
    <row r="904">
      <c r="A904" s="1">
        <v>3.5181311E7</v>
      </c>
      <c r="B904" s="1" t="s">
        <v>3805</v>
      </c>
      <c r="C904" s="1" t="s">
        <v>326</v>
      </c>
      <c r="D904" s="1" t="s">
        <v>327</v>
      </c>
      <c r="F904" s="2" t="str">
        <f>"0062566946"</f>
        <v>0062566946</v>
      </c>
      <c r="G904" s="2" t="str">
        <f>"9780062566942"</f>
        <v>9780062566942</v>
      </c>
      <c r="H904" s="1" t="s">
        <v>290</v>
      </c>
      <c r="I904" s="1" t="s">
        <v>31</v>
      </c>
      <c r="J904" s="1">
        <v>32.0</v>
      </c>
      <c r="K904" s="1">
        <v>2018.0</v>
      </c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 t="s">
        <v>1422</v>
      </c>
      <c r="Y904" s="1" t="s">
        <v>3806</v>
      </c>
    </row>
    <row r="905">
      <c r="A905" s="1">
        <v>2.2328535E7</v>
      </c>
      <c r="B905" s="1" t="s">
        <v>3807</v>
      </c>
      <c r="C905" s="1" t="s">
        <v>326</v>
      </c>
      <c r="D905" s="1" t="s">
        <v>327</v>
      </c>
      <c r="F905" s="2" t="str">
        <f>"0062245937"</f>
        <v>0062245937</v>
      </c>
      <c r="G905" s="2" t="str">
        <f>"9780062245939"</f>
        <v>9780062245939</v>
      </c>
      <c r="H905" s="1" t="s">
        <v>290</v>
      </c>
      <c r="I905" s="1" t="s">
        <v>31</v>
      </c>
      <c r="J905" s="1">
        <v>32.0</v>
      </c>
      <c r="K905" s="1">
        <v>2015.0</v>
      </c>
      <c r="L905" s="1">
        <v>2015.0</v>
      </c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 t="s">
        <v>1422</v>
      </c>
      <c r="Y905" s="1" t="s">
        <v>3808</v>
      </c>
    </row>
    <row r="906">
      <c r="A906" s="1">
        <v>4.3208962E7</v>
      </c>
      <c r="B906" s="1" t="s">
        <v>3809</v>
      </c>
      <c r="C906" s="1" t="s">
        <v>326</v>
      </c>
      <c r="D906" s="1" t="s">
        <v>327</v>
      </c>
      <c r="F906" s="2" t="str">
        <f>"0062840428"</f>
        <v>0062840428</v>
      </c>
      <c r="G906" s="2" t="str">
        <f>"9780062840424"</f>
        <v>9780062840424</v>
      </c>
      <c r="H906" s="1" t="s">
        <v>290</v>
      </c>
      <c r="I906" s="1" t="s">
        <v>31</v>
      </c>
      <c r="J906" s="1">
        <v>32.0</v>
      </c>
      <c r="K906" s="1">
        <v>2019.0</v>
      </c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 t="s">
        <v>1422</v>
      </c>
      <c r="Y906" s="1" t="s">
        <v>3810</v>
      </c>
    </row>
    <row r="907">
      <c r="A907" s="1">
        <v>2.5817505E7</v>
      </c>
      <c r="B907" s="1" t="s">
        <v>3811</v>
      </c>
      <c r="C907" s="1" t="s">
        <v>326</v>
      </c>
      <c r="D907" s="1" t="s">
        <v>327</v>
      </c>
      <c r="F907" s="2" t="str">
        <f>"0062410695"</f>
        <v>0062410695</v>
      </c>
      <c r="G907" s="2" t="str">
        <f>"9780062410696"</f>
        <v>9780062410696</v>
      </c>
      <c r="H907" s="1" t="s">
        <v>290</v>
      </c>
      <c r="I907" s="1" t="s">
        <v>31</v>
      </c>
      <c r="J907" s="1">
        <v>32.0</v>
      </c>
      <c r="K907" s="1">
        <v>2016.0</v>
      </c>
      <c r="L907" s="1">
        <v>2016.0</v>
      </c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 t="s">
        <v>1422</v>
      </c>
      <c r="Y907" s="1" t="s">
        <v>3812</v>
      </c>
    </row>
    <row r="908">
      <c r="A908" s="1">
        <v>1.2753579E7</v>
      </c>
      <c r="B908" s="1" t="s">
        <v>3813</v>
      </c>
      <c r="C908" s="1" t="s">
        <v>326</v>
      </c>
      <c r="D908" s="1" t="s">
        <v>327</v>
      </c>
      <c r="F908" s="2" t="str">
        <f>"0061989630"</f>
        <v>0061989630</v>
      </c>
      <c r="G908" s="2" t="str">
        <f>"9780061989636"</f>
        <v>9780061989636</v>
      </c>
      <c r="H908" s="1" t="s">
        <v>290</v>
      </c>
      <c r="I908" s="1" t="s">
        <v>31</v>
      </c>
      <c r="J908" s="1">
        <v>32.0</v>
      </c>
      <c r="K908" s="1">
        <v>2012.0</v>
      </c>
      <c r="L908" s="1">
        <v>2012.0</v>
      </c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 t="s">
        <v>3814</v>
      </c>
      <c r="Y908" s="1" t="s">
        <v>3815</v>
      </c>
    </row>
    <row r="909">
      <c r="A909" s="1">
        <v>6280451.0</v>
      </c>
      <c r="B909" s="1" t="s">
        <v>3816</v>
      </c>
      <c r="C909" s="1" t="s">
        <v>326</v>
      </c>
      <c r="D909" s="1" t="s">
        <v>327</v>
      </c>
      <c r="F909" s="2" t="str">
        <f>"0061781231"</f>
        <v>0061781231</v>
      </c>
      <c r="G909" s="2" t="str">
        <f>"9780061781230"</f>
        <v>9780061781230</v>
      </c>
      <c r="H909" s="1" t="s">
        <v>290</v>
      </c>
      <c r="I909" s="1" t="s">
        <v>31</v>
      </c>
      <c r="J909" s="1">
        <v>32.0</v>
      </c>
      <c r="K909" s="1">
        <v>2011.0</v>
      </c>
      <c r="L909" s="1">
        <v>2010.0</v>
      </c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 t="s">
        <v>3817</v>
      </c>
      <c r="Y909" s="1" t="s">
        <v>3818</v>
      </c>
    </row>
    <row r="910">
      <c r="A910" s="1">
        <v>731804.0</v>
      </c>
      <c r="B910" s="1" t="s">
        <v>3819</v>
      </c>
      <c r="C910" s="1" t="s">
        <v>326</v>
      </c>
      <c r="D910" s="1" t="s">
        <v>327</v>
      </c>
      <c r="E910" s="1" t="s">
        <v>3820</v>
      </c>
      <c r="F910" s="2" t="str">
        <f>"0060776390"</f>
        <v>0060776390</v>
      </c>
      <c r="G910" s="2" t="str">
        <f>"9780060776398"</f>
        <v>9780060776398</v>
      </c>
      <c r="H910" s="1" t="s">
        <v>290</v>
      </c>
      <c r="I910" s="1" t="s">
        <v>31</v>
      </c>
      <c r="J910" s="1">
        <v>32.0</v>
      </c>
      <c r="K910" s="1">
        <v>2006.0</v>
      </c>
      <c r="L910" s="1">
        <v>2006.0</v>
      </c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 t="s">
        <v>3821</v>
      </c>
      <c r="Y910" s="1" t="s">
        <v>3822</v>
      </c>
    </row>
    <row r="911">
      <c r="A911" s="1">
        <v>950858.0</v>
      </c>
      <c r="B911" s="1" t="s">
        <v>3823</v>
      </c>
      <c r="C911" s="1" t="s">
        <v>326</v>
      </c>
      <c r="D911" s="1" t="s">
        <v>327</v>
      </c>
      <c r="E911" s="1" t="s">
        <v>3820</v>
      </c>
      <c r="F911" s="2" t="str">
        <f>"0061244058"</f>
        <v>0061244058</v>
      </c>
      <c r="G911" s="2" t="str">
        <f>"9780061244056"</f>
        <v>9780061244056</v>
      </c>
      <c r="H911" s="1" t="s">
        <v>698</v>
      </c>
      <c r="I911" s="1" t="s">
        <v>91</v>
      </c>
      <c r="J911" s="1">
        <v>32.0</v>
      </c>
      <c r="K911" s="1">
        <v>2007.0</v>
      </c>
      <c r="L911" s="1">
        <v>2007.0</v>
      </c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 t="s">
        <v>3824</v>
      </c>
      <c r="Y911" s="1" t="s">
        <v>3825</v>
      </c>
    </row>
    <row r="912">
      <c r="A912" s="1">
        <v>2.8512703E7</v>
      </c>
      <c r="B912" s="1" t="s">
        <v>3826</v>
      </c>
      <c r="C912" s="1" t="s">
        <v>326</v>
      </c>
      <c r="D912" s="1" t="s">
        <v>327</v>
      </c>
      <c r="F912" s="2" t="str">
        <f>"0062410768"</f>
        <v>0062410768</v>
      </c>
      <c r="G912" s="2" t="str">
        <f>"9780062410764"</f>
        <v>9780062410764</v>
      </c>
      <c r="H912" s="1" t="s">
        <v>290</v>
      </c>
      <c r="I912" s="1" t="s">
        <v>36</v>
      </c>
      <c r="J912" s="1">
        <v>32.0</v>
      </c>
      <c r="K912" s="1">
        <v>2016.0</v>
      </c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 t="s">
        <v>329</v>
      </c>
      <c r="Y912" s="1" t="s">
        <v>3827</v>
      </c>
    </row>
    <row r="913">
      <c r="A913" s="1">
        <v>7632442.0</v>
      </c>
      <c r="B913" s="1" t="s">
        <v>3828</v>
      </c>
      <c r="C913" s="1" t="s">
        <v>326</v>
      </c>
      <c r="D913" s="1" t="s">
        <v>327</v>
      </c>
      <c r="F913" s="2" t="str">
        <f>"0061928852"</f>
        <v>0061928852</v>
      </c>
      <c r="G913" s="2" t="str">
        <f>"9780061928857"</f>
        <v>9780061928857</v>
      </c>
      <c r="H913" s="1" t="s">
        <v>290</v>
      </c>
      <c r="I913" s="1" t="s">
        <v>36</v>
      </c>
      <c r="J913" s="1">
        <v>32.0</v>
      </c>
      <c r="K913" s="1">
        <v>2010.0</v>
      </c>
      <c r="L913" s="1">
        <v>2010.0</v>
      </c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 t="s">
        <v>1422</v>
      </c>
      <c r="Y913" s="1" t="s">
        <v>3829</v>
      </c>
    </row>
    <row r="914">
      <c r="A914" s="1">
        <v>1.5818339E7</v>
      </c>
      <c r="B914" s="1" t="s">
        <v>3830</v>
      </c>
      <c r="C914" s="1" t="s">
        <v>326</v>
      </c>
      <c r="D914" s="1" t="s">
        <v>327</v>
      </c>
      <c r="F914" s="2" t="str">
        <f>"0062187821"</f>
        <v>0062187821</v>
      </c>
      <c r="G914" s="2" t="str">
        <f>"9780062187826"</f>
        <v>9780062187826</v>
      </c>
      <c r="H914" s="1" t="s">
        <v>290</v>
      </c>
      <c r="I914" s="1" t="s">
        <v>36</v>
      </c>
      <c r="J914" s="1">
        <v>32.0</v>
      </c>
      <c r="K914" s="1">
        <v>2013.0</v>
      </c>
      <c r="L914" s="1">
        <v>2012.0</v>
      </c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 t="s">
        <v>1422</v>
      </c>
      <c r="Y914" s="1" t="s">
        <v>3831</v>
      </c>
    </row>
    <row r="915">
      <c r="A915" s="1">
        <v>7171789.0</v>
      </c>
      <c r="B915" s="1" t="s">
        <v>3832</v>
      </c>
      <c r="C915" s="1" t="s">
        <v>3833</v>
      </c>
      <c r="D915" s="1" t="s">
        <v>3834</v>
      </c>
      <c r="F915" s="2" t="str">
        <f>"1416986898"</f>
        <v>1416986898</v>
      </c>
      <c r="G915" s="2" t="str">
        <f>"9781416986898"</f>
        <v>9781416986898</v>
      </c>
      <c r="H915" s="1" t="s">
        <v>3030</v>
      </c>
      <c r="I915" s="1" t="s">
        <v>31</v>
      </c>
      <c r="J915" s="1">
        <v>32.0</v>
      </c>
      <c r="K915" s="1">
        <v>2010.0</v>
      </c>
      <c r="L915" s="1">
        <v>2010.0</v>
      </c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 t="s">
        <v>1390</v>
      </c>
      <c r="Y915" s="1" t="s">
        <v>3835</v>
      </c>
    </row>
    <row r="916">
      <c r="A916" s="1">
        <v>1.58122E7</v>
      </c>
      <c r="B916" s="1" t="s">
        <v>3836</v>
      </c>
      <c r="C916" s="1" t="s">
        <v>3837</v>
      </c>
      <c r="D916" s="1" t="s">
        <v>3838</v>
      </c>
      <c r="E916" s="1" t="s">
        <v>3839</v>
      </c>
      <c r="F916" s="2" t="str">
        <f>"0803738587"</f>
        <v>0803738587</v>
      </c>
      <c r="G916" s="2" t="str">
        <f>"9780803738584"</f>
        <v>9780803738584</v>
      </c>
      <c r="H916" s="1" t="s">
        <v>2600</v>
      </c>
      <c r="I916" s="1" t="s">
        <v>31</v>
      </c>
      <c r="J916" s="1">
        <v>32.0</v>
      </c>
      <c r="K916" s="1">
        <v>2013.0</v>
      </c>
      <c r="L916" s="1">
        <v>2013.0</v>
      </c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 t="s">
        <v>1225</v>
      </c>
      <c r="Y916" s="1" t="s">
        <v>3840</v>
      </c>
    </row>
    <row r="917">
      <c r="A917" s="1">
        <v>915656.0</v>
      </c>
      <c r="B917" s="1" t="s">
        <v>3841</v>
      </c>
      <c r="C917" s="1" t="s">
        <v>3842</v>
      </c>
      <c r="D917" s="1" t="s">
        <v>3843</v>
      </c>
      <c r="F917" s="2" t="str">
        <f>"0689845510"</f>
        <v>0689845510</v>
      </c>
      <c r="G917" s="2" t="str">
        <f>"9780689845512"</f>
        <v>9780689845512</v>
      </c>
      <c r="H917" s="1" t="s">
        <v>3844</v>
      </c>
      <c r="I917" s="1" t="s">
        <v>31</v>
      </c>
      <c r="J917" s="1">
        <v>32.0</v>
      </c>
      <c r="K917" s="1">
        <v>2003.0</v>
      </c>
      <c r="L917" s="1">
        <v>2003.0</v>
      </c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 t="s">
        <v>68</v>
      </c>
      <c r="Y917" s="1" t="s">
        <v>3845</v>
      </c>
    </row>
    <row r="918">
      <c r="A918" s="1">
        <v>310258.0</v>
      </c>
      <c r="B918" s="1" t="s">
        <v>3846</v>
      </c>
      <c r="C918" s="1" t="s">
        <v>2127</v>
      </c>
      <c r="D918" s="1" t="s">
        <v>2128</v>
      </c>
      <c r="F918" s="2" t="str">
        <f>"0140501827"</f>
        <v>0140501827</v>
      </c>
      <c r="G918" s="2" t="str">
        <f>"9780140501827"</f>
        <v>9780140501827</v>
      </c>
      <c r="H918" s="1" t="s">
        <v>753</v>
      </c>
      <c r="I918" s="1" t="s">
        <v>36</v>
      </c>
      <c r="J918" s="1">
        <v>32.0</v>
      </c>
      <c r="K918" s="1">
        <v>1976.0</v>
      </c>
      <c r="L918" s="1">
        <v>1962.0</v>
      </c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 t="s">
        <v>2538</v>
      </c>
      <c r="Y918" s="1" t="s">
        <v>3847</v>
      </c>
    </row>
    <row r="919">
      <c r="A919" s="1">
        <v>1380612.0</v>
      </c>
      <c r="B919" s="1" t="s">
        <v>3848</v>
      </c>
      <c r="C919" s="1" t="s">
        <v>3849</v>
      </c>
      <c r="D919" s="1" t="s">
        <v>3850</v>
      </c>
      <c r="F919" s="2" t="str">
        <f>"0142300101"</f>
        <v>0142300101</v>
      </c>
      <c r="G919" s="2" t="str">
        <f>"9780142300107"</f>
        <v>9780142300107</v>
      </c>
      <c r="H919" s="1" t="s">
        <v>44</v>
      </c>
      <c r="I919" s="1" t="s">
        <v>36</v>
      </c>
      <c r="J919" s="1">
        <v>32.0</v>
      </c>
      <c r="K919" s="1">
        <v>2002.0</v>
      </c>
      <c r="L919" s="1">
        <v>1982.0</v>
      </c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 t="s">
        <v>2298</v>
      </c>
      <c r="Y919" s="1" t="s">
        <v>3851</v>
      </c>
    </row>
    <row r="920">
      <c r="A920" s="1">
        <v>2.5869735E7</v>
      </c>
      <c r="B920" s="1" t="s">
        <v>3852</v>
      </c>
      <c r="C920" s="1" t="s">
        <v>2196</v>
      </c>
      <c r="D920" s="1" t="s">
        <v>2197</v>
      </c>
      <c r="E920" s="1" t="s">
        <v>2198</v>
      </c>
      <c r="F920" s="2" t="str">
        <f>"0545317649"</f>
        <v>0545317649</v>
      </c>
      <c r="G920" s="2" t="str">
        <f>"9780545317641"</f>
        <v>9780545317641</v>
      </c>
      <c r="H920" s="1" t="s">
        <v>50</v>
      </c>
      <c r="I920" s="1" t="s">
        <v>36</v>
      </c>
      <c r="J920" s="1">
        <v>32.0</v>
      </c>
      <c r="K920" s="1">
        <v>2010.0</v>
      </c>
      <c r="L920" s="1">
        <v>2009.0</v>
      </c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 t="s">
        <v>1219</v>
      </c>
      <c r="Y920" s="1" t="s">
        <v>3853</v>
      </c>
    </row>
    <row r="921">
      <c r="A921" s="1">
        <v>6970086.0</v>
      </c>
      <c r="B921" s="1" t="s">
        <v>3854</v>
      </c>
      <c r="C921" s="1" t="s">
        <v>3855</v>
      </c>
      <c r="D921" s="1" t="s">
        <v>3856</v>
      </c>
      <c r="F921" s="2" t="str">
        <f>"1935279378"</f>
        <v>1935279378</v>
      </c>
      <c r="G921" s="2" t="str">
        <f>"9781935279372"</f>
        <v>9781935279372</v>
      </c>
      <c r="H921" s="1" t="s">
        <v>1744</v>
      </c>
      <c r="I921" s="1" t="s">
        <v>31</v>
      </c>
      <c r="J921" s="1">
        <v>32.0</v>
      </c>
      <c r="K921" s="1">
        <v>2010.0</v>
      </c>
      <c r="L921" s="1">
        <v>2009.0</v>
      </c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 t="s">
        <v>68</v>
      </c>
      <c r="Y921" s="1" t="s">
        <v>3857</v>
      </c>
    </row>
    <row r="922">
      <c r="A922" s="1">
        <v>1.7945717E7</v>
      </c>
      <c r="B922" s="1" t="s">
        <v>3858</v>
      </c>
      <c r="C922" s="1" t="s">
        <v>3859</v>
      </c>
      <c r="D922" s="1" t="s">
        <v>3860</v>
      </c>
      <c r="E922" s="1" t="s">
        <v>3861</v>
      </c>
      <c r="F922" s="2" t="str">
        <f>"1600606598"</f>
        <v>1600606598</v>
      </c>
      <c r="G922" s="2" t="str">
        <f>"9781600606595"</f>
        <v>9781600606595</v>
      </c>
      <c r="H922" s="1" t="s">
        <v>2515</v>
      </c>
      <c r="I922" s="1" t="s">
        <v>31</v>
      </c>
      <c r="J922" s="1">
        <v>32.0</v>
      </c>
      <c r="K922" s="1">
        <v>2014.0</v>
      </c>
      <c r="L922" s="1">
        <v>2013.0</v>
      </c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 t="s">
        <v>742</v>
      </c>
      <c r="Y922" s="1" t="s">
        <v>3862</v>
      </c>
    </row>
    <row r="923">
      <c r="A923" s="1">
        <v>6.2367284E7</v>
      </c>
      <c r="B923" s="1" t="s">
        <v>3863</v>
      </c>
      <c r="C923" s="1" t="s">
        <v>3864</v>
      </c>
      <c r="D923" s="1" t="s">
        <v>3865</v>
      </c>
      <c r="E923" s="1" t="s">
        <v>3866</v>
      </c>
      <c r="F923" s="2" t="str">
        <f>"1955464030"</f>
        <v>1955464030</v>
      </c>
      <c r="G923" s="2" t="str">
        <f>"9781955464031"</f>
        <v>9781955464031</v>
      </c>
      <c r="H923" s="1" t="s">
        <v>3867</v>
      </c>
      <c r="I923" s="1" t="s">
        <v>36</v>
      </c>
      <c r="J923" s="1">
        <v>32.0</v>
      </c>
      <c r="K923" s="1">
        <v>2021.0</v>
      </c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 t="s">
        <v>1024</v>
      </c>
      <c r="Y923" s="1" t="s">
        <v>3868</v>
      </c>
    </row>
    <row r="924">
      <c r="A924" s="1">
        <v>800617.0</v>
      </c>
      <c r="B924" s="1" t="s">
        <v>3869</v>
      </c>
      <c r="C924" s="1" t="s">
        <v>3870</v>
      </c>
      <c r="D924" s="1" t="s">
        <v>3871</v>
      </c>
      <c r="E924" s="1" t="s">
        <v>3872</v>
      </c>
      <c r="F924" s="2" t="str">
        <f>"0385326521"</f>
        <v>0385326521</v>
      </c>
      <c r="G924" s="2" t="str">
        <f>"9780385326520"</f>
        <v>9780385326520</v>
      </c>
      <c r="H924" s="1" t="s">
        <v>3066</v>
      </c>
      <c r="I924" s="1" t="s">
        <v>91</v>
      </c>
      <c r="J924" s="1">
        <v>32.0</v>
      </c>
      <c r="K924" s="1">
        <v>2001.0</v>
      </c>
      <c r="L924" s="1">
        <v>2001.0</v>
      </c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 t="s">
        <v>863</v>
      </c>
      <c r="Y924" s="1" t="s">
        <v>3873</v>
      </c>
    </row>
    <row r="925">
      <c r="A925" s="1">
        <v>1426533.0</v>
      </c>
      <c r="B925" s="1" t="s">
        <v>3874</v>
      </c>
      <c r="C925" s="1" t="s">
        <v>3875</v>
      </c>
      <c r="D925" s="1" t="s">
        <v>3876</v>
      </c>
      <c r="F925" s="2" t="str">
        <f>"0786802006"</f>
        <v>0786802006</v>
      </c>
      <c r="G925" s="2" t="str">
        <f>"9780786802005"</f>
        <v>9780786802005</v>
      </c>
      <c r="H925" s="1" t="s">
        <v>112</v>
      </c>
      <c r="I925" s="1" t="s">
        <v>31</v>
      </c>
      <c r="J925" s="1">
        <v>32.0</v>
      </c>
      <c r="K925" s="1">
        <v>1996.0</v>
      </c>
      <c r="L925" s="1">
        <v>1900.0</v>
      </c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 t="s">
        <v>412</v>
      </c>
      <c r="Y925" s="1" t="s">
        <v>3877</v>
      </c>
    </row>
    <row r="926">
      <c r="A926" s="1">
        <v>1.952348E7</v>
      </c>
      <c r="B926" s="1" t="s">
        <v>3878</v>
      </c>
      <c r="C926" s="1" t="s">
        <v>3875</v>
      </c>
      <c r="D926" s="1" t="s">
        <v>3876</v>
      </c>
      <c r="F926" s="2" t="str">
        <f>"0399169377"</f>
        <v>0399169377</v>
      </c>
      <c r="G926" s="2" t="str">
        <f>"9780399169373"</f>
        <v>9780399169373</v>
      </c>
      <c r="H926" s="1" t="s">
        <v>2418</v>
      </c>
      <c r="I926" s="1" t="s">
        <v>31</v>
      </c>
      <c r="J926" s="1">
        <v>32.0</v>
      </c>
      <c r="K926" s="1">
        <v>2014.0</v>
      </c>
      <c r="L926" s="1">
        <v>2014.0</v>
      </c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 t="s">
        <v>1219</v>
      </c>
      <c r="Y926" s="1" t="s">
        <v>3879</v>
      </c>
    </row>
    <row r="927">
      <c r="A927" s="1">
        <v>4.3129701E7</v>
      </c>
      <c r="B927" s="1" t="s">
        <v>3880</v>
      </c>
      <c r="C927" s="1" t="s">
        <v>3881</v>
      </c>
      <c r="D927" s="1" t="s">
        <v>3882</v>
      </c>
      <c r="E927" s="1" t="s">
        <v>3883</v>
      </c>
      <c r="F927" s="2" t="str">
        <f>"1939547318"</f>
        <v>1939547318</v>
      </c>
      <c r="G927" s="2" t="str">
        <f>"9781939547316"</f>
        <v>9781939547316</v>
      </c>
      <c r="H927" s="1" t="s">
        <v>3884</v>
      </c>
      <c r="I927" s="1" t="s">
        <v>31</v>
      </c>
      <c r="J927" s="1">
        <v>32.0</v>
      </c>
      <c r="L927" s="1">
        <v>2019.0</v>
      </c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 t="s">
        <v>1024</v>
      </c>
      <c r="Y927" s="1" t="s">
        <v>3885</v>
      </c>
    </row>
    <row r="928">
      <c r="A928" s="1">
        <v>1.767515E7</v>
      </c>
      <c r="B928" s="1" t="s">
        <v>3886</v>
      </c>
      <c r="C928" s="1" t="s">
        <v>3887</v>
      </c>
      <c r="D928" s="1" t="s">
        <v>3888</v>
      </c>
      <c r="F928" s="2" t="str">
        <f>"160554079X"</f>
        <v>160554079X</v>
      </c>
      <c r="G928" s="2" t="str">
        <f>"9781605540795"</f>
        <v>9781605540795</v>
      </c>
      <c r="H928" s="1" t="s">
        <v>3889</v>
      </c>
      <c r="I928" s="1" t="s">
        <v>31</v>
      </c>
      <c r="J928" s="1">
        <v>32.0</v>
      </c>
      <c r="K928" s="1">
        <v>2014.0</v>
      </c>
      <c r="L928" s="1">
        <v>1994.0</v>
      </c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 t="s">
        <v>1024</v>
      </c>
      <c r="Y928" s="1" t="s">
        <v>3890</v>
      </c>
    </row>
    <row r="929">
      <c r="A929" s="1">
        <v>713118.0</v>
      </c>
      <c r="B929" s="1" t="s">
        <v>3891</v>
      </c>
      <c r="C929" s="1" t="s">
        <v>3892</v>
      </c>
      <c r="D929" s="1" t="s">
        <v>3893</v>
      </c>
      <c r="F929" s="2" t="str">
        <f>"0374480419"</f>
        <v>0374480419</v>
      </c>
      <c r="G929" s="2" t="str">
        <f>"9780374480417"</f>
        <v>9780374480417</v>
      </c>
      <c r="H929" s="1" t="s">
        <v>3894</v>
      </c>
      <c r="I929" s="1" t="s">
        <v>36</v>
      </c>
      <c r="J929" s="1">
        <v>32.0</v>
      </c>
      <c r="K929" s="1">
        <v>1991.0</v>
      </c>
      <c r="L929" s="1">
        <v>1989.0</v>
      </c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 t="s">
        <v>3895</v>
      </c>
      <c r="Y929" s="1" t="s">
        <v>3896</v>
      </c>
    </row>
    <row r="930">
      <c r="A930" s="1">
        <v>1.0859353E7</v>
      </c>
      <c r="B930" s="1" t="s">
        <v>3897</v>
      </c>
      <c r="C930" s="1" t="s">
        <v>3898</v>
      </c>
      <c r="D930" s="1" t="s">
        <v>3899</v>
      </c>
      <c r="E930" s="1" t="s">
        <v>3900</v>
      </c>
      <c r="F930" s="2" t="str">
        <f>"0752577697"</f>
        <v>0752577697</v>
      </c>
      <c r="G930" s="2" t="str">
        <f>"9780752577692"</f>
        <v>9780752577692</v>
      </c>
      <c r="H930" s="1" t="s">
        <v>448</v>
      </c>
      <c r="I930" s="1" t="s">
        <v>31</v>
      </c>
      <c r="J930" s="1">
        <v>32.0</v>
      </c>
      <c r="K930" s="1">
        <v>2002.0</v>
      </c>
      <c r="L930" s="1">
        <v>2003.0</v>
      </c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 t="s">
        <v>3263</v>
      </c>
      <c r="Y930" s="1" t="s">
        <v>3901</v>
      </c>
    </row>
    <row r="931">
      <c r="A931" s="1">
        <v>1.614443E7</v>
      </c>
      <c r="B931" s="1" t="s">
        <v>3902</v>
      </c>
      <c r="C931" s="1" t="s">
        <v>3903</v>
      </c>
      <c r="D931" s="1" t="s">
        <v>3904</v>
      </c>
      <c r="E931" s="1" t="s">
        <v>3905</v>
      </c>
      <c r="F931" s="2" t="str">
        <f>"1605371521"</f>
        <v>1605371521</v>
      </c>
      <c r="G931" s="2" t="str">
        <f>"9781605371528"</f>
        <v>9781605371528</v>
      </c>
      <c r="H931" s="1" t="s">
        <v>3906</v>
      </c>
      <c r="I931" s="1" t="s">
        <v>31</v>
      </c>
      <c r="J931" s="1">
        <v>32.0</v>
      </c>
      <c r="K931" s="1">
        <v>2013.0</v>
      </c>
      <c r="L931" s="1">
        <v>2013.0</v>
      </c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 t="s">
        <v>264</v>
      </c>
      <c r="Y931" s="1" t="s">
        <v>3907</v>
      </c>
    </row>
    <row r="932">
      <c r="A932" s="1">
        <v>2.4428357E7</v>
      </c>
      <c r="B932" s="1" t="s">
        <v>3908</v>
      </c>
      <c r="C932" s="1" t="s">
        <v>3909</v>
      </c>
      <c r="D932" s="1" t="s">
        <v>3910</v>
      </c>
      <c r="E932" s="1" t="s">
        <v>3911</v>
      </c>
      <c r="F932" s="2" t="str">
        <f>"0553524747"</f>
        <v>0553524747</v>
      </c>
      <c r="G932" s="2" t="str">
        <f>"9780553524741"</f>
        <v>9780553524741</v>
      </c>
      <c r="H932" s="1" t="s">
        <v>1565</v>
      </c>
      <c r="I932" s="1" t="s">
        <v>238</v>
      </c>
      <c r="J932" s="1">
        <v>32.0</v>
      </c>
      <c r="K932" s="1">
        <v>2015.0</v>
      </c>
      <c r="L932" s="1">
        <v>2015.0</v>
      </c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 t="s">
        <v>83</v>
      </c>
      <c r="Y932" s="1" t="s">
        <v>3912</v>
      </c>
    </row>
    <row r="933">
      <c r="A933" s="1">
        <v>2.2713279E7</v>
      </c>
      <c r="B933" s="1" t="s">
        <v>3913</v>
      </c>
      <c r="C933" s="1" t="s">
        <v>3909</v>
      </c>
      <c r="D933" s="1" t="s">
        <v>3910</v>
      </c>
      <c r="E933" s="1" t="s">
        <v>3914</v>
      </c>
      <c r="F933" s="2" t="str">
        <f>"0553499033"</f>
        <v>0553499033</v>
      </c>
      <c r="G933" s="2" t="str">
        <f>"9780553499032"</f>
        <v>9780553499032</v>
      </c>
      <c r="H933" s="1" t="s">
        <v>1565</v>
      </c>
      <c r="I933" s="1" t="s">
        <v>238</v>
      </c>
      <c r="J933" s="1">
        <v>32.0</v>
      </c>
      <c r="K933" s="1">
        <v>2014.0</v>
      </c>
      <c r="L933" s="1">
        <v>2014.0</v>
      </c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 t="s">
        <v>3915</v>
      </c>
      <c r="Y933" s="1" t="s">
        <v>3916</v>
      </c>
    </row>
    <row r="934">
      <c r="A934" s="1">
        <v>6.4690913E7</v>
      </c>
      <c r="B934" s="1" t="s">
        <v>3917</v>
      </c>
      <c r="C934" s="1" t="s">
        <v>3918</v>
      </c>
      <c r="D934" s="1" t="s">
        <v>3919</v>
      </c>
      <c r="F934" s="2" t="str">
        <f>"1590543831"</f>
        <v>1590543831</v>
      </c>
      <c r="G934" s="2" t="str">
        <f>"9781590543832"</f>
        <v>9781590543832</v>
      </c>
      <c r="H934" s="1" t="s">
        <v>3920</v>
      </c>
      <c r="I934" s="1" t="s">
        <v>91</v>
      </c>
      <c r="J934" s="1">
        <v>32.0</v>
      </c>
      <c r="L934" s="1">
        <v>1993.0</v>
      </c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 t="s">
        <v>83</v>
      </c>
      <c r="Y934" s="1" t="s">
        <v>3921</v>
      </c>
    </row>
    <row r="935">
      <c r="A935" s="1">
        <v>977736.0</v>
      </c>
      <c r="B935" s="1" t="s">
        <v>3922</v>
      </c>
      <c r="C935" s="1" t="s">
        <v>3923</v>
      </c>
      <c r="D935" s="1" t="s">
        <v>3924</v>
      </c>
      <c r="E935" s="1" t="s">
        <v>3925</v>
      </c>
      <c r="F935" s="2" t="str">
        <f>"0761452974"</f>
        <v>0761452974</v>
      </c>
      <c r="G935" s="2" t="str">
        <f>"9780761452973"</f>
        <v>9780761452973</v>
      </c>
      <c r="H935" s="1" t="s">
        <v>2654</v>
      </c>
      <c r="I935" s="1" t="s">
        <v>31</v>
      </c>
      <c r="J935" s="1">
        <v>32.0</v>
      </c>
      <c r="K935" s="1">
        <v>2010.0</v>
      </c>
      <c r="L935" s="1">
        <v>2006.0</v>
      </c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 t="s">
        <v>1225</v>
      </c>
      <c r="Y935" s="1" t="s">
        <v>3926</v>
      </c>
    </row>
    <row r="936">
      <c r="A936" s="1">
        <v>965119.0</v>
      </c>
      <c r="B936" s="1" t="s">
        <v>3927</v>
      </c>
      <c r="C936" s="1" t="s">
        <v>3928</v>
      </c>
      <c r="D936" s="1" t="s">
        <v>3929</v>
      </c>
      <c r="F936" s="2" t="str">
        <f>"0823415465"</f>
        <v>0823415465</v>
      </c>
      <c r="G936" s="2" t="str">
        <f>"9780823415465"</f>
        <v>9780823415465</v>
      </c>
      <c r="H936" s="1" t="s">
        <v>2347</v>
      </c>
      <c r="I936" s="1" t="s">
        <v>31</v>
      </c>
      <c r="J936" s="1">
        <v>32.0</v>
      </c>
      <c r="K936" s="1">
        <v>2001.0</v>
      </c>
      <c r="L936" s="1">
        <v>2001.0</v>
      </c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 t="s">
        <v>510</v>
      </c>
      <c r="Y936" s="1" t="s">
        <v>3930</v>
      </c>
    </row>
    <row r="937">
      <c r="A937" s="1">
        <v>7004138.0</v>
      </c>
      <c r="B937" s="1" t="s">
        <v>3931</v>
      </c>
      <c r="C937" s="1" t="s">
        <v>3932</v>
      </c>
      <c r="D937" s="1" t="s">
        <v>3933</v>
      </c>
      <c r="F937" s="2" t="str">
        <f>"0395900166"</f>
        <v>0395900166</v>
      </c>
      <c r="G937" s="2" t="str">
        <f>"9780395900161"</f>
        <v>9780395900161</v>
      </c>
      <c r="H937" s="1" t="s">
        <v>1799</v>
      </c>
      <c r="I937" s="1" t="s">
        <v>36</v>
      </c>
      <c r="J937" s="1">
        <v>32.0</v>
      </c>
      <c r="K937" s="1">
        <v>1998.0</v>
      </c>
      <c r="L937" s="1">
        <v>1994.0</v>
      </c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 t="s">
        <v>1225</v>
      </c>
      <c r="Y937" s="1" t="s">
        <v>3934</v>
      </c>
    </row>
    <row r="938">
      <c r="A938" s="1">
        <v>3.4495928E7</v>
      </c>
      <c r="B938" s="1" t="s">
        <v>3935</v>
      </c>
      <c r="C938" s="1" t="s">
        <v>3936</v>
      </c>
      <c r="D938" s="1" t="s">
        <v>3937</v>
      </c>
      <c r="E938" s="1" t="s">
        <v>3938</v>
      </c>
      <c r="F938" s="2" t="str">
        <f>"0374301239"</f>
        <v>0374301239</v>
      </c>
      <c r="G938" s="2" t="str">
        <f>"9780374301231"</f>
        <v>9780374301231</v>
      </c>
      <c r="H938" s="1" t="s">
        <v>2211</v>
      </c>
      <c r="I938" s="1" t="s">
        <v>31</v>
      </c>
      <c r="J938" s="1">
        <v>32.0</v>
      </c>
      <c r="K938" s="1">
        <v>2018.0</v>
      </c>
      <c r="L938" s="1">
        <v>2018.0</v>
      </c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 t="s">
        <v>1317</v>
      </c>
      <c r="Y938" s="1" t="s">
        <v>3939</v>
      </c>
    </row>
    <row r="939">
      <c r="A939" s="1">
        <v>1.2130976E7</v>
      </c>
      <c r="B939" s="1" t="s">
        <v>3940</v>
      </c>
      <c r="C939" s="1" t="s">
        <v>3941</v>
      </c>
      <c r="D939" s="1" t="s">
        <v>3942</v>
      </c>
      <c r="E939" s="1" t="s">
        <v>849</v>
      </c>
      <c r="F939" s="2" t="str">
        <f>"0736428585"</f>
        <v>0736428585</v>
      </c>
      <c r="G939" s="2" t="str">
        <f>"9780736428583"</f>
        <v>9780736428583</v>
      </c>
      <c r="H939" s="1" t="s">
        <v>1565</v>
      </c>
      <c r="I939" s="1" t="s">
        <v>36</v>
      </c>
      <c r="J939" s="1">
        <v>32.0</v>
      </c>
      <c r="K939" s="1">
        <v>2012.0</v>
      </c>
      <c r="L939" s="1">
        <v>2012.0</v>
      </c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 t="s">
        <v>83</v>
      </c>
      <c r="Y939" s="1" t="s">
        <v>3943</v>
      </c>
    </row>
    <row r="940">
      <c r="A940" s="1">
        <v>2.4704193E7</v>
      </c>
      <c r="B940" s="1" t="s">
        <v>3944</v>
      </c>
      <c r="C940" s="1" t="s">
        <v>3945</v>
      </c>
      <c r="D940" s="1" t="s">
        <v>3946</v>
      </c>
      <c r="F940" s="2" t="str">
        <f>"0578151464"</f>
        <v>0578151464</v>
      </c>
      <c r="G940" s="2" t="str">
        <f>"9780578151465"</f>
        <v>9780578151465</v>
      </c>
      <c r="H940" s="1" t="s">
        <v>3947</v>
      </c>
      <c r="I940" s="1" t="s">
        <v>31</v>
      </c>
      <c r="J940" s="1">
        <v>32.0</v>
      </c>
      <c r="K940" s="1">
        <v>2014.0</v>
      </c>
      <c r="L940" s="1">
        <v>2014.0</v>
      </c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 t="s">
        <v>113</v>
      </c>
      <c r="Y940" s="1" t="s">
        <v>3948</v>
      </c>
    </row>
    <row r="941">
      <c r="A941" s="1">
        <v>1.3361173E7</v>
      </c>
      <c r="B941" s="1" t="s">
        <v>3949</v>
      </c>
      <c r="C941" s="1" t="s">
        <v>3950</v>
      </c>
      <c r="D941" s="1" t="s">
        <v>3951</v>
      </c>
      <c r="F941" s="2" t="str">
        <f>"0756690056"</f>
        <v>0756690056</v>
      </c>
      <c r="G941" s="2" t="str">
        <f>"9780756690052"</f>
        <v>9780756690052</v>
      </c>
      <c r="H941" s="1" t="s">
        <v>1089</v>
      </c>
      <c r="I941" s="1" t="s">
        <v>36</v>
      </c>
      <c r="J941" s="1">
        <v>32.0</v>
      </c>
      <c r="K941" s="1">
        <v>2012.0</v>
      </c>
      <c r="L941" s="1">
        <v>2012.0</v>
      </c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 t="s">
        <v>1117</v>
      </c>
      <c r="Y941" s="1" t="s">
        <v>3952</v>
      </c>
    </row>
    <row r="942">
      <c r="A942" s="1">
        <v>4.9882798E7</v>
      </c>
      <c r="B942" s="1" t="s">
        <v>3953</v>
      </c>
      <c r="C942" s="1" t="s">
        <v>3954</v>
      </c>
      <c r="D942" s="1" t="s">
        <v>3955</v>
      </c>
      <c r="F942" s="2" t="str">
        <f>"1541568494"</f>
        <v>1541568494</v>
      </c>
      <c r="G942" s="2" t="str">
        <f>"9781541568495"</f>
        <v>9781541568495</v>
      </c>
      <c r="H942" s="1" t="s">
        <v>1499</v>
      </c>
      <c r="I942" s="1" t="s">
        <v>238</v>
      </c>
      <c r="J942" s="1">
        <v>32.0</v>
      </c>
      <c r="K942" s="1">
        <v>2019.0</v>
      </c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 t="s">
        <v>3628</v>
      </c>
      <c r="Y942" s="1" t="s">
        <v>3956</v>
      </c>
    </row>
    <row r="943">
      <c r="A943" s="1">
        <v>3.1555769E7</v>
      </c>
      <c r="B943" s="1" t="s">
        <v>3957</v>
      </c>
      <c r="C943" s="1" t="s">
        <v>3958</v>
      </c>
      <c r="D943" s="1" t="s">
        <v>3959</v>
      </c>
      <c r="E943" s="1" t="s">
        <v>3960</v>
      </c>
      <c r="F943" s="2" t="str">
        <f>"2745942840"</f>
        <v>2745942840</v>
      </c>
      <c r="G943" s="2" t="str">
        <f>"9782745942845"</f>
        <v>9782745942845</v>
      </c>
      <c r="H943" s="1" t="s">
        <v>3961</v>
      </c>
      <c r="I943" s="1" t="s">
        <v>3962</v>
      </c>
      <c r="J943" s="1">
        <v>32.0</v>
      </c>
      <c r="K943" s="1">
        <v>2010.0</v>
      </c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 t="s">
        <v>841</v>
      </c>
      <c r="Y943" s="1" t="s">
        <v>3963</v>
      </c>
    </row>
    <row r="944">
      <c r="A944" s="1">
        <v>5.0890471E7</v>
      </c>
      <c r="B944" s="1" t="s">
        <v>3964</v>
      </c>
      <c r="C944" s="1" t="s">
        <v>3965</v>
      </c>
      <c r="D944" s="1" t="s">
        <v>3966</v>
      </c>
      <c r="E944" s="1" t="s">
        <v>3967</v>
      </c>
      <c r="F944" s="2" t="str">
        <f>"0655206426"</f>
        <v>0655206426</v>
      </c>
      <c r="G944" s="2" t="str">
        <f>"9780655206422"</f>
        <v>9780655206422</v>
      </c>
      <c r="H944" s="1" t="s">
        <v>3968</v>
      </c>
      <c r="I944" s="1" t="s">
        <v>31</v>
      </c>
      <c r="J944" s="1">
        <v>32.0</v>
      </c>
      <c r="K944" s="1">
        <v>2019.0</v>
      </c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 t="s">
        <v>323</v>
      </c>
      <c r="Y944" s="1" t="s">
        <v>3969</v>
      </c>
    </row>
    <row r="945">
      <c r="A945" s="1">
        <v>4.414494E7</v>
      </c>
      <c r="B945" s="1" t="s">
        <v>3970</v>
      </c>
      <c r="C945" s="1" t="s">
        <v>3971</v>
      </c>
      <c r="D945" s="1" t="s">
        <v>3972</v>
      </c>
      <c r="E945" s="1" t="s">
        <v>3973</v>
      </c>
      <c r="F945" s="2" t="str">
        <f>"150645450X"</f>
        <v>150645450X</v>
      </c>
      <c r="G945" s="2" t="str">
        <f>"9781506454504"</f>
        <v>9781506454504</v>
      </c>
      <c r="H945" s="1" t="s">
        <v>3974</v>
      </c>
      <c r="I945" s="1" t="s">
        <v>31</v>
      </c>
      <c r="J945" s="1">
        <v>32.0</v>
      </c>
      <c r="K945" s="1">
        <v>2019.0</v>
      </c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 t="s">
        <v>3975</v>
      </c>
      <c r="Y945" s="1" t="s">
        <v>3976</v>
      </c>
    </row>
    <row r="946">
      <c r="A946" s="1">
        <v>3.6132893E7</v>
      </c>
      <c r="B946" s="1" t="s">
        <v>3977</v>
      </c>
      <c r="C946" s="1" t="s">
        <v>354</v>
      </c>
      <c r="D946" s="1" t="s">
        <v>355</v>
      </c>
      <c r="E946" s="1" t="s">
        <v>3978</v>
      </c>
      <c r="F946" s="2" t="str">
        <f>"0545948606"</f>
        <v>0545948606</v>
      </c>
      <c r="G946" s="2" t="str">
        <f>"9780545948609"</f>
        <v>9780545948609</v>
      </c>
      <c r="H946" s="1" t="s">
        <v>817</v>
      </c>
      <c r="I946" s="1" t="s">
        <v>36</v>
      </c>
      <c r="J946" s="1">
        <v>32.0</v>
      </c>
      <c r="K946" s="1">
        <v>2016.0</v>
      </c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 t="s">
        <v>3979</v>
      </c>
      <c r="Y946" s="1" t="s">
        <v>3980</v>
      </c>
    </row>
    <row r="947">
      <c r="A947" s="1">
        <v>2.2934475E7</v>
      </c>
      <c r="B947" s="1" t="s">
        <v>3981</v>
      </c>
      <c r="C947" s="1" t="s">
        <v>2316</v>
      </c>
      <c r="D947" s="1" t="s">
        <v>2317</v>
      </c>
      <c r="F947" s="2" t="str">
        <f>"0062344889"</f>
        <v>0062344889</v>
      </c>
      <c r="G947" s="2" t="str">
        <f>"9780062344885"</f>
        <v>9780062344885</v>
      </c>
      <c r="H947" s="1" t="s">
        <v>290</v>
      </c>
      <c r="I947" s="1" t="s">
        <v>36</v>
      </c>
      <c r="J947" s="1">
        <v>32.0</v>
      </c>
      <c r="K947" s="1">
        <v>2015.0</v>
      </c>
      <c r="L947" s="1">
        <v>2015.0</v>
      </c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 t="s">
        <v>83</v>
      </c>
      <c r="Y947" s="1" t="s">
        <v>3982</v>
      </c>
    </row>
    <row r="948">
      <c r="A948" s="1">
        <v>2.6074155E7</v>
      </c>
      <c r="B948" s="1" t="s">
        <v>3983</v>
      </c>
      <c r="C948" s="1" t="s">
        <v>2316</v>
      </c>
      <c r="D948" s="1" t="s">
        <v>2317</v>
      </c>
      <c r="E948" s="1" t="s">
        <v>1947</v>
      </c>
      <c r="F948" s="2" t="str">
        <f>"006236085X"</f>
        <v>006236085X</v>
      </c>
      <c r="G948" s="2" t="str">
        <f>"9780062360854"</f>
        <v>9780062360854</v>
      </c>
      <c r="H948" s="1" t="s">
        <v>290</v>
      </c>
      <c r="I948" s="1" t="s">
        <v>36</v>
      </c>
      <c r="J948" s="1">
        <v>32.0</v>
      </c>
      <c r="K948" s="1">
        <v>2016.0</v>
      </c>
      <c r="L948" s="1">
        <v>2016.0</v>
      </c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 t="s">
        <v>83</v>
      </c>
      <c r="Y948" s="1" t="s">
        <v>3984</v>
      </c>
    </row>
    <row r="949">
      <c r="A949" s="1">
        <v>2.581715E7</v>
      </c>
      <c r="B949" s="1" t="s">
        <v>3985</v>
      </c>
      <c r="C949" s="1" t="s">
        <v>2316</v>
      </c>
      <c r="D949" s="1" t="s">
        <v>2317</v>
      </c>
      <c r="E949" s="1" t="s">
        <v>1947</v>
      </c>
      <c r="F949" s="2" t="str">
        <f>"0062344943"</f>
        <v>0062344943</v>
      </c>
      <c r="G949" s="2" t="str">
        <f>"9780062344946"</f>
        <v>9780062344946</v>
      </c>
      <c r="H949" s="1" t="s">
        <v>290</v>
      </c>
      <c r="I949" s="1" t="s">
        <v>36</v>
      </c>
      <c r="J949" s="1">
        <v>32.0</v>
      </c>
      <c r="K949" s="1">
        <v>2016.0</v>
      </c>
      <c r="L949" s="1">
        <v>2016.0</v>
      </c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 t="s">
        <v>83</v>
      </c>
      <c r="Y949" s="1" t="s">
        <v>3986</v>
      </c>
    </row>
    <row r="950">
      <c r="A950" s="1">
        <v>3.0534498E7</v>
      </c>
      <c r="B950" s="1" t="s">
        <v>3987</v>
      </c>
      <c r="C950" s="1" t="s">
        <v>3988</v>
      </c>
      <c r="D950" s="1" t="s">
        <v>3989</v>
      </c>
      <c r="F950" s="2" t="str">
        <f>"0544640942"</f>
        <v>0544640942</v>
      </c>
      <c r="G950" s="2" t="str">
        <f>"9780544640948"</f>
        <v>9780544640948</v>
      </c>
      <c r="H950" s="1" t="s">
        <v>1799</v>
      </c>
      <c r="I950" s="1" t="s">
        <v>31</v>
      </c>
      <c r="J950" s="1">
        <v>32.0</v>
      </c>
      <c r="K950" s="1">
        <v>2017.0</v>
      </c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 t="s">
        <v>1219</v>
      </c>
      <c r="Y950" s="1" t="s">
        <v>3990</v>
      </c>
    </row>
    <row r="951">
      <c r="A951" s="1">
        <v>346291.0</v>
      </c>
      <c r="B951" s="1" t="s">
        <v>3991</v>
      </c>
      <c r="C951" s="1" t="s">
        <v>3988</v>
      </c>
      <c r="D951" s="1" t="s">
        <v>3989</v>
      </c>
      <c r="E951" s="1" t="s">
        <v>3519</v>
      </c>
      <c r="F951" s="2" t="str">
        <f>"039582740X"</f>
        <v>039582740X</v>
      </c>
      <c r="G951" s="2" t="str">
        <f>"9780395827406"</f>
        <v>9780395827406</v>
      </c>
      <c r="H951" s="1" t="s">
        <v>1799</v>
      </c>
      <c r="I951" s="1" t="s">
        <v>91</v>
      </c>
      <c r="J951" s="1">
        <v>32.0</v>
      </c>
      <c r="K951" s="1">
        <v>1996.0</v>
      </c>
      <c r="L951" s="1">
        <v>1994.0</v>
      </c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 t="s">
        <v>363</v>
      </c>
      <c r="Y951" s="1" t="s">
        <v>3992</v>
      </c>
    </row>
    <row r="952">
      <c r="A952" s="1">
        <v>268111.0</v>
      </c>
      <c r="B952" s="1" t="s">
        <v>3993</v>
      </c>
      <c r="C952" s="1" t="s">
        <v>3994</v>
      </c>
      <c r="D952" s="1" t="s">
        <v>3995</v>
      </c>
      <c r="E952" s="1" t="s">
        <v>3996</v>
      </c>
      <c r="F952" s="2" t="str">
        <f>"0060285966"</f>
        <v>0060285966</v>
      </c>
      <c r="G952" s="2" t="str">
        <f>"9780060285968"</f>
        <v>9780060285968</v>
      </c>
      <c r="H952" s="1" t="s">
        <v>3997</v>
      </c>
      <c r="I952" s="1" t="s">
        <v>31</v>
      </c>
      <c r="J952" s="1">
        <v>32.0</v>
      </c>
      <c r="K952" s="1">
        <v>2005.0</v>
      </c>
      <c r="L952" s="1">
        <v>2005.0</v>
      </c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 t="s">
        <v>1466</v>
      </c>
      <c r="Y952" s="1" t="s">
        <v>3998</v>
      </c>
    </row>
    <row r="953">
      <c r="A953" s="1">
        <v>3327291.0</v>
      </c>
      <c r="B953" s="1" t="s">
        <v>3999</v>
      </c>
      <c r="C953" s="1" t="s">
        <v>366</v>
      </c>
      <c r="D953" s="1" t="s">
        <v>367</v>
      </c>
      <c r="E953" s="1" t="s">
        <v>368</v>
      </c>
      <c r="F953" s="2" t="str">
        <f>"1932748822"</f>
        <v>1932748822</v>
      </c>
      <c r="G953" s="2" t="str">
        <f>"9781932748826"</f>
        <v>9781932748826</v>
      </c>
      <c r="H953" s="1" t="s">
        <v>4000</v>
      </c>
      <c r="I953" s="1" t="s">
        <v>31</v>
      </c>
      <c r="J953" s="1">
        <v>32.0</v>
      </c>
      <c r="K953" s="1">
        <v>2008.0</v>
      </c>
      <c r="L953" s="1">
        <v>2008.0</v>
      </c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 t="s">
        <v>323</v>
      </c>
      <c r="Y953" s="1" t="s">
        <v>4001</v>
      </c>
    </row>
    <row r="954">
      <c r="A954" s="1">
        <v>865484.0</v>
      </c>
      <c r="B954" s="1" t="s">
        <v>4002</v>
      </c>
      <c r="C954" s="1" t="s">
        <v>366</v>
      </c>
      <c r="D954" s="1" t="s">
        <v>367</v>
      </c>
      <c r="E954" s="1" t="s">
        <v>4003</v>
      </c>
      <c r="F954" s="2" t="str">
        <f>"0807575860"</f>
        <v>0807575860</v>
      </c>
      <c r="G954" s="2" t="str">
        <f>"9780807575864"</f>
        <v>9780807575864</v>
      </c>
      <c r="H954" s="1" t="s">
        <v>4004</v>
      </c>
      <c r="I954" s="1" t="s">
        <v>36</v>
      </c>
      <c r="J954" s="1">
        <v>32.0</v>
      </c>
      <c r="K954" s="1">
        <v>1995.0</v>
      </c>
      <c r="L954" s="1">
        <v>1995.0</v>
      </c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 t="s">
        <v>4005</v>
      </c>
      <c r="Y954" s="1" t="s">
        <v>4006</v>
      </c>
    </row>
    <row r="955">
      <c r="A955" s="1">
        <v>1.7607694E7</v>
      </c>
      <c r="B955" s="1" t="s">
        <v>4007</v>
      </c>
      <c r="C955" s="1" t="s">
        <v>4008</v>
      </c>
      <c r="D955" s="1" t="s">
        <v>4009</v>
      </c>
      <c r="F955" s="2" t="str">
        <f>"0007249160"</f>
        <v>0007249160</v>
      </c>
      <c r="G955" s="2" t="str">
        <f>"9780007249169"</f>
        <v>9780007249169</v>
      </c>
      <c r="H955" s="1" t="s">
        <v>4010</v>
      </c>
      <c r="I955" s="1" t="s">
        <v>36</v>
      </c>
      <c r="J955" s="1">
        <v>32.0</v>
      </c>
      <c r="K955" s="1">
        <v>2007.0</v>
      </c>
      <c r="L955" s="1">
        <v>2007.0</v>
      </c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 t="s">
        <v>83</v>
      </c>
      <c r="Y955" s="1" t="s">
        <v>4011</v>
      </c>
    </row>
    <row r="956">
      <c r="A956" s="1">
        <v>1.1841684E7</v>
      </c>
      <c r="B956" s="1" t="s">
        <v>4012</v>
      </c>
      <c r="C956" s="1" t="s">
        <v>4013</v>
      </c>
      <c r="D956" s="1" t="s">
        <v>4014</v>
      </c>
      <c r="E956" s="1" t="s">
        <v>4015</v>
      </c>
      <c r="F956" s="2" t="str">
        <f>"0061978604"</f>
        <v>0061978604</v>
      </c>
      <c r="G956" s="2" t="str">
        <f>"9780061978609"</f>
        <v>9780061978609</v>
      </c>
      <c r="H956" s="1" t="s">
        <v>290</v>
      </c>
      <c r="I956" s="1" t="s">
        <v>31</v>
      </c>
      <c r="J956" s="1">
        <v>32.0</v>
      </c>
      <c r="K956" s="1">
        <v>2012.0</v>
      </c>
      <c r="L956" s="1">
        <v>2012.0</v>
      </c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 t="s">
        <v>1422</v>
      </c>
      <c r="Y956" s="1" t="s">
        <v>4016</v>
      </c>
    </row>
    <row r="957">
      <c r="A957" s="1">
        <v>3.6591189E7</v>
      </c>
      <c r="B957" s="1" t="s">
        <v>4017</v>
      </c>
      <c r="C957" s="1" t="s">
        <v>4018</v>
      </c>
      <c r="D957" s="1" t="s">
        <v>4019</v>
      </c>
      <c r="F957" s="2" t="str">
        <f>"9873795251"</f>
        <v>9873795251</v>
      </c>
      <c r="G957" s="2" t="str">
        <f>"9789873795251"</f>
        <v>9789873795251</v>
      </c>
      <c r="H957" s="1" t="s">
        <v>4020</v>
      </c>
      <c r="I957" s="1" t="s">
        <v>31</v>
      </c>
      <c r="J957" s="1">
        <v>32.0</v>
      </c>
      <c r="K957" s="1">
        <v>2018.0</v>
      </c>
      <c r="L957" s="1">
        <v>2017.0</v>
      </c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 t="s">
        <v>109</v>
      </c>
      <c r="Y957" s="1" t="s">
        <v>4021</v>
      </c>
    </row>
    <row r="958">
      <c r="A958" s="1">
        <v>2.6106888E7</v>
      </c>
      <c r="B958" s="1" t="s">
        <v>4022</v>
      </c>
      <c r="C958" s="1" t="s">
        <v>373</v>
      </c>
      <c r="D958" s="1" t="s">
        <v>374</v>
      </c>
      <c r="E958" s="1" t="s">
        <v>4023</v>
      </c>
      <c r="F958" s="2" t="str">
        <f>"8494171674"</f>
        <v>8494171674</v>
      </c>
      <c r="G958" s="2" t="str">
        <f>"9788494171673"</f>
        <v>9788494171673</v>
      </c>
      <c r="H958" s="1" t="s">
        <v>2141</v>
      </c>
      <c r="I958" s="1" t="s">
        <v>31</v>
      </c>
      <c r="J958" s="1">
        <v>32.0</v>
      </c>
      <c r="K958" s="1">
        <v>2014.0</v>
      </c>
      <c r="L958" s="1">
        <v>1948.0</v>
      </c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 t="s">
        <v>4024</v>
      </c>
      <c r="Y958" s="1" t="s">
        <v>4025</v>
      </c>
    </row>
    <row r="959">
      <c r="A959" s="1">
        <v>197442.0</v>
      </c>
      <c r="B959" s="1" t="s">
        <v>4026</v>
      </c>
      <c r="C959" s="1" t="s">
        <v>373</v>
      </c>
      <c r="D959" s="1" t="s">
        <v>374</v>
      </c>
      <c r="F959" s="2" t="str">
        <f>"0394809149"</f>
        <v>0394809149</v>
      </c>
      <c r="G959" s="2" t="str">
        <f>"9780394809144"</f>
        <v>9780394809144</v>
      </c>
      <c r="H959" s="1" t="s">
        <v>3211</v>
      </c>
      <c r="I959" s="1" t="s">
        <v>31</v>
      </c>
      <c r="J959" s="1">
        <v>32.0</v>
      </c>
      <c r="K959" s="1">
        <v>1969.0</v>
      </c>
      <c r="L959" s="1">
        <v>1969.0</v>
      </c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 t="s">
        <v>4027</v>
      </c>
      <c r="Y959" s="1" t="s">
        <v>4028</v>
      </c>
    </row>
    <row r="960">
      <c r="A960" s="1">
        <v>97636.0</v>
      </c>
      <c r="B960" s="1" t="s">
        <v>4029</v>
      </c>
      <c r="C960" s="1" t="s">
        <v>373</v>
      </c>
      <c r="D960" s="1" t="s">
        <v>374</v>
      </c>
      <c r="F960" s="2" t="str">
        <f>"0676873766"</f>
        <v>0676873766</v>
      </c>
      <c r="G960" s="2" t="str">
        <f>"9780676873764"</f>
        <v>9780676873764</v>
      </c>
      <c r="H960" s="1" t="s">
        <v>4030</v>
      </c>
      <c r="I960" s="1" t="s">
        <v>36</v>
      </c>
      <c r="J960" s="1">
        <v>32.0</v>
      </c>
      <c r="K960" s="1">
        <v>1989.0</v>
      </c>
      <c r="L960" s="1">
        <v>1949.0</v>
      </c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 t="s">
        <v>1686</v>
      </c>
      <c r="Y960" s="1" t="s">
        <v>4031</v>
      </c>
    </row>
    <row r="961">
      <c r="A961" s="1">
        <v>966426.0</v>
      </c>
      <c r="B961" s="1" t="s">
        <v>4032</v>
      </c>
      <c r="C961" s="1" t="s">
        <v>4033</v>
      </c>
      <c r="D961" s="1" t="s">
        <v>4034</v>
      </c>
      <c r="F961" s="2" t="str">
        <f>"0892391847"</f>
        <v>0892391847</v>
      </c>
      <c r="G961" s="2" t="str">
        <f>"9780892391844"</f>
        <v>9780892391844</v>
      </c>
      <c r="H961" s="1" t="s">
        <v>2515</v>
      </c>
      <c r="I961" s="1" t="s">
        <v>36</v>
      </c>
      <c r="J961" s="1">
        <v>32.0</v>
      </c>
      <c r="K961" s="1">
        <v>2014.0</v>
      </c>
      <c r="L961" s="1">
        <v>1993.0</v>
      </c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 t="s">
        <v>742</v>
      </c>
      <c r="Y961" s="1" t="s">
        <v>4035</v>
      </c>
    </row>
    <row r="962">
      <c r="A962" s="1">
        <v>3963722.0</v>
      </c>
      <c r="B962" s="1" t="s">
        <v>4036</v>
      </c>
      <c r="C962" s="1" t="s">
        <v>4037</v>
      </c>
      <c r="D962" s="1" t="s">
        <v>4038</v>
      </c>
      <c r="E962" s="1" t="s">
        <v>4039</v>
      </c>
      <c r="F962" s="2" t="str">
        <f>"0881069833"</f>
        <v>0881069833</v>
      </c>
      <c r="G962" s="2" t="str">
        <f>"9780881069839"</f>
        <v>9780881069839</v>
      </c>
      <c r="H962" s="1" t="s">
        <v>4040</v>
      </c>
      <c r="I962" s="1" t="s">
        <v>31</v>
      </c>
      <c r="J962" s="1">
        <v>32.0</v>
      </c>
      <c r="K962" s="1">
        <v>1998.0</v>
      </c>
      <c r="L962" s="1">
        <v>1996.0</v>
      </c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 t="s">
        <v>131</v>
      </c>
      <c r="Y962" s="1" t="s">
        <v>4041</v>
      </c>
    </row>
    <row r="963">
      <c r="A963" s="1">
        <v>1720861.0</v>
      </c>
      <c r="B963" s="1" t="s">
        <v>4042</v>
      </c>
      <c r="C963" s="1" t="s">
        <v>4043</v>
      </c>
      <c r="D963" s="1" t="s">
        <v>4044</v>
      </c>
      <c r="F963" s="2" t="str">
        <f>"0789454211"</f>
        <v>0789454211</v>
      </c>
      <c r="G963" s="2" t="str">
        <f>"9780789454218"</f>
        <v>9780789454218</v>
      </c>
      <c r="H963" s="1" t="s">
        <v>1089</v>
      </c>
      <c r="I963" s="1" t="s">
        <v>36</v>
      </c>
      <c r="J963" s="1">
        <v>32.0</v>
      </c>
      <c r="K963" s="1">
        <v>2000.0</v>
      </c>
      <c r="L963" s="1">
        <v>2000.0</v>
      </c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 t="s">
        <v>1117</v>
      </c>
      <c r="Y963" s="1" t="s">
        <v>4045</v>
      </c>
    </row>
    <row r="964">
      <c r="A964" s="1">
        <v>3250424.0</v>
      </c>
      <c r="B964" s="1" t="s">
        <v>4046</v>
      </c>
      <c r="C964" s="1" t="s">
        <v>387</v>
      </c>
      <c r="D964" s="1" t="s">
        <v>388</v>
      </c>
      <c r="F964" s="2" t="str">
        <f>"0803703112"</f>
        <v>0803703112</v>
      </c>
      <c r="G964" s="2" t="str">
        <f>"9780803703117"</f>
        <v>9780803703117</v>
      </c>
      <c r="H964" s="1" t="s">
        <v>2869</v>
      </c>
      <c r="I964" s="1" t="s">
        <v>31</v>
      </c>
      <c r="J964" s="1">
        <v>32.0</v>
      </c>
      <c r="K964" s="1">
        <v>1986.0</v>
      </c>
      <c r="L964" s="1">
        <v>1986.0</v>
      </c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 t="s">
        <v>3263</v>
      </c>
      <c r="Y964" s="1" t="s">
        <v>4047</v>
      </c>
    </row>
    <row r="965">
      <c r="A965" s="1">
        <v>1.801268E7</v>
      </c>
      <c r="B965" s="1" t="s">
        <v>4048</v>
      </c>
      <c r="C965" s="1" t="s">
        <v>4049</v>
      </c>
      <c r="D965" s="1" t="s">
        <v>4050</v>
      </c>
      <c r="E965" s="1" t="s">
        <v>4051</v>
      </c>
      <c r="F965" s="2" t="str">
        <f>"0670014281"</f>
        <v>0670014281</v>
      </c>
      <c r="G965" s="2" t="str">
        <f>"9780670014286"</f>
        <v>9780670014286</v>
      </c>
      <c r="H965" s="1" t="s">
        <v>2746</v>
      </c>
      <c r="I965" s="1" t="s">
        <v>31</v>
      </c>
      <c r="J965" s="1">
        <v>32.0</v>
      </c>
      <c r="K965" s="1">
        <v>2014.0</v>
      </c>
      <c r="L965" s="1">
        <v>2014.0</v>
      </c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 t="s">
        <v>1225</v>
      </c>
      <c r="Y965" s="1" t="s">
        <v>4052</v>
      </c>
    </row>
    <row r="966">
      <c r="A966" s="1">
        <v>2.2929525E7</v>
      </c>
      <c r="B966" s="1" t="s">
        <v>4053</v>
      </c>
      <c r="C966" s="1" t="s">
        <v>1641</v>
      </c>
      <c r="D966" s="1" t="s">
        <v>1642</v>
      </c>
      <c r="F966" s="2" t="str">
        <f>"161963337X"</f>
        <v>161963337X</v>
      </c>
      <c r="G966" s="2" t="str">
        <f>"9781619633377"</f>
        <v>9781619633377</v>
      </c>
      <c r="H966" s="1" t="s">
        <v>4054</v>
      </c>
      <c r="I966" s="1" t="s">
        <v>31</v>
      </c>
      <c r="J966" s="1">
        <v>32.0</v>
      </c>
      <c r="K966" s="1">
        <v>2015.0</v>
      </c>
      <c r="L966" s="1">
        <v>2015.0</v>
      </c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 t="s">
        <v>863</v>
      </c>
      <c r="Y966" s="1" t="s">
        <v>4055</v>
      </c>
    </row>
    <row r="967">
      <c r="A967" s="1">
        <v>1.8668052E7</v>
      </c>
      <c r="B967" s="1" t="s">
        <v>4056</v>
      </c>
      <c r="C967" s="1" t="s">
        <v>3500</v>
      </c>
      <c r="D967" s="1" t="s">
        <v>4057</v>
      </c>
      <c r="F967" s="2" t="str">
        <f>"0448481316"</f>
        <v>0448481316</v>
      </c>
      <c r="G967" s="2" t="str">
        <f>"9780448481319"</f>
        <v>9780448481319</v>
      </c>
      <c r="H967" s="1" t="s">
        <v>2351</v>
      </c>
      <c r="I967" s="1" t="s">
        <v>31</v>
      </c>
      <c r="J967" s="1">
        <v>32.0</v>
      </c>
      <c r="K967" s="1">
        <v>2014.0</v>
      </c>
      <c r="L967" s="1">
        <v>2014.0</v>
      </c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 t="s">
        <v>1372</v>
      </c>
      <c r="Y967" s="1" t="s">
        <v>4058</v>
      </c>
    </row>
    <row r="968">
      <c r="A968" s="1">
        <v>3.7825405E7</v>
      </c>
      <c r="B968" s="1" t="s">
        <v>4059</v>
      </c>
      <c r="C968" s="1" t="s">
        <v>4060</v>
      </c>
      <c r="D968" s="1" t="s">
        <v>4061</v>
      </c>
      <c r="F968" s="2" t="str">
        <f>"1338177362"</f>
        <v>1338177362</v>
      </c>
      <c r="G968" s="2" t="str">
        <f>"9781338177367"</f>
        <v>9781338177367</v>
      </c>
      <c r="H968" s="1" t="s">
        <v>857</v>
      </c>
      <c r="I968" s="1" t="s">
        <v>31</v>
      </c>
      <c r="J968" s="1">
        <v>32.0</v>
      </c>
      <c r="K968" s="1">
        <v>2018.0</v>
      </c>
      <c r="L968" s="1">
        <v>2018.0</v>
      </c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 t="s">
        <v>180</v>
      </c>
      <c r="Y968" s="1" t="s">
        <v>4062</v>
      </c>
    </row>
    <row r="969">
      <c r="A969" s="1">
        <v>1027293.0</v>
      </c>
      <c r="B969" s="1" t="s">
        <v>4063</v>
      </c>
      <c r="C969" s="1" t="s">
        <v>4064</v>
      </c>
      <c r="D969" s="1" t="s">
        <v>4065</v>
      </c>
      <c r="E969" s="1" t="s">
        <v>4066</v>
      </c>
      <c r="F969" s="2" t="str">
        <f>"0399240373"</f>
        <v>0399240373</v>
      </c>
      <c r="G969" s="2" t="str">
        <f>"9780399240379"</f>
        <v>9780399240379</v>
      </c>
      <c r="H969" s="1" t="s">
        <v>2253</v>
      </c>
      <c r="I969" s="1" t="s">
        <v>31</v>
      </c>
      <c r="J969" s="1">
        <v>32.0</v>
      </c>
      <c r="K969" s="1">
        <v>2005.0</v>
      </c>
      <c r="L969" s="1">
        <v>2005.0</v>
      </c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 t="s">
        <v>412</v>
      </c>
      <c r="Y969" s="1" t="s">
        <v>4067</v>
      </c>
    </row>
    <row r="970">
      <c r="A970" s="1">
        <v>5968467.0</v>
      </c>
      <c r="B970" s="1" t="s">
        <v>4068</v>
      </c>
      <c r="C970" s="1" t="s">
        <v>4069</v>
      </c>
      <c r="D970" s="1" t="s">
        <v>4070</v>
      </c>
      <c r="F970" s="2" t="str">
        <f>"1933693576"</f>
        <v>1933693576</v>
      </c>
      <c r="G970" s="2" t="str">
        <f>"9781933693576"</f>
        <v>9781933693576</v>
      </c>
      <c r="H970" s="1" t="s">
        <v>4071</v>
      </c>
      <c r="I970" s="1" t="s">
        <v>31</v>
      </c>
      <c r="J970" s="1">
        <v>32.0</v>
      </c>
      <c r="K970" s="1">
        <v>2009.0</v>
      </c>
      <c r="L970" s="1">
        <v>2009.0</v>
      </c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 t="s">
        <v>245</v>
      </c>
      <c r="Y970" s="1" t="s">
        <v>4072</v>
      </c>
    </row>
    <row r="971">
      <c r="A971" s="1">
        <v>4.9868503E7</v>
      </c>
      <c r="B971" s="1" t="s">
        <v>4073</v>
      </c>
      <c r="C971" s="1" t="s">
        <v>4074</v>
      </c>
      <c r="D971" s="1" t="s">
        <v>4075</v>
      </c>
      <c r="E971" s="1" t="s">
        <v>4074</v>
      </c>
      <c r="F971" s="2" t="str">
        <f>"1474971350"</f>
        <v>1474971350</v>
      </c>
      <c r="G971" s="2" t="str">
        <f>"9781474971355"</f>
        <v>9781474971355</v>
      </c>
      <c r="H971" s="1" t="s">
        <v>870</v>
      </c>
      <c r="I971" s="1" t="s">
        <v>36</v>
      </c>
      <c r="J971" s="1">
        <v>32.0</v>
      </c>
      <c r="K971" s="1">
        <v>2020.0</v>
      </c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 t="s">
        <v>452</v>
      </c>
      <c r="Y971" s="1" t="s">
        <v>4076</v>
      </c>
    </row>
    <row r="972">
      <c r="A972" s="1">
        <v>281615.0</v>
      </c>
      <c r="B972" s="1" t="s">
        <v>4077</v>
      </c>
      <c r="C972" s="1" t="s">
        <v>4078</v>
      </c>
      <c r="D972" s="1" t="s">
        <v>4079</v>
      </c>
      <c r="E972" s="1" t="s">
        <v>4080</v>
      </c>
      <c r="F972" s="2" t="str">
        <f>"0375832416"</f>
        <v>0375832416</v>
      </c>
      <c r="G972" s="2" t="str">
        <f>"9780375832413"</f>
        <v>9780375832413</v>
      </c>
      <c r="H972" s="1" t="s">
        <v>1565</v>
      </c>
      <c r="I972" s="1" t="s">
        <v>36</v>
      </c>
      <c r="J972" s="1">
        <v>32.0</v>
      </c>
      <c r="K972" s="1">
        <v>2006.0</v>
      </c>
      <c r="L972" s="1">
        <v>1998.0</v>
      </c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 t="s">
        <v>1372</v>
      </c>
      <c r="Y972" s="1" t="s">
        <v>4081</v>
      </c>
    </row>
    <row r="973">
      <c r="A973" s="1">
        <v>1.7140549E7</v>
      </c>
      <c r="B973" s="1" t="s">
        <v>4082</v>
      </c>
      <c r="C973" s="1" t="s">
        <v>4083</v>
      </c>
      <c r="D973" s="1" t="s">
        <v>4084</v>
      </c>
      <c r="E973" s="1" t="s">
        <v>4085</v>
      </c>
      <c r="F973" s="2" t="str">
        <f>"1582464502"</f>
        <v>1582464502</v>
      </c>
      <c r="G973" s="2" t="str">
        <f>"9781582464503"</f>
        <v>9781582464503</v>
      </c>
      <c r="H973" s="1" t="s">
        <v>2061</v>
      </c>
      <c r="I973" s="1" t="s">
        <v>31</v>
      </c>
      <c r="J973" s="1">
        <v>32.0</v>
      </c>
      <c r="K973" s="1">
        <v>2013.0</v>
      </c>
      <c r="L973" s="1">
        <v>2013.0</v>
      </c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 t="s">
        <v>1219</v>
      </c>
      <c r="Y973" s="1" t="s">
        <v>4086</v>
      </c>
    </row>
    <row r="974">
      <c r="A974" s="1">
        <v>1.2492461E7</v>
      </c>
      <c r="B974" s="1" t="s">
        <v>4087</v>
      </c>
      <c r="C974" s="1" t="s">
        <v>4088</v>
      </c>
      <c r="D974" s="1" t="s">
        <v>4089</v>
      </c>
      <c r="E974" s="1" t="s">
        <v>4090</v>
      </c>
      <c r="F974" s="2" t="str">
        <f>"1554981581"</f>
        <v>1554981581</v>
      </c>
      <c r="G974" s="2" t="str">
        <f>"9781554981588"</f>
        <v>9781554981588</v>
      </c>
      <c r="H974" s="1" t="s">
        <v>2427</v>
      </c>
      <c r="I974" s="1" t="s">
        <v>31</v>
      </c>
      <c r="J974" s="1">
        <v>32.0</v>
      </c>
      <c r="K974" s="1">
        <v>2012.0</v>
      </c>
      <c r="L974" s="1">
        <v>2012.0</v>
      </c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 t="s">
        <v>68</v>
      </c>
      <c r="Y974" s="1" t="s">
        <v>4091</v>
      </c>
    </row>
    <row r="975">
      <c r="A975" s="1">
        <v>1.317003E7</v>
      </c>
      <c r="B975" s="1" t="s">
        <v>4092</v>
      </c>
      <c r="C975" s="1" t="s">
        <v>4093</v>
      </c>
      <c r="D975" s="1" t="s">
        <v>4094</v>
      </c>
      <c r="E975" s="1" t="s">
        <v>4095</v>
      </c>
      <c r="F975" s="2" t="str">
        <f>"1596437642"</f>
        <v>1596437642</v>
      </c>
      <c r="G975" s="2" t="str">
        <f>"9781596437647"</f>
        <v>9781596437647</v>
      </c>
      <c r="H975" s="1" t="s">
        <v>4096</v>
      </c>
      <c r="I975" s="1" t="s">
        <v>31</v>
      </c>
      <c r="J975" s="1">
        <v>32.0</v>
      </c>
      <c r="K975" s="1">
        <v>2012.0</v>
      </c>
      <c r="L975" s="1">
        <v>2012.0</v>
      </c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 t="s">
        <v>841</v>
      </c>
      <c r="Y975" s="1" t="s">
        <v>4097</v>
      </c>
    </row>
    <row r="976">
      <c r="A976" s="1">
        <v>8301964.0</v>
      </c>
      <c r="B976" s="1" t="s">
        <v>4098</v>
      </c>
      <c r="C976" s="1" t="s">
        <v>4099</v>
      </c>
      <c r="D976" s="1" t="s">
        <v>4100</v>
      </c>
      <c r="E976" s="1" t="s">
        <v>4101</v>
      </c>
      <c r="F976" s="2" t="str">
        <f>"1553377362"</f>
        <v>1553377362</v>
      </c>
      <c r="G976" s="2" t="str">
        <f>"9781553377368"</f>
        <v>9781553377368</v>
      </c>
      <c r="H976" s="1" t="s">
        <v>3071</v>
      </c>
      <c r="I976" s="1" t="s">
        <v>31</v>
      </c>
      <c r="J976" s="1">
        <v>32.0</v>
      </c>
      <c r="K976" s="1">
        <v>2010.0</v>
      </c>
      <c r="L976" s="1">
        <v>2010.0</v>
      </c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 t="s">
        <v>1084</v>
      </c>
      <c r="Y976" s="1" t="s">
        <v>4102</v>
      </c>
    </row>
    <row r="977">
      <c r="A977" s="1">
        <v>821825.0</v>
      </c>
      <c r="B977" s="1" t="s">
        <v>4103</v>
      </c>
      <c r="C977" s="1" t="s">
        <v>4104</v>
      </c>
      <c r="D977" s="1" t="s">
        <v>4105</v>
      </c>
      <c r="E977" s="1" t="s">
        <v>4106</v>
      </c>
      <c r="F977" s="2" t="str">
        <f>"0064451267"</f>
        <v>0064451267</v>
      </c>
      <c r="G977" s="2" t="str">
        <f>"9780064451260"</f>
        <v>9780064451260</v>
      </c>
      <c r="H977" s="1" t="s">
        <v>4107</v>
      </c>
      <c r="I977" s="1" t="s">
        <v>36</v>
      </c>
      <c r="J977" s="1">
        <v>32.0</v>
      </c>
      <c r="K977" s="1">
        <v>1994.0</v>
      </c>
      <c r="L977" s="1">
        <v>1994.0</v>
      </c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 t="s">
        <v>116</v>
      </c>
      <c r="Y977" s="1" t="s">
        <v>4108</v>
      </c>
    </row>
    <row r="978">
      <c r="A978" s="1">
        <v>2.4727087E7</v>
      </c>
      <c r="B978" s="1" t="s">
        <v>4109</v>
      </c>
      <c r="C978" s="1" t="s">
        <v>4110</v>
      </c>
      <c r="D978" s="1" t="s">
        <v>4111</v>
      </c>
      <c r="E978" s="1" t="s">
        <v>4112</v>
      </c>
      <c r="F978" s="2" t="str">
        <f>"0763670022"</f>
        <v>0763670022</v>
      </c>
      <c r="G978" s="2" t="str">
        <f>"9780763670023"</f>
        <v>9780763670023</v>
      </c>
      <c r="H978" s="1" t="s">
        <v>945</v>
      </c>
      <c r="I978" s="1" t="s">
        <v>31</v>
      </c>
      <c r="J978" s="1">
        <v>32.0</v>
      </c>
      <c r="K978" s="1">
        <v>2015.0</v>
      </c>
      <c r="L978" s="1">
        <v>2015.0</v>
      </c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 t="s">
        <v>2173</v>
      </c>
      <c r="Y978" s="1" t="s">
        <v>4113</v>
      </c>
    </row>
    <row r="979">
      <c r="A979" s="1">
        <v>885517.0</v>
      </c>
      <c r="B979" s="1" t="s">
        <v>4114</v>
      </c>
      <c r="C979" s="1" t="s">
        <v>4115</v>
      </c>
      <c r="D979" s="1" t="s">
        <v>4116</v>
      </c>
      <c r="E979" s="1" t="s">
        <v>4117</v>
      </c>
      <c r="F979" s="2" t="str">
        <f>"0590464752"</f>
        <v>0590464752</v>
      </c>
      <c r="G979" s="2" t="str">
        <f>"9780590464758"</f>
        <v>9780590464758</v>
      </c>
      <c r="H979" s="1" t="s">
        <v>504</v>
      </c>
      <c r="I979" s="1" t="s">
        <v>36</v>
      </c>
      <c r="J979" s="1">
        <v>32.0</v>
      </c>
      <c r="K979" s="1">
        <v>1993.0</v>
      </c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 t="s">
        <v>92</v>
      </c>
      <c r="Y979" s="1" t="s">
        <v>4118</v>
      </c>
    </row>
    <row r="980">
      <c r="A980" s="1">
        <v>1.2140536E7</v>
      </c>
      <c r="B980" s="1" t="s">
        <v>4119</v>
      </c>
      <c r="C980" s="1" t="s">
        <v>4120</v>
      </c>
      <c r="D980" s="1" t="s">
        <v>4121</v>
      </c>
      <c r="F980" s="2" t="str">
        <f>"1426308531"</f>
        <v>1426308531</v>
      </c>
      <c r="G980" s="2" t="str">
        <f>"9781426308536"</f>
        <v>9781426308536</v>
      </c>
      <c r="H980" s="1" t="s">
        <v>1490</v>
      </c>
      <c r="I980" s="1" t="s">
        <v>36</v>
      </c>
      <c r="J980" s="1">
        <v>32.0</v>
      </c>
      <c r="K980" s="1">
        <v>2011.0</v>
      </c>
      <c r="L980" s="1">
        <v>2011.0</v>
      </c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 t="s">
        <v>83</v>
      </c>
      <c r="Y980" s="1" t="s">
        <v>4122</v>
      </c>
    </row>
    <row r="981">
      <c r="A981" s="1">
        <v>1.80076E7</v>
      </c>
      <c r="B981" s="1" t="s">
        <v>4123</v>
      </c>
      <c r="C981" s="1" t="s">
        <v>4120</v>
      </c>
      <c r="D981" s="1" t="s">
        <v>4121</v>
      </c>
      <c r="F981" s="2" t="str">
        <f>"1426314663"</f>
        <v>1426314663</v>
      </c>
      <c r="G981" s="2" t="str">
        <f>"9781426314667"</f>
        <v>9781426314667</v>
      </c>
      <c r="H981" s="1" t="s">
        <v>1490</v>
      </c>
      <c r="I981" s="1" t="s">
        <v>36</v>
      </c>
      <c r="J981" s="1">
        <v>32.0</v>
      </c>
      <c r="K981" s="1">
        <v>2014.0</v>
      </c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 t="s">
        <v>1024</v>
      </c>
      <c r="Y981" s="1" t="s">
        <v>4124</v>
      </c>
    </row>
    <row r="982">
      <c r="A982" s="1">
        <v>883343.0</v>
      </c>
      <c r="B982" s="1" t="s">
        <v>4125</v>
      </c>
      <c r="C982" s="1" t="s">
        <v>4126</v>
      </c>
      <c r="D982" s="1" t="s">
        <v>4127</v>
      </c>
      <c r="F982" s="2" t="str">
        <f>"0803705913"</f>
        <v>0803705913</v>
      </c>
      <c r="G982" s="2" t="str">
        <f>"9780803705913"</f>
        <v>9780803705913</v>
      </c>
      <c r="H982" s="1" t="s">
        <v>2869</v>
      </c>
      <c r="I982" s="1" t="s">
        <v>31</v>
      </c>
      <c r="J982" s="1">
        <v>32.0</v>
      </c>
      <c r="K982" s="1">
        <v>1989.0</v>
      </c>
      <c r="L982" s="1">
        <v>1984.0</v>
      </c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 t="s">
        <v>212</v>
      </c>
      <c r="Y982" s="1" t="s">
        <v>4128</v>
      </c>
    </row>
    <row r="983">
      <c r="A983" s="1">
        <v>857556.0</v>
      </c>
      <c r="B983" s="1" t="s">
        <v>4129</v>
      </c>
      <c r="C983" s="1" t="s">
        <v>4126</v>
      </c>
      <c r="D983" s="1" t="s">
        <v>4127</v>
      </c>
      <c r="E983" s="1" t="s">
        <v>4130</v>
      </c>
      <c r="F983" s="2" t="str">
        <f>"0803705425"</f>
        <v>0803705425</v>
      </c>
      <c r="G983" s="2" t="str">
        <f>"9780803705425"</f>
        <v>9780803705425</v>
      </c>
      <c r="H983" s="1" t="s">
        <v>2600</v>
      </c>
      <c r="I983" s="1" t="s">
        <v>31</v>
      </c>
      <c r="J983" s="1">
        <v>32.0</v>
      </c>
      <c r="K983" s="1">
        <v>1988.0</v>
      </c>
      <c r="L983" s="1">
        <v>1988.0</v>
      </c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 t="s">
        <v>212</v>
      </c>
      <c r="Y983" s="1" t="s">
        <v>4131</v>
      </c>
    </row>
    <row r="984">
      <c r="A984" s="1">
        <v>3.499645E7</v>
      </c>
      <c r="B984" s="1" t="s">
        <v>4132</v>
      </c>
      <c r="C984" s="1" t="s">
        <v>4133</v>
      </c>
      <c r="D984" s="1" t="s">
        <v>4134</v>
      </c>
      <c r="F984" s="2" t="str">
        <f>"0736436839"</f>
        <v>0736436839</v>
      </c>
      <c r="G984" s="2" t="str">
        <f>"9780736436830"</f>
        <v>9780736436830</v>
      </c>
      <c r="H984" s="1" t="s">
        <v>1565</v>
      </c>
      <c r="I984" s="1" t="s">
        <v>238</v>
      </c>
      <c r="J984" s="1">
        <v>32.0</v>
      </c>
      <c r="K984" s="1">
        <v>2017.0</v>
      </c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 t="s">
        <v>1179</v>
      </c>
      <c r="Y984" s="1" t="s">
        <v>4135</v>
      </c>
    </row>
    <row r="985">
      <c r="A985" s="1">
        <v>3.4051447E7</v>
      </c>
      <c r="B985" s="1" t="s">
        <v>4136</v>
      </c>
      <c r="C985" s="1" t="s">
        <v>4133</v>
      </c>
      <c r="D985" s="1" t="s">
        <v>4134</v>
      </c>
      <c r="E985" s="1" t="s">
        <v>4137</v>
      </c>
      <c r="F985" s="2" t="str">
        <f>"0606400575"</f>
        <v>0606400575</v>
      </c>
      <c r="G985" s="2" t="str">
        <f>"9780606400572"</f>
        <v>9780606400572</v>
      </c>
      <c r="H985" s="1" t="s">
        <v>2319</v>
      </c>
      <c r="I985" s="1" t="s">
        <v>91</v>
      </c>
      <c r="J985" s="1">
        <v>32.0</v>
      </c>
      <c r="K985" s="1">
        <v>2017.0</v>
      </c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 t="s">
        <v>83</v>
      </c>
      <c r="Y985" s="1" t="s">
        <v>4138</v>
      </c>
    </row>
    <row r="986">
      <c r="A986" s="1">
        <v>734363.0</v>
      </c>
      <c r="B986" s="1" t="s">
        <v>4139</v>
      </c>
      <c r="C986" s="1" t="s">
        <v>4140</v>
      </c>
      <c r="D986" s="1" t="s">
        <v>4141</v>
      </c>
      <c r="E986" s="1" t="s">
        <v>4126</v>
      </c>
      <c r="F986" s="2" t="str">
        <f>"0374456119"</f>
        <v>0374456119</v>
      </c>
      <c r="G986" s="2" t="str">
        <f>"9780374456115"</f>
        <v>9780374456115</v>
      </c>
      <c r="H986" s="1" t="s">
        <v>2211</v>
      </c>
      <c r="I986" s="1" t="s">
        <v>36</v>
      </c>
      <c r="J986" s="1">
        <v>32.0</v>
      </c>
      <c r="K986" s="1">
        <v>1993.0</v>
      </c>
      <c r="L986" s="1">
        <v>1805.0</v>
      </c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 t="s">
        <v>146</v>
      </c>
      <c r="Y986" s="1" t="s">
        <v>4142</v>
      </c>
    </row>
    <row r="987">
      <c r="A987" s="1">
        <v>1.319543E7</v>
      </c>
      <c r="B987" s="1" t="s">
        <v>4143</v>
      </c>
      <c r="C987" s="1" t="s">
        <v>2329</v>
      </c>
      <c r="D987" s="1" t="s">
        <v>4144</v>
      </c>
      <c r="E987" s="1" t="s">
        <v>2327</v>
      </c>
      <c r="F987" s="2" t="str">
        <f>"0545415845"</f>
        <v>0545415845</v>
      </c>
      <c r="G987" s="2" t="str">
        <f>"9780545415842"</f>
        <v>9780545415842</v>
      </c>
      <c r="H987" s="1" t="s">
        <v>86</v>
      </c>
      <c r="I987" s="1" t="s">
        <v>36</v>
      </c>
      <c r="J987" s="1">
        <v>32.0</v>
      </c>
      <c r="K987" s="1">
        <v>2012.0</v>
      </c>
      <c r="L987" s="1">
        <v>2012.0</v>
      </c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 t="s">
        <v>452</v>
      </c>
      <c r="Y987" s="1" t="s">
        <v>4145</v>
      </c>
    </row>
    <row r="988">
      <c r="A988" s="1">
        <v>1.221684E7</v>
      </c>
      <c r="B988" s="1" t="s">
        <v>4146</v>
      </c>
      <c r="C988" s="1" t="s">
        <v>2329</v>
      </c>
      <c r="D988" s="1" t="s">
        <v>4144</v>
      </c>
      <c r="E988" s="1" t="s">
        <v>2327</v>
      </c>
      <c r="F988" s="2" t="str">
        <f>"0545415837"</f>
        <v>0545415837</v>
      </c>
      <c r="G988" s="2" t="str">
        <f>"9780545415835"</f>
        <v>9780545415835</v>
      </c>
      <c r="H988" s="1" t="s">
        <v>86</v>
      </c>
      <c r="I988" s="1" t="s">
        <v>36</v>
      </c>
      <c r="J988" s="1">
        <v>32.0</v>
      </c>
      <c r="K988" s="1">
        <v>2012.0</v>
      </c>
      <c r="L988" s="1">
        <v>2012.0</v>
      </c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 t="s">
        <v>1024</v>
      </c>
      <c r="Y988" s="1" t="s">
        <v>4147</v>
      </c>
    </row>
    <row r="989">
      <c r="A989" s="1">
        <v>342550.0</v>
      </c>
      <c r="B989" s="1" t="s">
        <v>4148</v>
      </c>
      <c r="C989" s="1" t="s">
        <v>2329</v>
      </c>
      <c r="D989" s="1" t="s">
        <v>4144</v>
      </c>
      <c r="E989" s="1" t="s">
        <v>2327</v>
      </c>
      <c r="F989" s="2" t="str">
        <f>"0439524717"</f>
        <v>0439524717</v>
      </c>
      <c r="G989" s="2" t="str">
        <f>"9780439524711"</f>
        <v>9780439524711</v>
      </c>
      <c r="H989" s="1" t="s">
        <v>86</v>
      </c>
      <c r="I989" s="1" t="s">
        <v>36</v>
      </c>
      <c r="J989" s="1">
        <v>32.0</v>
      </c>
      <c r="K989" s="1">
        <v>2003.0</v>
      </c>
      <c r="L989" s="1">
        <v>2003.0</v>
      </c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 t="s">
        <v>1024</v>
      </c>
      <c r="Y989" s="1" t="s">
        <v>4149</v>
      </c>
    </row>
    <row r="990">
      <c r="A990" s="1">
        <v>2508599.0</v>
      </c>
      <c r="B990" s="1" t="s">
        <v>4150</v>
      </c>
      <c r="C990" s="1" t="s">
        <v>4151</v>
      </c>
      <c r="D990" s="1" t="s">
        <v>4152</v>
      </c>
      <c r="E990" s="1" t="s">
        <v>3069</v>
      </c>
      <c r="F990" s="2" t="str">
        <f>"1553377591"</f>
        <v>1553377591</v>
      </c>
      <c r="G990" s="2" t="str">
        <f>"9781553377597"</f>
        <v>9781553377597</v>
      </c>
      <c r="H990" s="1" t="s">
        <v>3071</v>
      </c>
      <c r="I990" s="1" t="s">
        <v>36</v>
      </c>
      <c r="J990" s="1">
        <v>32.0</v>
      </c>
      <c r="K990" s="1">
        <v>2005.0</v>
      </c>
      <c r="L990" s="1">
        <v>2005.0</v>
      </c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 t="s">
        <v>1433</v>
      </c>
      <c r="Y990" s="1" t="s">
        <v>4153</v>
      </c>
    </row>
    <row r="991">
      <c r="A991" s="1">
        <v>1.5529872E7</v>
      </c>
      <c r="B991" s="1" t="s">
        <v>4154</v>
      </c>
      <c r="C991" s="1" t="s">
        <v>4155</v>
      </c>
      <c r="D991" s="1" t="s">
        <v>4156</v>
      </c>
      <c r="F991" s="2" t="str">
        <f>"1881316343"</f>
        <v>1881316343</v>
      </c>
      <c r="G991" s="2" t="str">
        <f>"9781881316343"</f>
        <v>9781881316343</v>
      </c>
      <c r="H991" s="1" t="s">
        <v>4157</v>
      </c>
      <c r="I991" s="1" t="s">
        <v>36</v>
      </c>
      <c r="J991" s="1">
        <v>32.0</v>
      </c>
      <c r="K991" s="1">
        <v>1997.0</v>
      </c>
      <c r="L991" s="1">
        <v>1997.0</v>
      </c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 t="s">
        <v>742</v>
      </c>
      <c r="Y991" s="1" t="s">
        <v>4158</v>
      </c>
    </row>
    <row r="992">
      <c r="A992" s="1">
        <v>1132614.0</v>
      </c>
      <c r="B992" s="1" t="s">
        <v>4159</v>
      </c>
      <c r="C992" s="1" t="s">
        <v>4160</v>
      </c>
      <c r="D992" s="1" t="s">
        <v>4161</v>
      </c>
      <c r="E992" s="1" t="s">
        <v>4162</v>
      </c>
      <c r="F992" s="2" t="str">
        <f>"1557091390"</f>
        <v>1557091390</v>
      </c>
      <c r="G992" s="2" t="str">
        <f>"9781557091390"</f>
        <v>9781557091390</v>
      </c>
      <c r="H992" s="1" t="s">
        <v>4163</v>
      </c>
      <c r="I992" s="1" t="s">
        <v>31</v>
      </c>
      <c r="J992" s="1">
        <v>32.0</v>
      </c>
      <c r="K992" s="1">
        <v>1990.0</v>
      </c>
      <c r="L992" s="1">
        <v>1939.0</v>
      </c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 t="s">
        <v>863</v>
      </c>
      <c r="Y992" s="1" t="s">
        <v>4164</v>
      </c>
    </row>
    <row r="993">
      <c r="A993" s="1">
        <v>1.0307426E7</v>
      </c>
      <c r="B993" s="1" t="s">
        <v>4165</v>
      </c>
      <c r="C993" s="1" t="s">
        <v>415</v>
      </c>
      <c r="D993" s="1" t="s">
        <v>416</v>
      </c>
      <c r="F993" s="2" t="str">
        <f>"0060835648"</f>
        <v>0060835648</v>
      </c>
      <c r="G993" s="2" t="str">
        <f>"9780060835644"</f>
        <v>9780060835644</v>
      </c>
      <c r="H993" s="1" t="s">
        <v>290</v>
      </c>
      <c r="I993" s="1" t="s">
        <v>31</v>
      </c>
      <c r="J993" s="1">
        <v>32.0</v>
      </c>
      <c r="K993" s="1">
        <v>2011.0</v>
      </c>
      <c r="L993" s="1">
        <v>2011.0</v>
      </c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 t="s">
        <v>51</v>
      </c>
      <c r="Y993" s="1" t="s">
        <v>4166</v>
      </c>
    </row>
    <row r="994">
      <c r="A994" s="1">
        <v>4.3208911E7</v>
      </c>
      <c r="B994" s="1" t="s">
        <v>4167</v>
      </c>
      <c r="C994" s="1" t="s">
        <v>415</v>
      </c>
      <c r="D994" s="1" t="s">
        <v>416</v>
      </c>
      <c r="F994" s="2" t="str">
        <f>"0062431471"</f>
        <v>0062431471</v>
      </c>
      <c r="G994" s="2" t="str">
        <f>"9780062431479"</f>
        <v>9780062431479</v>
      </c>
      <c r="H994" s="1" t="s">
        <v>290</v>
      </c>
      <c r="I994" s="1" t="s">
        <v>31</v>
      </c>
      <c r="J994" s="1">
        <v>32.0</v>
      </c>
      <c r="K994" s="1">
        <v>2019.0</v>
      </c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 t="s">
        <v>51</v>
      </c>
      <c r="Y994" s="1" t="s">
        <v>4168</v>
      </c>
    </row>
    <row r="995">
      <c r="A995" s="1">
        <v>3.4848485E7</v>
      </c>
      <c r="B995" s="1" t="s">
        <v>4169</v>
      </c>
      <c r="C995" s="1" t="s">
        <v>415</v>
      </c>
      <c r="D995" s="1" t="s">
        <v>416</v>
      </c>
      <c r="F995" s="2" t="str">
        <f>"0062431455"</f>
        <v>0062431455</v>
      </c>
      <c r="G995" s="2" t="str">
        <f>"9780062431455"</f>
        <v>9780062431455</v>
      </c>
      <c r="H995" s="1" t="s">
        <v>290</v>
      </c>
      <c r="I995" s="1" t="s">
        <v>31</v>
      </c>
      <c r="J995" s="1">
        <v>32.0</v>
      </c>
      <c r="K995" s="1">
        <v>2019.0</v>
      </c>
      <c r="L995" s="1">
        <v>2019.0</v>
      </c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 t="s">
        <v>51</v>
      </c>
      <c r="Y995" s="1" t="s">
        <v>4170</v>
      </c>
    </row>
    <row r="996">
      <c r="A996" s="1">
        <v>6633724.0</v>
      </c>
      <c r="B996" s="1" t="s">
        <v>4171</v>
      </c>
      <c r="C996" s="1" t="s">
        <v>415</v>
      </c>
      <c r="D996" s="1" t="s">
        <v>416</v>
      </c>
      <c r="F996" s="2" t="str">
        <f>"0060835540"</f>
        <v>0060835540</v>
      </c>
      <c r="G996" s="2" t="str">
        <f>"9780060835545"</f>
        <v>9780060835545</v>
      </c>
      <c r="H996" s="1" t="s">
        <v>4172</v>
      </c>
      <c r="I996" s="1" t="s">
        <v>31</v>
      </c>
      <c r="J996" s="1">
        <v>32.0</v>
      </c>
      <c r="K996" s="1">
        <v>2009.0</v>
      </c>
      <c r="L996" s="1">
        <v>2009.0</v>
      </c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 t="s">
        <v>51</v>
      </c>
      <c r="Y996" s="1" t="s">
        <v>4173</v>
      </c>
    </row>
    <row r="997">
      <c r="A997" s="1">
        <v>2.3315643E7</v>
      </c>
      <c r="B997" s="1" t="s">
        <v>4174</v>
      </c>
      <c r="C997" s="1" t="s">
        <v>415</v>
      </c>
      <c r="D997" s="1" t="s">
        <v>416</v>
      </c>
      <c r="F997" s="2" t="str">
        <f>"0061478199"</f>
        <v>0061478199</v>
      </c>
      <c r="G997" s="2" t="str">
        <f>"9780061478192"</f>
        <v>9780061478192</v>
      </c>
      <c r="H997" s="1" t="s">
        <v>290</v>
      </c>
      <c r="I997" s="1" t="s">
        <v>36</v>
      </c>
      <c r="J997" s="1">
        <v>32.0</v>
      </c>
      <c r="K997" s="1">
        <v>2015.0</v>
      </c>
      <c r="L997" s="1">
        <v>2015.0</v>
      </c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 t="s">
        <v>51</v>
      </c>
      <c r="Y997" s="1" t="s">
        <v>4175</v>
      </c>
    </row>
    <row r="998">
      <c r="A998" s="1">
        <v>2.5816375E7</v>
      </c>
      <c r="B998" s="1" t="s">
        <v>4176</v>
      </c>
      <c r="C998" s="1" t="s">
        <v>415</v>
      </c>
      <c r="D998" s="1" t="s">
        <v>416</v>
      </c>
      <c r="F998" s="2" t="str">
        <f>"0061478210"</f>
        <v>0061478210</v>
      </c>
      <c r="G998" s="2" t="str">
        <f>"9780061478215"</f>
        <v>9780061478215</v>
      </c>
      <c r="H998" s="1" t="s">
        <v>290</v>
      </c>
      <c r="I998" s="1" t="s">
        <v>36</v>
      </c>
      <c r="J998" s="1">
        <v>32.0</v>
      </c>
      <c r="K998" s="1">
        <v>2016.0</v>
      </c>
      <c r="L998" s="1">
        <v>2016.0</v>
      </c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 t="s">
        <v>51</v>
      </c>
      <c r="Y998" s="1" t="s">
        <v>4177</v>
      </c>
    </row>
    <row r="999">
      <c r="A999" s="1">
        <v>9269329.0</v>
      </c>
      <c r="B999" s="1" t="s">
        <v>4178</v>
      </c>
      <c r="C999" s="1" t="s">
        <v>415</v>
      </c>
      <c r="D999" s="1" t="s">
        <v>416</v>
      </c>
      <c r="F999" s="2" t="str">
        <f>"0060835591"</f>
        <v>0060835591</v>
      </c>
      <c r="G999" s="2" t="str">
        <f>"9780060835590"</f>
        <v>9780060835590</v>
      </c>
      <c r="H999" s="1" t="s">
        <v>290</v>
      </c>
      <c r="I999" s="1" t="s">
        <v>36</v>
      </c>
      <c r="J999" s="1">
        <v>32.0</v>
      </c>
      <c r="K999" s="1">
        <v>2010.0</v>
      </c>
      <c r="L999" s="1">
        <v>2010.0</v>
      </c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 t="s">
        <v>51</v>
      </c>
      <c r="Y999" s="1" t="s">
        <v>4179</v>
      </c>
    </row>
    <row r="1000">
      <c r="A1000" s="1">
        <v>6177559.0</v>
      </c>
      <c r="B1000" s="1" t="s">
        <v>4180</v>
      </c>
      <c r="C1000" s="1" t="s">
        <v>415</v>
      </c>
      <c r="D1000" s="1" t="s">
        <v>416</v>
      </c>
      <c r="F1000" s="2" t="str">
        <f>"0060835494"</f>
        <v>0060835494</v>
      </c>
      <c r="G1000" s="2" t="str">
        <f>"9780060835491"</f>
        <v>9780060835491</v>
      </c>
      <c r="H1000" s="1" t="s">
        <v>290</v>
      </c>
      <c r="I1000" s="1" t="s">
        <v>36</v>
      </c>
      <c r="J1000" s="1">
        <v>32.0</v>
      </c>
      <c r="K1000" s="1">
        <v>2008.0</v>
      </c>
      <c r="L1000" s="1">
        <v>1993.0</v>
      </c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 t="s">
        <v>83</v>
      </c>
      <c r="Y1000" s="1" t="s">
        <v>4181</v>
      </c>
    </row>
    <row r="1001">
      <c r="A1001" s="1">
        <v>2105762.0</v>
      </c>
      <c r="B1001" s="1" t="s">
        <v>4182</v>
      </c>
      <c r="C1001" s="1" t="s">
        <v>415</v>
      </c>
      <c r="D1001" s="1" t="s">
        <v>416</v>
      </c>
      <c r="F1001" s="2" t="str">
        <f>"0060835451"</f>
        <v>0060835451</v>
      </c>
      <c r="G1001" s="2" t="str">
        <f>"9780060835453"</f>
        <v>9780060835453</v>
      </c>
      <c r="H1001" s="1" t="s">
        <v>290</v>
      </c>
      <c r="I1001" s="1" t="s">
        <v>36</v>
      </c>
      <c r="J1001" s="1">
        <v>32.0</v>
      </c>
      <c r="K1001" s="1">
        <v>2008.0</v>
      </c>
      <c r="L1001" s="1">
        <v>2012.0</v>
      </c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 t="s">
        <v>83</v>
      </c>
      <c r="Y1001" s="1" t="s">
        <v>4183</v>
      </c>
    </row>
    <row r="1002">
      <c r="A1002" s="1">
        <v>1.8701073E7</v>
      </c>
      <c r="B1002" s="1" t="s">
        <v>4184</v>
      </c>
      <c r="C1002" s="1" t="s">
        <v>4185</v>
      </c>
      <c r="D1002" s="1" t="s">
        <v>4186</v>
      </c>
      <c r="E1002" s="1" t="s">
        <v>4187</v>
      </c>
      <c r="F1002" s="2" t="str">
        <f>"1589251547"</f>
        <v>1589251547</v>
      </c>
      <c r="G1002" s="2" t="str">
        <f>"9781589251540"</f>
        <v>9781589251540</v>
      </c>
      <c r="H1002" s="1" t="s">
        <v>2405</v>
      </c>
      <c r="I1002" s="1" t="s">
        <v>31</v>
      </c>
      <c r="J1002" s="1">
        <v>32.0</v>
      </c>
      <c r="K1002" s="1">
        <v>2014.0</v>
      </c>
      <c r="L1002" s="1">
        <v>2014.0</v>
      </c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 t="s">
        <v>1905</v>
      </c>
      <c r="Y1002" s="1" t="s">
        <v>4188</v>
      </c>
    </row>
    <row r="1003">
      <c r="A1003" s="1">
        <v>2.7245931E7</v>
      </c>
      <c r="B1003" s="1" t="s">
        <v>4189</v>
      </c>
      <c r="C1003" s="1" t="s">
        <v>4190</v>
      </c>
      <c r="D1003" s="1" t="s">
        <v>4191</v>
      </c>
      <c r="E1003" s="1" t="s">
        <v>4192</v>
      </c>
      <c r="F1003" s="2" t="str">
        <f>"0553510231"</f>
        <v>0553510231</v>
      </c>
      <c r="G1003" s="2" t="str">
        <f>"9780553510232"</f>
        <v>9780553510232</v>
      </c>
      <c r="H1003" s="1" t="s">
        <v>2061</v>
      </c>
      <c r="I1003" s="1" t="s">
        <v>31</v>
      </c>
      <c r="J1003" s="1">
        <v>32.0</v>
      </c>
      <c r="K1003" s="1">
        <v>2016.0</v>
      </c>
      <c r="L1003" s="1">
        <v>2016.0</v>
      </c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 t="s">
        <v>510</v>
      </c>
      <c r="Y1003" s="1" t="s">
        <v>4193</v>
      </c>
    </row>
    <row r="1004">
      <c r="A1004" s="1">
        <v>3800434.0</v>
      </c>
      <c r="B1004" s="1" t="s">
        <v>4194</v>
      </c>
      <c r="C1004" s="1" t="s">
        <v>4195</v>
      </c>
      <c r="D1004" s="1" t="s">
        <v>4196</v>
      </c>
      <c r="F1004" s="2" t="str">
        <f>"0374399255"</f>
        <v>0374399255</v>
      </c>
      <c r="G1004" s="2" t="str">
        <f>"9780374399252"</f>
        <v>9780374399252</v>
      </c>
      <c r="H1004" s="1" t="s">
        <v>2211</v>
      </c>
      <c r="I1004" s="1" t="s">
        <v>31</v>
      </c>
      <c r="J1004" s="1">
        <v>32.0</v>
      </c>
      <c r="K1004" s="1">
        <v>2008.0</v>
      </c>
      <c r="L1004" s="1">
        <v>2008.0</v>
      </c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 t="s">
        <v>412</v>
      </c>
      <c r="Y1004" s="1" t="s">
        <v>4197</v>
      </c>
    </row>
    <row r="1005">
      <c r="A1005" s="1">
        <v>3.6127453E7</v>
      </c>
      <c r="B1005" s="1" t="s">
        <v>4198</v>
      </c>
      <c r="C1005" s="1" t="s">
        <v>4199</v>
      </c>
      <c r="D1005" s="1" t="s">
        <v>4200</v>
      </c>
      <c r="E1005" s="1" t="s">
        <v>4201</v>
      </c>
      <c r="F1005" s="2" t="str">
        <f>"054591728X"</f>
        <v>054591728X</v>
      </c>
      <c r="G1005" s="2" t="str">
        <f>"9780545917285"</f>
        <v>9780545917285</v>
      </c>
      <c r="H1005" s="1" t="s">
        <v>2397</v>
      </c>
      <c r="I1005" s="1" t="s">
        <v>31</v>
      </c>
      <c r="J1005" s="1">
        <v>32.0</v>
      </c>
      <c r="K1005" s="1">
        <v>2018.0</v>
      </c>
      <c r="L1005" s="1">
        <v>2018.0</v>
      </c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 t="s">
        <v>212</v>
      </c>
      <c r="Y1005" s="1" t="s">
        <v>4202</v>
      </c>
    </row>
    <row r="1006">
      <c r="A1006" s="1">
        <v>2731516.0</v>
      </c>
      <c r="B1006" s="1" t="s">
        <v>4203</v>
      </c>
      <c r="C1006" s="1" t="s">
        <v>2270</v>
      </c>
      <c r="D1006" s="1" t="s">
        <v>2271</v>
      </c>
      <c r="F1006" s="2" t="str">
        <f>"0439784271"</f>
        <v>0439784271</v>
      </c>
      <c r="G1006" s="2" t="str">
        <f>"9780439784276"</f>
        <v>9780439784276</v>
      </c>
      <c r="H1006" s="1" t="s">
        <v>50</v>
      </c>
      <c r="I1006" s="1" t="s">
        <v>36</v>
      </c>
      <c r="J1006" s="1">
        <v>32.0</v>
      </c>
      <c r="K1006" s="1">
        <v>2005.0</v>
      </c>
      <c r="L1006" s="1">
        <v>2002.0</v>
      </c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 t="s">
        <v>3979</v>
      </c>
      <c r="Y1006" s="1" t="s">
        <v>4204</v>
      </c>
    </row>
    <row r="1007">
      <c r="A1007" s="1">
        <v>2.5777746E7</v>
      </c>
      <c r="B1007" s="1" t="s">
        <v>4205</v>
      </c>
      <c r="C1007" s="1" t="s">
        <v>4206</v>
      </c>
      <c r="D1007" s="1" t="s">
        <v>4207</v>
      </c>
      <c r="E1007" s="1" t="s">
        <v>4208</v>
      </c>
      <c r="F1007" s="2" t="str">
        <f>"1921966823"</f>
        <v>1921966823</v>
      </c>
      <c r="G1007" s="2" t="str">
        <f>"9781921966828"</f>
        <v>9781921966828</v>
      </c>
      <c r="H1007" s="1" t="s">
        <v>4209</v>
      </c>
      <c r="I1007" s="1" t="s">
        <v>31</v>
      </c>
      <c r="J1007" s="1">
        <v>32.0</v>
      </c>
      <c r="K1007" s="1">
        <v>2015.0</v>
      </c>
      <c r="L1007" s="1">
        <v>2015.0</v>
      </c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 t="s">
        <v>323</v>
      </c>
      <c r="Y1007" s="1" t="s">
        <v>4210</v>
      </c>
    </row>
    <row r="1008">
      <c r="A1008" s="1">
        <v>122743.0</v>
      </c>
      <c r="B1008" s="1" t="s">
        <v>4211</v>
      </c>
      <c r="C1008" s="1" t="s">
        <v>4212</v>
      </c>
      <c r="D1008" s="1" t="s">
        <v>4213</v>
      </c>
      <c r="E1008" s="1" t="s">
        <v>2726</v>
      </c>
      <c r="F1008" s="2" t="str">
        <f>"0679883339"</f>
        <v>0679883339</v>
      </c>
      <c r="G1008" s="2" t="str">
        <f>"9780679883333"</f>
        <v>9780679883333</v>
      </c>
      <c r="H1008" s="1" t="s">
        <v>2751</v>
      </c>
      <c r="I1008" s="1" t="s">
        <v>36</v>
      </c>
      <c r="J1008" s="1">
        <v>32.0</v>
      </c>
      <c r="K1008" s="1">
        <v>1997.0</v>
      </c>
      <c r="L1008" s="1">
        <v>1988.0</v>
      </c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 t="s">
        <v>742</v>
      </c>
      <c r="Y1008" s="1" t="s">
        <v>4214</v>
      </c>
    </row>
    <row r="1009">
      <c r="A1009" s="1">
        <v>645984.0</v>
      </c>
      <c r="B1009" s="1" t="s">
        <v>4215</v>
      </c>
      <c r="C1009" s="1" t="s">
        <v>4216</v>
      </c>
      <c r="D1009" s="1" t="s">
        <v>4217</v>
      </c>
      <c r="E1009" s="1" t="s">
        <v>4218</v>
      </c>
      <c r="F1009" s="2" t="str">
        <f>"0689855370"</f>
        <v>0689855370</v>
      </c>
      <c r="G1009" s="2" t="str">
        <f>"9780689855375"</f>
        <v>9780689855375</v>
      </c>
      <c r="H1009" s="1" t="s">
        <v>1371</v>
      </c>
      <c r="I1009" s="1" t="s">
        <v>36</v>
      </c>
      <c r="J1009" s="1">
        <v>32.0</v>
      </c>
      <c r="K1009" s="1">
        <v>2003.0</v>
      </c>
      <c r="L1009" s="1">
        <v>2003.0</v>
      </c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 t="s">
        <v>317</v>
      </c>
      <c r="Y1009" s="1" t="s">
        <v>4219</v>
      </c>
    </row>
    <row r="1010">
      <c r="A1010" s="1">
        <v>1544662.0</v>
      </c>
      <c r="B1010" s="1" t="s">
        <v>4220</v>
      </c>
      <c r="C1010" s="1" t="s">
        <v>4117</v>
      </c>
      <c r="D1010" s="1" t="s">
        <v>4221</v>
      </c>
      <c r="F1010" s="2" t="str">
        <f>"0140553134"</f>
        <v>0140553134</v>
      </c>
      <c r="G1010" s="2" t="str">
        <f>"9780140553130"</f>
        <v>9780140553130</v>
      </c>
      <c r="H1010" s="1" t="s">
        <v>753</v>
      </c>
      <c r="I1010" s="1" t="s">
        <v>36</v>
      </c>
      <c r="J1010" s="1">
        <v>32.0</v>
      </c>
      <c r="K1010" s="1">
        <v>1996.0</v>
      </c>
      <c r="L1010" s="1">
        <v>1993.0</v>
      </c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 t="s">
        <v>146</v>
      </c>
      <c r="Y1010" s="1" t="s">
        <v>4222</v>
      </c>
    </row>
    <row r="1011">
      <c r="A1011" s="1">
        <v>9571224.0</v>
      </c>
      <c r="B1011" s="1" t="s">
        <v>4223</v>
      </c>
      <c r="C1011" s="1" t="s">
        <v>4224</v>
      </c>
      <c r="D1011" s="1" t="s">
        <v>4225</v>
      </c>
      <c r="E1011" s="1" t="s">
        <v>4226</v>
      </c>
      <c r="F1011" s="2" t="str">
        <f>"1416937870"</f>
        <v>1416937870</v>
      </c>
      <c r="G1011" s="2" t="str">
        <f>"9781416937876"</f>
        <v>9781416937876</v>
      </c>
      <c r="H1011" s="1" t="s">
        <v>3030</v>
      </c>
      <c r="I1011" s="1" t="s">
        <v>31</v>
      </c>
      <c r="J1011" s="1">
        <v>32.0</v>
      </c>
      <c r="K1011" s="1">
        <v>2011.0</v>
      </c>
      <c r="L1011" s="1">
        <v>2011.0</v>
      </c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 t="s">
        <v>68</v>
      </c>
      <c r="Y1011" s="1" t="s">
        <v>4227</v>
      </c>
    </row>
    <row r="1012">
      <c r="A1012" s="1">
        <v>707682.0</v>
      </c>
      <c r="B1012" s="1" t="s">
        <v>4228</v>
      </c>
      <c r="C1012" s="1" t="s">
        <v>4229</v>
      </c>
      <c r="D1012" s="1" t="s">
        <v>4230</v>
      </c>
      <c r="F1012" s="2" t="str">
        <f>"0395901189"</f>
        <v>0395901189</v>
      </c>
      <c r="G1012" s="2" t="str">
        <f>"9780395901182"</f>
        <v>9780395901182</v>
      </c>
      <c r="H1012" s="1" t="s">
        <v>1799</v>
      </c>
      <c r="I1012" s="1" t="s">
        <v>36</v>
      </c>
      <c r="J1012" s="1">
        <v>32.0</v>
      </c>
      <c r="K1012" s="1">
        <v>1998.0</v>
      </c>
      <c r="L1012" s="1">
        <v>1996.0</v>
      </c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 t="s">
        <v>4231</v>
      </c>
      <c r="Y1012" s="1" t="s">
        <v>4232</v>
      </c>
    </row>
    <row r="1013">
      <c r="A1013" s="1">
        <v>2153685.0</v>
      </c>
      <c r="B1013" s="1" t="s">
        <v>4233</v>
      </c>
      <c r="C1013" s="1" t="s">
        <v>4234</v>
      </c>
      <c r="D1013" s="1" t="s">
        <v>4235</v>
      </c>
      <c r="E1013" s="1" t="s">
        <v>4236</v>
      </c>
      <c r="F1013" s="2" t="str">
        <f>"0590262661"</f>
        <v>0590262661</v>
      </c>
      <c r="G1013" s="2" t="str">
        <f>"9780590262668"</f>
        <v>9780590262668</v>
      </c>
      <c r="H1013" s="1" t="s">
        <v>86</v>
      </c>
      <c r="I1013" s="1" t="s">
        <v>36</v>
      </c>
      <c r="J1013" s="1">
        <v>32.0</v>
      </c>
      <c r="K1013" s="1">
        <v>1996.0</v>
      </c>
      <c r="L1013" s="1">
        <v>1996.0</v>
      </c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 t="s">
        <v>543</v>
      </c>
      <c r="Y1013" s="1" t="s">
        <v>4237</v>
      </c>
    </row>
    <row r="1014">
      <c r="A1014" s="1">
        <v>9679271.0</v>
      </c>
      <c r="B1014" s="1" t="s">
        <v>4238</v>
      </c>
      <c r="C1014" s="1" t="s">
        <v>4239</v>
      </c>
      <c r="D1014" s="1" t="s">
        <v>4240</v>
      </c>
      <c r="E1014" s="1" t="s">
        <v>4241</v>
      </c>
      <c r="F1014" s="2" t="str">
        <f>"0763641561"</f>
        <v>0763641561</v>
      </c>
      <c r="G1014" s="2" t="str">
        <f>"9780763641566"</f>
        <v>9780763641566</v>
      </c>
      <c r="H1014" s="1" t="s">
        <v>945</v>
      </c>
      <c r="I1014" s="1" t="s">
        <v>31</v>
      </c>
      <c r="J1014" s="1">
        <v>32.0</v>
      </c>
      <c r="K1014" s="1">
        <v>2011.0</v>
      </c>
      <c r="L1014" s="1">
        <v>2011.0</v>
      </c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 t="s">
        <v>74</v>
      </c>
      <c r="Y1014" s="1" t="s">
        <v>4242</v>
      </c>
    </row>
    <row r="1015">
      <c r="A1015" s="1">
        <v>1065731.0</v>
      </c>
      <c r="B1015" s="1" t="s">
        <v>4243</v>
      </c>
      <c r="C1015" s="1" t="s">
        <v>4244</v>
      </c>
      <c r="D1015" s="1" t="s">
        <v>4245</v>
      </c>
      <c r="E1015" s="1" t="s">
        <v>4246</v>
      </c>
      <c r="F1015" s="2" t="str">
        <f>"0140567410"</f>
        <v>0140567410</v>
      </c>
      <c r="G1015" s="2" t="str">
        <f>"9780140567410"</f>
        <v>9780140567410</v>
      </c>
      <c r="H1015" s="1" t="s">
        <v>2351</v>
      </c>
      <c r="I1015" s="1" t="s">
        <v>36</v>
      </c>
      <c r="J1015" s="1">
        <v>32.0</v>
      </c>
      <c r="K1015" s="1">
        <v>2007.0</v>
      </c>
      <c r="L1015" s="1">
        <v>2006.0</v>
      </c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 t="s">
        <v>1372</v>
      </c>
      <c r="Y1015" s="1" t="s">
        <v>4247</v>
      </c>
    </row>
    <row r="1016">
      <c r="A1016" s="1">
        <v>1057571.0</v>
      </c>
      <c r="B1016" s="1" t="s">
        <v>4248</v>
      </c>
      <c r="C1016" s="1" t="s">
        <v>4249</v>
      </c>
      <c r="D1016" s="1" t="s">
        <v>4250</v>
      </c>
      <c r="F1016" s="2" t="str">
        <f>"0764158783"</f>
        <v>0764158783</v>
      </c>
      <c r="G1016" s="2" t="str">
        <f>"9780764158780"</f>
        <v>9780764158780</v>
      </c>
      <c r="H1016" s="1" t="s">
        <v>2199</v>
      </c>
      <c r="I1016" s="1" t="s">
        <v>31</v>
      </c>
      <c r="J1016" s="1">
        <v>32.0</v>
      </c>
      <c r="K1016" s="1">
        <v>2005.0</v>
      </c>
      <c r="L1016" s="1">
        <v>2005.0</v>
      </c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 t="s">
        <v>1317</v>
      </c>
      <c r="Y1016" s="1" t="s">
        <v>4251</v>
      </c>
    </row>
    <row r="1017">
      <c r="A1017" s="1">
        <v>2.8186335E7</v>
      </c>
      <c r="B1017" s="1" t="s">
        <v>4252</v>
      </c>
      <c r="C1017" s="1" t="s">
        <v>4253</v>
      </c>
      <c r="D1017" s="1" t="s">
        <v>4254</v>
      </c>
      <c r="E1017" s="1" t="s">
        <v>4255</v>
      </c>
      <c r="F1017" s="2" t="str">
        <f>"0525428496"</f>
        <v>0525428496</v>
      </c>
      <c r="G1017" s="2" t="str">
        <f>"9780525428497"</f>
        <v>9780525428497</v>
      </c>
      <c r="H1017" s="1" t="s">
        <v>2364</v>
      </c>
      <c r="I1017" s="1" t="s">
        <v>31</v>
      </c>
      <c r="J1017" s="1">
        <v>32.0</v>
      </c>
      <c r="K1017" s="1">
        <v>2016.0</v>
      </c>
      <c r="L1017" s="1">
        <v>2016.0</v>
      </c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 t="s">
        <v>1195</v>
      </c>
      <c r="Y1017" s="1" t="s">
        <v>4256</v>
      </c>
    </row>
    <row r="1018">
      <c r="A1018" s="1">
        <v>5.9446976E7</v>
      </c>
      <c r="B1018" s="1" t="s">
        <v>4257</v>
      </c>
      <c r="C1018" s="1" t="s">
        <v>4258</v>
      </c>
      <c r="D1018" s="1" t="s">
        <v>4259</v>
      </c>
      <c r="E1018" s="1" t="s">
        <v>4260</v>
      </c>
      <c r="F1018" s="2" t="str">
        <f>"0593302117"</f>
        <v>0593302117</v>
      </c>
      <c r="G1018" s="2" t="str">
        <f>"9780593302118"</f>
        <v>9780593302118</v>
      </c>
      <c r="H1018" s="1" t="s">
        <v>156</v>
      </c>
      <c r="I1018" s="1" t="s">
        <v>91</v>
      </c>
      <c r="J1018" s="1">
        <v>32.0</v>
      </c>
      <c r="K1018" s="1">
        <v>2022.0</v>
      </c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 t="s">
        <v>1372</v>
      </c>
      <c r="Y1018" s="1" t="s">
        <v>4261</v>
      </c>
    </row>
    <row r="1019">
      <c r="A1019" s="1">
        <v>3.2336278E7</v>
      </c>
      <c r="B1019" s="1" t="s">
        <v>4262</v>
      </c>
      <c r="C1019" s="1" t="s">
        <v>4258</v>
      </c>
      <c r="D1019" s="1" t="s">
        <v>4259</v>
      </c>
      <c r="E1019" s="1" t="s">
        <v>4260</v>
      </c>
      <c r="F1019" s="2" t="str">
        <f>"0399557288"</f>
        <v>0399557288</v>
      </c>
      <c r="G1019" s="2" t="str">
        <f>"9780399557286"</f>
        <v>9780399557286</v>
      </c>
      <c r="H1019" s="1" t="s">
        <v>1565</v>
      </c>
      <c r="I1019" s="1" t="s">
        <v>36</v>
      </c>
      <c r="J1019" s="1">
        <v>32.0</v>
      </c>
      <c r="K1019" s="1">
        <v>2017.0</v>
      </c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 t="s">
        <v>1491</v>
      </c>
      <c r="Y1019" s="1" t="s">
        <v>4263</v>
      </c>
    </row>
    <row r="1020">
      <c r="A1020" s="1">
        <v>2.7284687E7</v>
      </c>
      <c r="B1020" s="1" t="s">
        <v>4264</v>
      </c>
      <c r="C1020" s="1" t="s">
        <v>1198</v>
      </c>
      <c r="D1020" s="1" t="s">
        <v>1199</v>
      </c>
      <c r="E1020" s="1" t="s">
        <v>1697</v>
      </c>
      <c r="F1020" s="2" t="str">
        <f>"0545611121"</f>
        <v>0545611121</v>
      </c>
      <c r="G1020" s="2" t="str">
        <f>"9780545611121"</f>
        <v>9780545611121</v>
      </c>
      <c r="H1020" s="1" t="s">
        <v>86</v>
      </c>
      <c r="I1020" s="1" t="s">
        <v>31</v>
      </c>
      <c r="J1020" s="1">
        <v>32.0</v>
      </c>
      <c r="K1020" s="1">
        <v>2016.0</v>
      </c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 t="s">
        <v>863</v>
      </c>
      <c r="Y1020" s="1" t="s">
        <v>4265</v>
      </c>
    </row>
    <row r="1021">
      <c r="A1021" s="1">
        <v>6547965.0</v>
      </c>
      <c r="B1021" s="1" t="s">
        <v>4266</v>
      </c>
      <c r="C1021" s="1" t="s">
        <v>1198</v>
      </c>
      <c r="D1021" s="1" t="s">
        <v>1199</v>
      </c>
      <c r="E1021" s="1" t="s">
        <v>4267</v>
      </c>
      <c r="F1021" s="2" t="str">
        <f>"0545112818"</f>
        <v>0545112818</v>
      </c>
      <c r="G1021" s="2" t="str">
        <f>"9780545112819"</f>
        <v>9780545112819</v>
      </c>
      <c r="H1021" s="1" t="s">
        <v>86</v>
      </c>
      <c r="I1021" s="1" t="s">
        <v>36</v>
      </c>
      <c r="J1021" s="1">
        <v>32.0</v>
      </c>
      <c r="K1021" s="1">
        <v>2009.0</v>
      </c>
      <c r="L1021" s="1">
        <v>2006.0</v>
      </c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 t="s">
        <v>212</v>
      </c>
      <c r="Y1021" s="1" t="s">
        <v>4268</v>
      </c>
    </row>
    <row r="1022">
      <c r="A1022" s="1">
        <v>4333616.0</v>
      </c>
      <c r="B1022" s="1" t="s">
        <v>4269</v>
      </c>
      <c r="C1022" s="1" t="s">
        <v>4270</v>
      </c>
      <c r="D1022" s="1" t="s">
        <v>4271</v>
      </c>
      <c r="F1022" s="2" t="str">
        <f>"0399250182"</f>
        <v>0399250182</v>
      </c>
      <c r="G1022" s="2" t="str">
        <f>"9780399250187"</f>
        <v>9780399250187</v>
      </c>
      <c r="H1022" s="1" t="s">
        <v>2682</v>
      </c>
      <c r="I1022" s="1" t="s">
        <v>31</v>
      </c>
      <c r="J1022" s="1">
        <v>32.0</v>
      </c>
      <c r="K1022" s="1">
        <v>2008.0</v>
      </c>
      <c r="L1022" s="1">
        <v>2008.0</v>
      </c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 t="s">
        <v>863</v>
      </c>
      <c r="Y1022" s="1" t="s">
        <v>4272</v>
      </c>
    </row>
    <row r="1023">
      <c r="A1023" s="1">
        <v>2.7206632E7</v>
      </c>
      <c r="B1023" s="1" t="s">
        <v>4273</v>
      </c>
      <c r="C1023" s="1" t="s">
        <v>4270</v>
      </c>
      <c r="D1023" s="1" t="s">
        <v>4271</v>
      </c>
      <c r="F1023" s="2" t="str">
        <f>"1481467239"</f>
        <v>1481467239</v>
      </c>
      <c r="G1023" s="2" t="str">
        <f>"9781481467230"</f>
        <v>9781481467230</v>
      </c>
      <c r="H1023" s="1" t="s">
        <v>1371</v>
      </c>
      <c r="I1023" s="1" t="s">
        <v>36</v>
      </c>
      <c r="J1023" s="1">
        <v>32.0</v>
      </c>
      <c r="K1023" s="1">
        <v>2016.0</v>
      </c>
      <c r="L1023" s="1">
        <v>2016.0</v>
      </c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 t="s">
        <v>51</v>
      </c>
      <c r="Y1023" s="1" t="s">
        <v>4274</v>
      </c>
    </row>
    <row r="1024">
      <c r="A1024" s="1">
        <v>1.3796996E7</v>
      </c>
      <c r="B1024" s="1" t="s">
        <v>4275</v>
      </c>
      <c r="C1024" s="1" t="s">
        <v>4276</v>
      </c>
      <c r="D1024" s="1" t="s">
        <v>4277</v>
      </c>
      <c r="E1024" s="1" t="s">
        <v>4278</v>
      </c>
      <c r="F1024" s="2" t="str">
        <f>"0823418332"</f>
        <v>0823418332</v>
      </c>
      <c r="G1024" s="2" t="str">
        <f>"9780823418336"</f>
        <v>9780823418336</v>
      </c>
      <c r="H1024" s="1" t="s">
        <v>2347</v>
      </c>
      <c r="I1024" s="1" t="s">
        <v>31</v>
      </c>
      <c r="J1024" s="1">
        <v>32.0</v>
      </c>
      <c r="K1024" s="1">
        <v>2012.0</v>
      </c>
      <c r="L1024" s="1">
        <v>2012.0</v>
      </c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 t="s">
        <v>1317</v>
      </c>
      <c r="Y1024" s="1" t="s">
        <v>4279</v>
      </c>
    </row>
    <row r="1025">
      <c r="A1025" s="1">
        <v>9687068.0</v>
      </c>
      <c r="B1025" s="1" t="s">
        <v>4280</v>
      </c>
      <c r="C1025" s="1" t="s">
        <v>4281</v>
      </c>
      <c r="D1025" s="1" t="s">
        <v>4282</v>
      </c>
      <c r="E1025" s="1" t="s">
        <v>4283</v>
      </c>
      <c r="F1025" s="2" t="str">
        <f>"1580891128"</f>
        <v>1580891128</v>
      </c>
      <c r="G1025" s="2" t="str">
        <f>"9781580891127"</f>
        <v>9781580891127</v>
      </c>
      <c r="H1025" s="1" t="s">
        <v>2550</v>
      </c>
      <c r="I1025" s="1" t="s">
        <v>36</v>
      </c>
      <c r="J1025" s="1">
        <v>32.0</v>
      </c>
      <c r="K1025" s="1">
        <v>2011.0</v>
      </c>
      <c r="L1025" s="1">
        <v>2011.0</v>
      </c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 t="s">
        <v>68</v>
      </c>
      <c r="Y1025" s="1" t="s">
        <v>4284</v>
      </c>
    </row>
    <row r="1026">
      <c r="A1026" s="1">
        <v>2536330.0</v>
      </c>
      <c r="B1026" s="1" t="s">
        <v>4285</v>
      </c>
      <c r="C1026" s="1" t="s">
        <v>4286</v>
      </c>
      <c r="D1026" s="1" t="s">
        <v>4287</v>
      </c>
      <c r="E1026" s="1" t="s">
        <v>3250</v>
      </c>
      <c r="F1026" s="2" t="str">
        <f>"0805013946"</f>
        <v>0805013946</v>
      </c>
      <c r="G1026" s="2" t="str">
        <f>"9780805013948"</f>
        <v>9780805013948</v>
      </c>
      <c r="H1026" s="1" t="s">
        <v>542</v>
      </c>
      <c r="I1026" s="1" t="s">
        <v>31</v>
      </c>
      <c r="J1026" s="1">
        <v>32.0</v>
      </c>
      <c r="K1026" s="1">
        <v>1990.0</v>
      </c>
      <c r="L1026" s="1">
        <v>1990.0</v>
      </c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 t="s">
        <v>1518</v>
      </c>
      <c r="Y1026" s="1" t="s">
        <v>4288</v>
      </c>
    </row>
    <row r="1027">
      <c r="A1027" s="1">
        <v>433297.0</v>
      </c>
      <c r="B1027" s="1" t="s">
        <v>4289</v>
      </c>
      <c r="C1027" s="1" t="s">
        <v>4290</v>
      </c>
      <c r="D1027" s="1" t="s">
        <v>4291</v>
      </c>
      <c r="E1027" s="1" t="s">
        <v>4292</v>
      </c>
      <c r="F1027" s="2" t="str">
        <f>"0936077476"</f>
        <v>0936077476</v>
      </c>
      <c r="G1027" s="2" t="str">
        <f>"9780936077475"</f>
        <v>9780936077475</v>
      </c>
      <c r="H1027" s="1" t="s">
        <v>4293</v>
      </c>
      <c r="I1027" s="1" t="s">
        <v>31</v>
      </c>
      <c r="J1027" s="1">
        <v>32.0</v>
      </c>
      <c r="K1027" s="1">
        <v>2003.0</v>
      </c>
      <c r="L1027" s="1">
        <v>2003.0</v>
      </c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 t="s">
        <v>1084</v>
      </c>
      <c r="Y1027" s="1" t="s">
        <v>4294</v>
      </c>
    </row>
    <row r="1028">
      <c r="A1028" s="1">
        <v>4.5143549E7</v>
      </c>
      <c r="B1028" s="1" t="s">
        <v>4295</v>
      </c>
      <c r="C1028" s="1" t="s">
        <v>4296</v>
      </c>
      <c r="D1028" s="1" t="s">
        <v>4297</v>
      </c>
      <c r="E1028" s="1" t="s">
        <v>3382</v>
      </c>
      <c r="F1028" s="2" t="str">
        <f>"1338225324"</f>
        <v>1338225324</v>
      </c>
      <c r="G1028" s="2" t="str">
        <f>"9781338225327"</f>
        <v>9781338225327</v>
      </c>
      <c r="H1028" s="1" t="s">
        <v>2397</v>
      </c>
      <c r="I1028" s="1" t="s">
        <v>31</v>
      </c>
      <c r="J1028" s="1">
        <v>32.0</v>
      </c>
      <c r="K1028" s="1">
        <v>2020.0</v>
      </c>
      <c r="L1028" s="1">
        <v>2020.0</v>
      </c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 t="s">
        <v>1024</v>
      </c>
      <c r="Y1028" s="1" t="s">
        <v>4298</v>
      </c>
    </row>
    <row r="1029">
      <c r="A1029" s="1">
        <v>6.2023631E7</v>
      </c>
      <c r="B1029" s="1" t="s">
        <v>4299</v>
      </c>
      <c r="C1029" s="1" t="s">
        <v>4300</v>
      </c>
      <c r="D1029" s="1" t="s">
        <v>4297</v>
      </c>
      <c r="E1029" s="1" t="s">
        <v>3382</v>
      </c>
      <c r="F1029" s="2" t="str">
        <f>"1338890557"</f>
        <v>1338890557</v>
      </c>
      <c r="G1029" s="2" t="str">
        <f>"9781338890556"</f>
        <v>9781338890556</v>
      </c>
      <c r="H1029" s="1" t="s">
        <v>1575</v>
      </c>
      <c r="I1029" s="1" t="s">
        <v>238</v>
      </c>
      <c r="J1029" s="1">
        <v>32.0</v>
      </c>
      <c r="K1029" s="1">
        <v>2022.0</v>
      </c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 t="s">
        <v>61</v>
      </c>
      <c r="Y1029" s="1" t="s">
        <v>4301</v>
      </c>
    </row>
    <row r="1030">
      <c r="A1030" s="1">
        <v>3.7941743E7</v>
      </c>
      <c r="B1030" s="1" t="s">
        <v>4302</v>
      </c>
      <c r="C1030" s="1" t="s">
        <v>4303</v>
      </c>
      <c r="D1030" s="1" t="s">
        <v>4304</v>
      </c>
      <c r="F1030" s="2" t="str">
        <f>"1624145795"</f>
        <v>1624145795</v>
      </c>
      <c r="G1030" s="2" t="str">
        <f>"9781624145797"</f>
        <v>9781624145797</v>
      </c>
      <c r="H1030" s="1" t="s">
        <v>4305</v>
      </c>
      <c r="I1030" s="1" t="s">
        <v>31</v>
      </c>
      <c r="J1030" s="1">
        <v>32.0</v>
      </c>
      <c r="K1030" s="1">
        <v>2018.0</v>
      </c>
      <c r="L1030" s="1">
        <v>2018.0</v>
      </c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 t="s">
        <v>1195</v>
      </c>
      <c r="Y1030" s="1" t="s">
        <v>4306</v>
      </c>
    </row>
    <row r="1031">
      <c r="A1031" s="1">
        <v>2925915.0</v>
      </c>
      <c r="B1031" s="1" t="s">
        <v>4307</v>
      </c>
      <c r="C1031" s="1" t="s">
        <v>4308</v>
      </c>
      <c r="D1031" s="1" t="s">
        <v>4309</v>
      </c>
      <c r="F1031" s="2" t="str">
        <f>"0895656779"</f>
        <v>0895656779</v>
      </c>
      <c r="G1031" s="2" t="str">
        <f>"9780895656773"</f>
        <v>9780895656773</v>
      </c>
      <c r="H1031" s="1" t="s">
        <v>4310</v>
      </c>
      <c r="I1031" s="1" t="s">
        <v>91</v>
      </c>
      <c r="J1031" s="1">
        <v>32.0</v>
      </c>
      <c r="K1031" s="1">
        <v>1988.0</v>
      </c>
      <c r="L1031" s="1">
        <v>1988.0</v>
      </c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 t="s">
        <v>116</v>
      </c>
      <c r="Y1031" s="1" t="s">
        <v>4311</v>
      </c>
    </row>
    <row r="1032">
      <c r="A1032" s="1">
        <v>688161.0</v>
      </c>
      <c r="B1032" s="1" t="s">
        <v>4312</v>
      </c>
      <c r="C1032" s="1" t="s">
        <v>4313</v>
      </c>
      <c r="D1032" s="1" t="s">
        <v>4314</v>
      </c>
      <c r="E1032" s="1" t="s">
        <v>4315</v>
      </c>
      <c r="F1032" s="2" t="str">
        <f>"0805074295"</f>
        <v>0805074295</v>
      </c>
      <c r="G1032" s="2" t="str">
        <f>"9780805074291"</f>
        <v>9780805074291</v>
      </c>
      <c r="H1032" s="1" t="s">
        <v>4316</v>
      </c>
      <c r="I1032" s="1" t="s">
        <v>31</v>
      </c>
      <c r="J1032" s="1">
        <v>32.0</v>
      </c>
      <c r="K1032" s="1">
        <v>2006.0</v>
      </c>
      <c r="L1032" s="1">
        <v>2006.0</v>
      </c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 t="s">
        <v>863</v>
      </c>
      <c r="Y1032" s="1" t="s">
        <v>4317</v>
      </c>
    </row>
    <row r="1033">
      <c r="A1033" s="1">
        <v>1292083.0</v>
      </c>
      <c r="B1033" s="1" t="s">
        <v>4318</v>
      </c>
      <c r="C1033" s="1" t="s">
        <v>4319</v>
      </c>
      <c r="D1033" s="1" t="s">
        <v>4320</v>
      </c>
      <c r="E1033" s="1" t="s">
        <v>4321</v>
      </c>
      <c r="F1033" s="2" t="str">
        <f>"0027674002"</f>
        <v>0027674002</v>
      </c>
      <c r="G1033" s="2" t="str">
        <f>"9780027674002"</f>
        <v>9780027674002</v>
      </c>
      <c r="H1033" s="1" t="s">
        <v>4322</v>
      </c>
      <c r="I1033" s="1" t="s">
        <v>31</v>
      </c>
      <c r="J1033" s="1">
        <v>32.0</v>
      </c>
      <c r="K1033" s="1">
        <v>1992.0</v>
      </c>
      <c r="L1033" s="1">
        <v>1992.0</v>
      </c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 t="s">
        <v>74</v>
      </c>
      <c r="Y1033" s="1" t="s">
        <v>4323</v>
      </c>
    </row>
    <row r="1034">
      <c r="A1034" s="1">
        <v>795174.0</v>
      </c>
      <c r="B1034" s="1" t="s">
        <v>4324</v>
      </c>
      <c r="C1034" s="1" t="s">
        <v>4319</v>
      </c>
      <c r="D1034" s="1" t="s">
        <v>4320</v>
      </c>
      <c r="E1034" s="1" t="s">
        <v>4325</v>
      </c>
      <c r="F1034" s="2" t="str">
        <f>"0618111441"</f>
        <v>0618111441</v>
      </c>
      <c r="G1034" s="2" t="str">
        <f>"9780618111442"</f>
        <v>9780618111442</v>
      </c>
      <c r="H1034" s="1" t="s">
        <v>1799</v>
      </c>
      <c r="I1034" s="1" t="s">
        <v>36</v>
      </c>
      <c r="J1034" s="1">
        <v>32.0</v>
      </c>
      <c r="K1034" s="1">
        <v>2001.0</v>
      </c>
      <c r="L1034" s="1">
        <v>1993.0</v>
      </c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 t="s">
        <v>245</v>
      </c>
      <c r="Y1034" s="1" t="s">
        <v>4326</v>
      </c>
    </row>
    <row r="1035">
      <c r="A1035" s="1">
        <v>2.0518948E7</v>
      </c>
      <c r="B1035" s="1" t="s">
        <v>4327</v>
      </c>
      <c r="C1035" s="1" t="s">
        <v>4315</v>
      </c>
      <c r="D1035" s="1" t="s">
        <v>4328</v>
      </c>
      <c r="E1035" s="1" t="s">
        <v>4315</v>
      </c>
      <c r="F1035" s="2" t="str">
        <f>"1596436034"</f>
        <v>1596436034</v>
      </c>
      <c r="G1035" s="2" t="str">
        <f>"9781596436039"</f>
        <v>9781596436039</v>
      </c>
      <c r="H1035" s="1" t="s">
        <v>2712</v>
      </c>
      <c r="I1035" s="1" t="s">
        <v>31</v>
      </c>
      <c r="J1035" s="1">
        <v>32.0</v>
      </c>
      <c r="K1035" s="1">
        <v>2014.0</v>
      </c>
      <c r="L1035" s="1">
        <v>2014.0</v>
      </c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 t="s">
        <v>61</v>
      </c>
      <c r="Y1035" s="1" t="s">
        <v>4329</v>
      </c>
    </row>
    <row r="1036">
      <c r="A1036" s="1">
        <v>3.149404E7</v>
      </c>
      <c r="B1036" s="1" t="s">
        <v>4330</v>
      </c>
      <c r="C1036" s="1" t="s">
        <v>4331</v>
      </c>
      <c r="D1036" s="1" t="s">
        <v>4332</v>
      </c>
      <c r="F1036" s="2" t="str">
        <f>"1499433123"</f>
        <v>1499433123</v>
      </c>
      <c r="G1036" s="2" t="str">
        <f>"9781499433128"</f>
        <v>9781499433128</v>
      </c>
      <c r="H1036" s="1" t="s">
        <v>1773</v>
      </c>
      <c r="I1036" s="1" t="s">
        <v>36</v>
      </c>
      <c r="J1036" s="1">
        <v>32.0</v>
      </c>
      <c r="K1036" s="1">
        <v>2016.0</v>
      </c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 t="s">
        <v>4333</v>
      </c>
      <c r="Y1036" s="1" t="s">
        <v>4334</v>
      </c>
    </row>
    <row r="1037">
      <c r="A1037" s="1">
        <v>8520130.0</v>
      </c>
      <c r="B1037" s="1" t="s">
        <v>4335</v>
      </c>
      <c r="C1037" s="1" t="s">
        <v>4336</v>
      </c>
      <c r="D1037" s="1" t="s">
        <v>4337</v>
      </c>
      <c r="E1037" s="1" t="s">
        <v>4218</v>
      </c>
      <c r="F1037" s="2" t="str">
        <f>"0750214031"</f>
        <v>0750214031</v>
      </c>
      <c r="G1037" s="2" t="str">
        <f>"9780750214032"</f>
        <v>9780750214032</v>
      </c>
      <c r="H1037" s="1" t="s">
        <v>4338</v>
      </c>
      <c r="I1037" s="1" t="s">
        <v>36</v>
      </c>
      <c r="J1037" s="1">
        <v>32.0</v>
      </c>
      <c r="K1037" s="1">
        <v>1994.0</v>
      </c>
      <c r="L1037" s="1">
        <v>1993.0</v>
      </c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 t="s">
        <v>1156</v>
      </c>
      <c r="Y1037" s="1" t="s">
        <v>4339</v>
      </c>
    </row>
    <row r="1038">
      <c r="A1038" s="1">
        <v>5.3833887E7</v>
      </c>
      <c r="B1038" s="1" t="s">
        <v>4340</v>
      </c>
      <c r="C1038" s="1" t="s">
        <v>4341</v>
      </c>
      <c r="D1038" s="1" t="s">
        <v>4342</v>
      </c>
      <c r="E1038" s="1" t="s">
        <v>4343</v>
      </c>
      <c r="F1038" s="2" t="str">
        <f>"1733668519"</f>
        <v>1733668519</v>
      </c>
      <c r="G1038" s="2" t="str">
        <f>"9781733668514"</f>
        <v>9781733668514</v>
      </c>
      <c r="H1038" s="1" t="s">
        <v>4344</v>
      </c>
      <c r="I1038" s="1" t="s">
        <v>36</v>
      </c>
      <c r="J1038" s="1">
        <v>32.0</v>
      </c>
      <c r="K1038" s="1">
        <v>2020.0</v>
      </c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 t="s">
        <v>1024</v>
      </c>
      <c r="Y1038" s="1" t="s">
        <v>4345</v>
      </c>
    </row>
    <row r="1039">
      <c r="A1039" s="1">
        <v>5729784.0</v>
      </c>
      <c r="B1039" s="1" t="s">
        <v>4346</v>
      </c>
      <c r="C1039" s="1" t="s">
        <v>4347</v>
      </c>
      <c r="D1039" s="1" t="s">
        <v>4348</v>
      </c>
      <c r="E1039" s="1" t="s">
        <v>4347</v>
      </c>
      <c r="F1039" s="2" t="str">
        <f>"1570615675"</f>
        <v>1570615675</v>
      </c>
      <c r="G1039" s="2" t="str">
        <f>"9781570615672"</f>
        <v>9781570615672</v>
      </c>
      <c r="H1039" s="1" t="s">
        <v>4349</v>
      </c>
      <c r="I1039" s="1" t="s">
        <v>31</v>
      </c>
      <c r="J1039" s="1">
        <v>32.0</v>
      </c>
      <c r="K1039" s="1">
        <v>2009.0</v>
      </c>
      <c r="L1039" s="1">
        <v>2009.0</v>
      </c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 t="s">
        <v>4350</v>
      </c>
      <c r="Y1039" s="1" t="s">
        <v>4351</v>
      </c>
    </row>
    <row r="1040">
      <c r="A1040" s="1">
        <v>285763.0</v>
      </c>
      <c r="B1040" s="1" t="s">
        <v>4352</v>
      </c>
      <c r="C1040" s="1" t="s">
        <v>1719</v>
      </c>
      <c r="D1040" s="1" t="s">
        <v>1720</v>
      </c>
      <c r="E1040" s="1" t="s">
        <v>1721</v>
      </c>
      <c r="F1040" s="2" t="str">
        <f>"0439388503"</f>
        <v>0439388503</v>
      </c>
      <c r="G1040" s="2" t="str">
        <f>"9780439388504"</f>
        <v>9780439388504</v>
      </c>
      <c r="H1040" s="1" t="s">
        <v>1992</v>
      </c>
      <c r="I1040" s="1" t="s">
        <v>36</v>
      </c>
      <c r="J1040" s="1">
        <v>32.0</v>
      </c>
      <c r="K1040" s="1">
        <v>2002.0</v>
      </c>
      <c r="L1040" s="1">
        <v>1998.0</v>
      </c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 t="s">
        <v>1352</v>
      </c>
      <c r="Y1040" s="1" t="s">
        <v>4353</v>
      </c>
    </row>
    <row r="1041">
      <c r="A1041" s="1">
        <v>310259.0</v>
      </c>
      <c r="B1041" s="1" t="s">
        <v>4354</v>
      </c>
      <c r="C1041" s="1" t="s">
        <v>1719</v>
      </c>
      <c r="D1041" s="1" t="s">
        <v>1720</v>
      </c>
      <c r="E1041" s="1" t="s">
        <v>4355</v>
      </c>
      <c r="F1041" s="2" t="str">
        <f>"0920668372"</f>
        <v>0920668372</v>
      </c>
      <c r="G1041" s="2" t="str">
        <f>"9780920668375"</f>
        <v>9780920668375</v>
      </c>
      <c r="H1041" s="1" t="s">
        <v>1628</v>
      </c>
      <c r="I1041" s="1" t="s">
        <v>36</v>
      </c>
      <c r="J1041" s="1">
        <v>32.0</v>
      </c>
      <c r="K1041" s="1">
        <v>1995.0</v>
      </c>
      <c r="L1041" s="1">
        <v>1986.0</v>
      </c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 t="s">
        <v>1466</v>
      </c>
      <c r="Y1041" s="1" t="s">
        <v>4356</v>
      </c>
    </row>
    <row r="1042">
      <c r="A1042" s="1">
        <v>2979967.0</v>
      </c>
      <c r="B1042" s="1" t="s">
        <v>4357</v>
      </c>
      <c r="C1042" s="1" t="s">
        <v>1719</v>
      </c>
      <c r="D1042" s="1" t="s">
        <v>1720</v>
      </c>
      <c r="E1042" s="1" t="s">
        <v>1721</v>
      </c>
      <c r="F1042" s="2" t="str">
        <f>"0439955904"</f>
        <v>0439955904</v>
      </c>
      <c r="G1042" s="2" t="str">
        <f>"9780439955904"</f>
        <v>9780439955904</v>
      </c>
      <c r="H1042" s="1" t="s">
        <v>4358</v>
      </c>
      <c r="I1042" s="1" t="s">
        <v>36</v>
      </c>
      <c r="J1042" s="1">
        <v>32.0</v>
      </c>
      <c r="K1042" s="1">
        <v>2005.0</v>
      </c>
      <c r="L1042" s="1">
        <v>2005.0</v>
      </c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 t="s">
        <v>4359</v>
      </c>
      <c r="Y1042" s="1" t="s">
        <v>4360</v>
      </c>
    </row>
    <row r="1043">
      <c r="A1043" s="1">
        <v>1.6101019E7</v>
      </c>
      <c r="B1043" s="1" t="s">
        <v>4361</v>
      </c>
      <c r="C1043" s="1" t="s">
        <v>4362</v>
      </c>
      <c r="D1043" s="1" t="s">
        <v>4363</v>
      </c>
      <c r="E1043" s="1" t="s">
        <v>4364</v>
      </c>
      <c r="F1043" s="2" t="str">
        <f>"0399257799"</f>
        <v>0399257799</v>
      </c>
      <c r="G1043" s="2" t="str">
        <f>"9780399257797"</f>
        <v>9780399257797</v>
      </c>
      <c r="H1043" s="1" t="s">
        <v>2682</v>
      </c>
      <c r="I1043" s="1" t="s">
        <v>31</v>
      </c>
      <c r="J1043" s="1">
        <v>32.0</v>
      </c>
      <c r="K1043" s="1">
        <v>2013.0</v>
      </c>
      <c r="L1043" s="1">
        <v>2013.0</v>
      </c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 t="s">
        <v>212</v>
      </c>
      <c r="Y1043" s="1" t="s">
        <v>4365</v>
      </c>
    </row>
    <row r="1044">
      <c r="A1044" s="1">
        <v>331701.0</v>
      </c>
      <c r="B1044" s="1" t="s">
        <v>4366</v>
      </c>
      <c r="C1044" s="1" t="s">
        <v>4367</v>
      </c>
      <c r="D1044" s="1" t="s">
        <v>4368</v>
      </c>
      <c r="F1044" s="2" t="str">
        <f>"043933909X"</f>
        <v>043933909X</v>
      </c>
      <c r="G1044" s="2" t="str">
        <f>"9780439339094"</f>
        <v>9780439339094</v>
      </c>
      <c r="H1044" s="1" t="s">
        <v>857</v>
      </c>
      <c r="I1044" s="1" t="s">
        <v>31</v>
      </c>
      <c r="J1044" s="1">
        <v>32.0</v>
      </c>
      <c r="K1044" s="1">
        <v>2003.0</v>
      </c>
      <c r="L1044" s="1">
        <v>2003.0</v>
      </c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 t="s">
        <v>742</v>
      </c>
      <c r="Y1044" s="1" t="s">
        <v>4369</v>
      </c>
    </row>
    <row r="1045">
      <c r="A1045" s="1">
        <v>2322428.0</v>
      </c>
      <c r="B1045" s="1" t="s">
        <v>4370</v>
      </c>
      <c r="C1045" s="1" t="s">
        <v>4371</v>
      </c>
      <c r="D1045" s="1" t="s">
        <v>4372</v>
      </c>
      <c r="E1045" s="1" t="s">
        <v>4373</v>
      </c>
      <c r="F1045" s="2" t="str">
        <f>"0816745501"</f>
        <v>0816745501</v>
      </c>
      <c r="G1045" s="2" t="str">
        <f>"9780816745500"</f>
        <v>9780816745500</v>
      </c>
      <c r="H1045" s="1" t="s">
        <v>4374</v>
      </c>
      <c r="I1045" s="1" t="s">
        <v>36</v>
      </c>
      <c r="J1045" s="1">
        <v>32.0</v>
      </c>
      <c r="K1045" s="1">
        <v>1998.0</v>
      </c>
      <c r="L1045" s="1">
        <v>1998.0</v>
      </c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 t="s">
        <v>863</v>
      </c>
      <c r="Y1045" s="1" t="s">
        <v>4375</v>
      </c>
    </row>
    <row r="1046">
      <c r="A1046" s="1">
        <v>1764366.0</v>
      </c>
      <c r="B1046" s="1" t="s">
        <v>4376</v>
      </c>
      <c r="C1046" s="1" t="s">
        <v>4377</v>
      </c>
      <c r="D1046" s="1" t="s">
        <v>4378</v>
      </c>
      <c r="E1046" s="1" t="s">
        <v>4379</v>
      </c>
      <c r="F1046" s="2" t="str">
        <f>"0688080286"</f>
        <v>0688080286</v>
      </c>
      <c r="G1046" s="2" t="str">
        <f>"9780688080280"</f>
        <v>9780688080280</v>
      </c>
      <c r="H1046" s="1" t="s">
        <v>1570</v>
      </c>
      <c r="I1046" s="1" t="s">
        <v>31</v>
      </c>
      <c r="J1046" s="1">
        <v>32.0</v>
      </c>
      <c r="K1046" s="1">
        <v>1989.0</v>
      </c>
      <c r="L1046" s="1">
        <v>1989.0</v>
      </c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 t="s">
        <v>1317</v>
      </c>
      <c r="Y1046" s="1" t="s">
        <v>4380</v>
      </c>
    </row>
    <row r="1047">
      <c r="A1047" s="1">
        <v>2095247.0</v>
      </c>
      <c r="B1047" s="1" t="s">
        <v>4381</v>
      </c>
      <c r="C1047" s="1" t="s">
        <v>4377</v>
      </c>
      <c r="D1047" s="1" t="s">
        <v>4378</v>
      </c>
      <c r="E1047" s="1" t="s">
        <v>4379</v>
      </c>
      <c r="F1047" s="2" t="str">
        <f>"0688173810"</f>
        <v>0688173810</v>
      </c>
      <c r="G1047" s="2" t="str">
        <f>"9780688173814"</f>
        <v>9780688173814</v>
      </c>
      <c r="H1047" s="1" t="s">
        <v>1570</v>
      </c>
      <c r="I1047" s="1" t="s">
        <v>91</v>
      </c>
      <c r="J1047" s="1">
        <v>32.0</v>
      </c>
      <c r="K1047" s="1">
        <v>2001.0</v>
      </c>
      <c r="L1047" s="1">
        <v>2001.0</v>
      </c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 t="s">
        <v>1317</v>
      </c>
      <c r="Y1047" s="1" t="s">
        <v>4382</v>
      </c>
    </row>
    <row r="1048">
      <c r="A1048" s="1">
        <v>1.6670052E7</v>
      </c>
      <c r="B1048" s="1" t="s">
        <v>4383</v>
      </c>
      <c r="C1048" s="1" t="s">
        <v>4384</v>
      </c>
      <c r="D1048" s="1" t="s">
        <v>4385</v>
      </c>
      <c r="E1048" s="1" t="s">
        <v>4386</v>
      </c>
      <c r="F1048" s="2" t="str">
        <f>"1570911983"</f>
        <v>1570911983</v>
      </c>
      <c r="G1048" s="2" t="str">
        <f>"9781570911989"</f>
        <v>9781570911989</v>
      </c>
      <c r="H1048" s="1" t="s">
        <v>2550</v>
      </c>
      <c r="I1048" s="1" t="s">
        <v>31</v>
      </c>
      <c r="J1048" s="1">
        <v>32.0</v>
      </c>
      <c r="K1048" s="1">
        <v>2013.0</v>
      </c>
      <c r="L1048" s="1">
        <v>2013.0</v>
      </c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 t="s">
        <v>116</v>
      </c>
      <c r="Y1048" s="1" t="s">
        <v>4387</v>
      </c>
    </row>
    <row r="1049">
      <c r="A1049" s="1">
        <v>1.8012466E7</v>
      </c>
      <c r="B1049" s="1" t="s">
        <v>4388</v>
      </c>
      <c r="C1049" s="1" t="s">
        <v>4389</v>
      </c>
      <c r="D1049" s="1" t="s">
        <v>4390</v>
      </c>
      <c r="F1049" s="2" t="str">
        <f>"039916085X"</f>
        <v>039916085X</v>
      </c>
      <c r="G1049" s="2" t="str">
        <f>"9780399160851"</f>
        <v>9780399160851</v>
      </c>
      <c r="H1049" s="1" t="s">
        <v>2418</v>
      </c>
      <c r="I1049" s="1" t="s">
        <v>31</v>
      </c>
      <c r="J1049" s="1">
        <v>32.0</v>
      </c>
      <c r="K1049" s="1">
        <v>2014.0</v>
      </c>
      <c r="L1049" s="1">
        <v>2014.0</v>
      </c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 t="s">
        <v>363</v>
      </c>
      <c r="Y1049" s="1" t="s">
        <v>4391</v>
      </c>
    </row>
    <row r="1050">
      <c r="A1050" s="1">
        <v>2.2750393E7</v>
      </c>
      <c r="B1050" s="1" t="s">
        <v>4392</v>
      </c>
      <c r="C1050" s="1" t="s">
        <v>4393</v>
      </c>
      <c r="D1050" s="1" t="s">
        <v>4394</v>
      </c>
      <c r="F1050" s="2" t="str">
        <f>"1771471395"</f>
        <v>1771471395</v>
      </c>
      <c r="G1050" s="2" t="str">
        <f>"9781771471398"</f>
        <v>9781771471398</v>
      </c>
      <c r="H1050" s="1" t="s">
        <v>4395</v>
      </c>
      <c r="I1050" s="1" t="s">
        <v>31</v>
      </c>
      <c r="J1050" s="1">
        <v>32.0</v>
      </c>
      <c r="K1050" s="1">
        <v>2015.0</v>
      </c>
      <c r="L1050" s="1">
        <v>2013.0</v>
      </c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 t="s">
        <v>412</v>
      </c>
      <c r="Y1050" s="1" t="s">
        <v>4396</v>
      </c>
    </row>
    <row r="1051">
      <c r="A1051" s="1">
        <v>33049.0</v>
      </c>
      <c r="B1051" s="1" t="s">
        <v>4397</v>
      </c>
      <c r="C1051" s="1" t="s">
        <v>4398</v>
      </c>
      <c r="D1051" s="1" t="s">
        <v>4399</v>
      </c>
      <c r="E1051" s="1" t="s">
        <v>4400</v>
      </c>
      <c r="F1051" s="2" t="str">
        <f>"0064442314"</f>
        <v>0064442314</v>
      </c>
      <c r="G1051" s="2" t="str">
        <f>"9780064442312"</f>
        <v>9780064442312</v>
      </c>
      <c r="H1051" s="1" t="s">
        <v>290</v>
      </c>
      <c r="I1051" s="1" t="s">
        <v>36</v>
      </c>
      <c r="J1051" s="1">
        <v>32.0</v>
      </c>
      <c r="K1051" s="1">
        <v>1999.0</v>
      </c>
      <c r="L1051" s="1">
        <v>1963.0</v>
      </c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 t="s">
        <v>51</v>
      </c>
      <c r="Y1051" s="1" t="s">
        <v>4401</v>
      </c>
    </row>
    <row r="1052">
      <c r="A1052" s="1">
        <v>5022157.0</v>
      </c>
      <c r="B1052" s="1" t="s">
        <v>4402</v>
      </c>
      <c r="C1052" s="1" t="s">
        <v>4403</v>
      </c>
      <c r="D1052" s="1" t="s">
        <v>4404</v>
      </c>
      <c r="E1052" s="1" t="s">
        <v>4405</v>
      </c>
      <c r="F1052" s="2" t="str">
        <f>"0979974623"</f>
        <v>0979974623</v>
      </c>
      <c r="G1052" s="2" t="str">
        <f>"9780979974625"</f>
        <v>9780979974625</v>
      </c>
      <c r="H1052" s="1" t="s">
        <v>4406</v>
      </c>
      <c r="I1052" s="1" t="s">
        <v>31</v>
      </c>
      <c r="J1052" s="1">
        <v>32.0</v>
      </c>
      <c r="K1052" s="1">
        <v>2009.0</v>
      </c>
      <c r="L1052" s="1">
        <v>2009.0</v>
      </c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 t="s">
        <v>146</v>
      </c>
      <c r="Y1052" s="1" t="s">
        <v>4407</v>
      </c>
    </row>
    <row r="1053">
      <c r="A1053" s="1">
        <v>1.5814389E7</v>
      </c>
      <c r="B1053" s="1" t="s">
        <v>4408</v>
      </c>
      <c r="C1053" s="1" t="s">
        <v>4409</v>
      </c>
      <c r="D1053" s="1" t="s">
        <v>4410</v>
      </c>
      <c r="E1053" s="1" t="s">
        <v>4411</v>
      </c>
      <c r="F1053" s="2" t="str">
        <f>"0152058060"</f>
        <v>0152058060</v>
      </c>
      <c r="G1053" s="2" t="str">
        <f>"9780152058067"</f>
        <v>9780152058067</v>
      </c>
      <c r="H1053" s="1" t="s">
        <v>1799</v>
      </c>
      <c r="I1053" s="1" t="s">
        <v>31</v>
      </c>
      <c r="J1053" s="1">
        <v>32.0</v>
      </c>
      <c r="K1053" s="1">
        <v>2013.0</v>
      </c>
      <c r="L1053" s="1">
        <v>2013.0</v>
      </c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 t="s">
        <v>742</v>
      </c>
      <c r="Y1053" s="1" t="s">
        <v>4412</v>
      </c>
    </row>
    <row r="1054">
      <c r="A1054" s="1">
        <v>826584.0</v>
      </c>
      <c r="B1054" s="1" t="s">
        <v>4413</v>
      </c>
      <c r="C1054" s="1" t="s">
        <v>4414</v>
      </c>
      <c r="D1054" s="1" t="s">
        <v>4415</v>
      </c>
      <c r="E1054" s="1" t="s">
        <v>1749</v>
      </c>
      <c r="F1054" s="2" t="str">
        <f>"0060244054"</f>
        <v>0060244054</v>
      </c>
      <c r="G1054" s="2" t="str">
        <f>"9780060244057"</f>
        <v>9780060244057</v>
      </c>
      <c r="H1054" s="1" t="s">
        <v>290</v>
      </c>
      <c r="I1054" s="1" t="s">
        <v>31</v>
      </c>
      <c r="J1054" s="1">
        <v>32.0</v>
      </c>
      <c r="K1054" s="1">
        <v>1991.0</v>
      </c>
      <c r="L1054" s="1">
        <v>1991.0</v>
      </c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 t="s">
        <v>1352</v>
      </c>
      <c r="Y1054" s="1" t="s">
        <v>4416</v>
      </c>
    </row>
    <row r="1055">
      <c r="A1055" s="1">
        <v>826582.0</v>
      </c>
      <c r="B1055" s="1" t="s">
        <v>4417</v>
      </c>
      <c r="C1055" s="1" t="s">
        <v>4414</v>
      </c>
      <c r="D1055" s="1" t="s">
        <v>4415</v>
      </c>
      <c r="E1055" s="1" t="s">
        <v>1749</v>
      </c>
      <c r="F1055" s="2" t="str">
        <f>"0060283289"</f>
        <v>0060283289</v>
      </c>
      <c r="G1055" s="2" t="str">
        <f>"9780060283285"</f>
        <v>9780060283285</v>
      </c>
      <c r="H1055" s="1" t="s">
        <v>290</v>
      </c>
      <c r="I1055" s="1" t="s">
        <v>31</v>
      </c>
      <c r="J1055" s="1">
        <v>32.0</v>
      </c>
      <c r="K1055" s="1">
        <v>2002.0</v>
      </c>
      <c r="L1055" s="1">
        <v>2002.0</v>
      </c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 t="s">
        <v>1352</v>
      </c>
      <c r="Y1055" s="1" t="s">
        <v>4418</v>
      </c>
    </row>
    <row r="1056">
      <c r="A1056" s="1">
        <v>1.0550292E7</v>
      </c>
      <c r="B1056" s="1" t="s">
        <v>4419</v>
      </c>
      <c r="C1056" s="1" t="s">
        <v>1747</v>
      </c>
      <c r="D1056" s="1" t="s">
        <v>1748</v>
      </c>
      <c r="E1056" s="1" t="s">
        <v>1749</v>
      </c>
      <c r="F1056" s="2" t="str">
        <f>"006026683X"</f>
        <v>006026683X</v>
      </c>
      <c r="G1056" s="2" t="str">
        <f>"9780060266837"</f>
        <v>9780060266837</v>
      </c>
      <c r="H1056" s="1" t="s">
        <v>290</v>
      </c>
      <c r="I1056" s="1" t="s">
        <v>31</v>
      </c>
      <c r="J1056" s="1">
        <v>32.0</v>
      </c>
      <c r="K1056" s="1">
        <v>2011.0</v>
      </c>
      <c r="L1056" s="1">
        <v>2011.0</v>
      </c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 t="s">
        <v>1352</v>
      </c>
      <c r="Y1056" s="1" t="s">
        <v>4420</v>
      </c>
    </row>
    <row r="1057">
      <c r="A1057" s="1">
        <v>1116883.0</v>
      </c>
      <c r="B1057" s="1" t="s">
        <v>4421</v>
      </c>
      <c r="C1057" s="1" t="s">
        <v>1747</v>
      </c>
      <c r="D1057" s="1" t="s">
        <v>1748</v>
      </c>
      <c r="E1057" s="1" t="s">
        <v>1749</v>
      </c>
      <c r="F1057" s="2" t="str">
        <f>"0060283165"</f>
        <v>0060283165</v>
      </c>
      <c r="G1057" s="2" t="str">
        <f>"9780060283162"</f>
        <v>9780060283162</v>
      </c>
      <c r="H1057" s="1" t="s">
        <v>290</v>
      </c>
      <c r="I1057" s="1" t="s">
        <v>31</v>
      </c>
      <c r="J1057" s="1">
        <v>32.0</v>
      </c>
      <c r="K1057" s="1">
        <v>1999.0</v>
      </c>
      <c r="L1057" s="1">
        <v>1998.0</v>
      </c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 t="s">
        <v>1352</v>
      </c>
      <c r="Y1057" s="1" t="s">
        <v>4422</v>
      </c>
    </row>
    <row r="1058">
      <c r="A1058" s="1">
        <v>1.808543E7</v>
      </c>
      <c r="B1058" s="1" t="s">
        <v>4423</v>
      </c>
      <c r="C1058" s="1" t="s">
        <v>905</v>
      </c>
      <c r="D1058" s="1" t="s">
        <v>906</v>
      </c>
      <c r="E1058" s="1" t="s">
        <v>1753</v>
      </c>
      <c r="F1058" s="2" t="str">
        <f>"0062083198"</f>
        <v>0062083198</v>
      </c>
      <c r="G1058" s="2" t="str">
        <f>"9780062083197"</f>
        <v>9780062083197</v>
      </c>
      <c r="H1058" s="1" t="s">
        <v>290</v>
      </c>
      <c r="I1058" s="1" t="s">
        <v>31</v>
      </c>
      <c r="J1058" s="1">
        <v>32.0</v>
      </c>
      <c r="K1058" s="1">
        <v>2014.0</v>
      </c>
      <c r="L1058" s="1">
        <v>2014.0</v>
      </c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 t="s">
        <v>370</v>
      </c>
      <c r="Y1058" s="1" t="s">
        <v>4424</v>
      </c>
    </row>
    <row r="1059">
      <c r="A1059" s="1">
        <v>1152247.0</v>
      </c>
      <c r="B1059" s="1" t="s">
        <v>4425</v>
      </c>
      <c r="C1059" s="1" t="s">
        <v>905</v>
      </c>
      <c r="D1059" s="1" t="s">
        <v>906</v>
      </c>
      <c r="E1059" s="1" t="s">
        <v>1753</v>
      </c>
      <c r="F1059" s="2" t="str">
        <f>"0061235881"</f>
        <v>0061235881</v>
      </c>
      <c r="G1059" s="2" t="str">
        <f>"9780061235887"</f>
        <v>9780061235887</v>
      </c>
      <c r="H1059" s="1" t="s">
        <v>290</v>
      </c>
      <c r="I1059" s="1" t="s">
        <v>31</v>
      </c>
      <c r="J1059" s="1">
        <v>32.0</v>
      </c>
      <c r="K1059" s="1">
        <v>2008.0</v>
      </c>
      <c r="L1059" s="1">
        <v>2008.0</v>
      </c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 t="s">
        <v>370</v>
      </c>
      <c r="Y1059" s="1" t="s">
        <v>4426</v>
      </c>
    </row>
    <row r="1060">
      <c r="A1060" s="1">
        <v>426625.0</v>
      </c>
      <c r="B1060" s="1" t="s">
        <v>4427</v>
      </c>
      <c r="C1060" s="1" t="s">
        <v>905</v>
      </c>
      <c r="D1060" s="1" t="s">
        <v>906</v>
      </c>
      <c r="E1060" s="1" t="s">
        <v>1753</v>
      </c>
      <c r="F1060" s="2" t="str">
        <f>"0060542098"</f>
        <v>0060542098</v>
      </c>
      <c r="G1060" s="2" t="str">
        <f>"9780060542092"</f>
        <v>9780060542092</v>
      </c>
      <c r="H1060" s="1" t="s">
        <v>290</v>
      </c>
      <c r="I1060" s="1" t="s">
        <v>31</v>
      </c>
      <c r="J1060" s="1">
        <v>32.0</v>
      </c>
      <c r="K1060" s="1">
        <v>2005.0</v>
      </c>
      <c r="L1060" s="1">
        <v>1987.0</v>
      </c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 t="s">
        <v>370</v>
      </c>
      <c r="Y1060" s="1" t="s">
        <v>4428</v>
      </c>
    </row>
    <row r="1061">
      <c r="A1061" s="1">
        <v>426626.0</v>
      </c>
      <c r="B1061" s="1" t="s">
        <v>4429</v>
      </c>
      <c r="C1061" s="1" t="s">
        <v>905</v>
      </c>
      <c r="D1061" s="1" t="s">
        <v>906</v>
      </c>
      <c r="E1061" s="1" t="s">
        <v>1753</v>
      </c>
      <c r="F1061" s="2" t="str">
        <f>"0060542136"</f>
        <v>0060542136</v>
      </c>
      <c r="G1061" s="2" t="str">
        <f>"9780060542139"</f>
        <v>9780060542139</v>
      </c>
      <c r="H1061" s="1" t="s">
        <v>290</v>
      </c>
      <c r="I1061" s="1" t="s">
        <v>31</v>
      </c>
      <c r="J1061" s="1">
        <v>32.0</v>
      </c>
      <c r="K1061" s="1">
        <v>2007.0</v>
      </c>
      <c r="L1061" s="1">
        <v>2007.0</v>
      </c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 t="s">
        <v>370</v>
      </c>
      <c r="Y1061" s="1" t="s">
        <v>4430</v>
      </c>
    </row>
    <row r="1062">
      <c r="A1062" s="1">
        <v>7157789.0</v>
      </c>
      <c r="B1062" s="1" t="s">
        <v>4431</v>
      </c>
      <c r="C1062" s="1" t="s">
        <v>905</v>
      </c>
      <c r="D1062" s="1" t="s">
        <v>906</v>
      </c>
      <c r="E1062" s="1" t="s">
        <v>1753</v>
      </c>
      <c r="F1062" s="2" t="str">
        <f>"0061873276"</f>
        <v>0061873276</v>
      </c>
      <c r="G1062" s="2" t="str">
        <f>"9780061873270"</f>
        <v>9780061873270</v>
      </c>
      <c r="H1062" s="1" t="s">
        <v>290</v>
      </c>
      <c r="I1062" s="1" t="s">
        <v>31</v>
      </c>
      <c r="J1062" s="1">
        <v>32.0</v>
      </c>
      <c r="K1062" s="1">
        <v>2010.0</v>
      </c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 t="s">
        <v>51</v>
      </c>
      <c r="Y1062" s="1" t="s">
        <v>4432</v>
      </c>
    </row>
    <row r="1063">
      <c r="A1063" s="1">
        <v>8618163.0</v>
      </c>
      <c r="B1063" s="1" t="s">
        <v>4433</v>
      </c>
      <c r="C1063" s="1" t="s">
        <v>905</v>
      </c>
      <c r="D1063" s="1" t="s">
        <v>906</v>
      </c>
      <c r="E1063" s="1" t="s">
        <v>1753</v>
      </c>
      <c r="F1063" s="2" t="str">
        <f>"0061882704"</f>
        <v>0061882704</v>
      </c>
      <c r="G1063" s="2" t="str">
        <f>"9780061882708"</f>
        <v>9780061882708</v>
      </c>
      <c r="H1063" s="1" t="s">
        <v>290</v>
      </c>
      <c r="I1063" s="1" t="s">
        <v>31</v>
      </c>
      <c r="J1063" s="1">
        <v>32.0</v>
      </c>
      <c r="K1063" s="1">
        <v>2010.0</v>
      </c>
      <c r="L1063" s="1">
        <v>2010.0</v>
      </c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 t="s">
        <v>329</v>
      </c>
      <c r="Y1063" s="1" t="s">
        <v>4434</v>
      </c>
    </row>
    <row r="1064">
      <c r="A1064" s="1">
        <v>1.3133021E7</v>
      </c>
      <c r="B1064" s="1" t="s">
        <v>4435</v>
      </c>
      <c r="C1064" s="1" t="s">
        <v>905</v>
      </c>
      <c r="D1064" s="1" t="s">
        <v>906</v>
      </c>
      <c r="E1064" s="1" t="s">
        <v>4436</v>
      </c>
      <c r="F1064" s="2" t="str">
        <f>"0062083058"</f>
        <v>0062083058</v>
      </c>
      <c r="G1064" s="2" t="str">
        <f>"9780062083050"</f>
        <v>9780062083050</v>
      </c>
      <c r="H1064" s="1" t="s">
        <v>290</v>
      </c>
      <c r="I1064" s="1" t="s">
        <v>31</v>
      </c>
      <c r="J1064" s="1">
        <v>32.0</v>
      </c>
      <c r="K1064" s="1">
        <v>2012.0</v>
      </c>
      <c r="L1064" s="1">
        <v>2012.0</v>
      </c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 t="s">
        <v>1422</v>
      </c>
      <c r="Y1064" s="1" t="s">
        <v>4437</v>
      </c>
    </row>
    <row r="1065">
      <c r="A1065" s="1">
        <v>2.5816825E7</v>
      </c>
      <c r="B1065" s="1" t="s">
        <v>4438</v>
      </c>
      <c r="C1065" s="1" t="s">
        <v>905</v>
      </c>
      <c r="D1065" s="1" t="s">
        <v>906</v>
      </c>
      <c r="E1065" s="1" t="s">
        <v>1753</v>
      </c>
      <c r="F1065" s="2" t="str">
        <f>"0062269828"</f>
        <v>0062269828</v>
      </c>
      <c r="G1065" s="2" t="str">
        <f>"9780062269829"</f>
        <v>9780062269829</v>
      </c>
      <c r="H1065" s="1" t="s">
        <v>290</v>
      </c>
      <c r="I1065" s="1" t="s">
        <v>31</v>
      </c>
      <c r="J1065" s="1">
        <v>32.0</v>
      </c>
      <c r="K1065" s="1">
        <v>2016.0</v>
      </c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 t="s">
        <v>1422</v>
      </c>
      <c r="Y1065" s="1" t="s">
        <v>4439</v>
      </c>
    </row>
    <row r="1066">
      <c r="A1066" s="1">
        <v>2.8218919E7</v>
      </c>
      <c r="B1066" s="1" t="s">
        <v>4440</v>
      </c>
      <c r="C1066" s="1" t="s">
        <v>905</v>
      </c>
      <c r="D1066" s="1" t="s">
        <v>906</v>
      </c>
      <c r="E1066" s="1" t="s">
        <v>1753</v>
      </c>
      <c r="F1066" s="2" t="str">
        <f>"0062377841"</f>
        <v>0062377841</v>
      </c>
      <c r="G1066" s="2" t="str">
        <f>"9780062377845"</f>
        <v>9780062377845</v>
      </c>
      <c r="H1066" s="1" t="s">
        <v>290</v>
      </c>
      <c r="I1066" s="1" t="s">
        <v>31</v>
      </c>
      <c r="J1066" s="1">
        <v>32.0</v>
      </c>
      <c r="K1066" s="1">
        <v>2016.0</v>
      </c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 t="s">
        <v>1422</v>
      </c>
      <c r="Y1066" s="1" t="s">
        <v>4441</v>
      </c>
    </row>
    <row r="1067">
      <c r="A1067" s="1">
        <v>1.736457E7</v>
      </c>
      <c r="B1067" s="1" t="s">
        <v>4442</v>
      </c>
      <c r="C1067" s="1" t="s">
        <v>905</v>
      </c>
      <c r="D1067" s="1" t="s">
        <v>906</v>
      </c>
      <c r="E1067" s="1" t="s">
        <v>1753</v>
      </c>
      <c r="F1067" s="2" t="str">
        <f>"0062083112"</f>
        <v>0062083112</v>
      </c>
      <c r="G1067" s="2" t="str">
        <f>"9780062083111"</f>
        <v>9780062083111</v>
      </c>
      <c r="H1067" s="1" t="s">
        <v>290</v>
      </c>
      <c r="I1067" s="1" t="s">
        <v>31</v>
      </c>
      <c r="J1067" s="1">
        <v>32.0</v>
      </c>
      <c r="K1067" s="1">
        <v>2013.0</v>
      </c>
      <c r="L1067" s="1">
        <v>2013.0</v>
      </c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 t="s">
        <v>1422</v>
      </c>
      <c r="Y1067" s="1" t="s">
        <v>4443</v>
      </c>
    </row>
    <row r="1068">
      <c r="A1068" s="1">
        <v>1.2991342E7</v>
      </c>
      <c r="B1068" s="1" t="s">
        <v>4444</v>
      </c>
      <c r="C1068" s="1" t="s">
        <v>905</v>
      </c>
      <c r="D1068" s="1" t="s">
        <v>906</v>
      </c>
      <c r="E1068" s="1" t="s">
        <v>1753</v>
      </c>
      <c r="F1068" s="2" t="str">
        <f>"0062083015"</f>
        <v>0062083015</v>
      </c>
      <c r="G1068" s="2" t="str">
        <f>"9780062083012"</f>
        <v>9780062083012</v>
      </c>
      <c r="H1068" s="1" t="s">
        <v>290</v>
      </c>
      <c r="I1068" s="1" t="s">
        <v>31</v>
      </c>
      <c r="J1068" s="1">
        <v>32.0</v>
      </c>
      <c r="K1068" s="1">
        <v>2012.0</v>
      </c>
      <c r="L1068" s="1">
        <v>2012.0</v>
      </c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 t="s">
        <v>1422</v>
      </c>
      <c r="Y1068" s="1" t="s">
        <v>4445</v>
      </c>
    </row>
    <row r="1069">
      <c r="A1069" s="1">
        <v>1.1058841E7</v>
      </c>
      <c r="B1069" s="1" t="s">
        <v>4446</v>
      </c>
      <c r="C1069" s="1" t="s">
        <v>905</v>
      </c>
      <c r="D1069" s="1" t="s">
        <v>906</v>
      </c>
      <c r="E1069" s="1" t="s">
        <v>1753</v>
      </c>
      <c r="F1069" s="2" t="str">
        <f>"0062001809"</f>
        <v>0062001809</v>
      </c>
      <c r="G1069" s="2" t="str">
        <f>"9780062001801"</f>
        <v>9780062001801</v>
      </c>
      <c r="H1069" s="1" t="s">
        <v>290</v>
      </c>
      <c r="I1069" s="1" t="s">
        <v>31</v>
      </c>
      <c r="J1069" s="1">
        <v>32.0</v>
      </c>
      <c r="K1069" s="1">
        <v>2011.0</v>
      </c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 t="s">
        <v>1422</v>
      </c>
      <c r="Y1069" s="1" t="s">
        <v>4447</v>
      </c>
    </row>
    <row r="1070">
      <c r="A1070" s="1">
        <v>1.2264509E7</v>
      </c>
      <c r="B1070" s="1" t="s">
        <v>4448</v>
      </c>
      <c r="C1070" s="1" t="s">
        <v>905</v>
      </c>
      <c r="D1070" s="1" t="s">
        <v>906</v>
      </c>
      <c r="E1070" s="1" t="s">
        <v>1753</v>
      </c>
      <c r="F1070" s="2" t="str">
        <f>"0061703818"</f>
        <v>0061703818</v>
      </c>
      <c r="G1070" s="2" t="str">
        <f>"9780061703812"</f>
        <v>9780061703812</v>
      </c>
      <c r="H1070" s="1" t="s">
        <v>290</v>
      </c>
      <c r="I1070" s="1" t="s">
        <v>31</v>
      </c>
      <c r="J1070" s="1">
        <v>32.0</v>
      </c>
      <c r="K1070" s="1">
        <v>2012.0</v>
      </c>
      <c r="L1070" s="1">
        <v>2011.0</v>
      </c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 t="s">
        <v>3824</v>
      </c>
      <c r="Y1070" s="1" t="s">
        <v>4449</v>
      </c>
    </row>
    <row r="1071">
      <c r="A1071" s="1">
        <v>6713256.0</v>
      </c>
      <c r="B1071" s="1" t="s">
        <v>4450</v>
      </c>
      <c r="C1071" s="1" t="s">
        <v>905</v>
      </c>
      <c r="D1071" s="1" t="s">
        <v>906</v>
      </c>
      <c r="E1071" s="1" t="s">
        <v>1753</v>
      </c>
      <c r="F1071" s="2" t="str">
        <f>"0061235903"</f>
        <v>0061235903</v>
      </c>
      <c r="G1071" s="2" t="str">
        <f>"9780061235900"</f>
        <v>9780061235900</v>
      </c>
      <c r="H1071" s="1" t="s">
        <v>290</v>
      </c>
      <c r="I1071" s="1" t="s">
        <v>31</v>
      </c>
      <c r="J1071" s="1">
        <v>32.0</v>
      </c>
      <c r="K1071" s="1">
        <v>2009.0</v>
      </c>
      <c r="L1071" s="1">
        <v>2009.0</v>
      </c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 t="s">
        <v>4451</v>
      </c>
      <c r="Y1071" s="1" t="s">
        <v>4452</v>
      </c>
    </row>
    <row r="1072">
      <c r="A1072" s="1">
        <v>1.8887792E7</v>
      </c>
      <c r="B1072" s="1" t="s">
        <v>4453</v>
      </c>
      <c r="C1072" s="1" t="s">
        <v>905</v>
      </c>
      <c r="D1072" s="1" t="s">
        <v>906</v>
      </c>
      <c r="E1072" s="1" t="s">
        <v>1753</v>
      </c>
      <c r="F1072" s="2" t="str">
        <f>"0062083090"</f>
        <v>0062083090</v>
      </c>
      <c r="G1072" s="2" t="str">
        <f>"9780062083098"</f>
        <v>9780062083098</v>
      </c>
      <c r="H1072" s="1" t="s">
        <v>290</v>
      </c>
      <c r="I1072" s="1" t="s">
        <v>238</v>
      </c>
      <c r="J1072" s="1">
        <v>32.0</v>
      </c>
      <c r="K1072" s="1">
        <v>2012.0</v>
      </c>
      <c r="L1072" s="1">
        <v>2012.0</v>
      </c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 t="s">
        <v>329</v>
      </c>
      <c r="Y1072" s="1" t="s">
        <v>4454</v>
      </c>
    </row>
    <row r="1073">
      <c r="A1073" s="1">
        <v>224948.0</v>
      </c>
      <c r="B1073" s="1" t="s">
        <v>4455</v>
      </c>
      <c r="C1073" s="1" t="s">
        <v>905</v>
      </c>
      <c r="D1073" s="1" t="s">
        <v>906</v>
      </c>
      <c r="E1073" s="1" t="s">
        <v>4456</v>
      </c>
      <c r="F1073" s="2" t="str">
        <f>"044842519X"</f>
        <v>044842519X</v>
      </c>
      <c r="G1073" s="2" t="str">
        <f>"9780448425191"</f>
        <v>9780448425191</v>
      </c>
      <c r="H1073" s="1" t="s">
        <v>2014</v>
      </c>
      <c r="I1073" s="1" t="s">
        <v>36</v>
      </c>
      <c r="J1073" s="1">
        <v>32.0</v>
      </c>
      <c r="K1073" s="1">
        <v>2002.0</v>
      </c>
      <c r="L1073" s="1">
        <v>2002.0</v>
      </c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 t="s">
        <v>897</v>
      </c>
      <c r="Y1073" s="1" t="s">
        <v>4457</v>
      </c>
    </row>
    <row r="1074">
      <c r="A1074" s="1">
        <v>1410641.0</v>
      </c>
      <c r="B1074" s="1" t="s">
        <v>4458</v>
      </c>
      <c r="C1074" s="1" t="s">
        <v>905</v>
      </c>
      <c r="D1074" s="1" t="s">
        <v>906</v>
      </c>
      <c r="E1074" s="1" t="s">
        <v>1753</v>
      </c>
      <c r="F1074" s="2" t="str">
        <f>"0061236098"</f>
        <v>0061236098</v>
      </c>
      <c r="G1074" s="2" t="str">
        <f>"9780061236099"</f>
        <v>9780061236099</v>
      </c>
      <c r="H1074" s="1" t="s">
        <v>290</v>
      </c>
      <c r="I1074" s="1" t="s">
        <v>36</v>
      </c>
      <c r="J1074" s="1">
        <v>32.0</v>
      </c>
      <c r="K1074" s="1">
        <v>2008.0</v>
      </c>
      <c r="L1074" s="1">
        <v>2008.0</v>
      </c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 t="s">
        <v>329</v>
      </c>
      <c r="Y1074" s="1" t="s">
        <v>4459</v>
      </c>
    </row>
    <row r="1075">
      <c r="A1075" s="1">
        <v>3864843.0</v>
      </c>
      <c r="B1075" s="1" t="s">
        <v>4460</v>
      </c>
      <c r="C1075" s="1" t="s">
        <v>905</v>
      </c>
      <c r="D1075" s="1" t="s">
        <v>906</v>
      </c>
      <c r="E1075" s="1" t="s">
        <v>1753</v>
      </c>
      <c r="F1075" s="2" t="str">
        <f>"0061236136"</f>
        <v>0061236136</v>
      </c>
      <c r="G1075" s="2" t="str">
        <f>"9780061236136"</f>
        <v>9780061236136</v>
      </c>
      <c r="H1075" s="1" t="s">
        <v>290</v>
      </c>
      <c r="I1075" s="1" t="s">
        <v>36</v>
      </c>
      <c r="J1075" s="1">
        <v>32.0</v>
      </c>
      <c r="K1075" s="1">
        <v>2008.0</v>
      </c>
      <c r="L1075" s="1">
        <v>2008.0</v>
      </c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 t="s">
        <v>329</v>
      </c>
      <c r="Y1075" s="1" t="s">
        <v>4461</v>
      </c>
    </row>
    <row r="1076">
      <c r="A1076" s="1">
        <v>1410640.0</v>
      </c>
      <c r="B1076" s="1" t="s">
        <v>4462</v>
      </c>
      <c r="C1076" s="1" t="s">
        <v>905</v>
      </c>
      <c r="D1076" s="1" t="s">
        <v>906</v>
      </c>
      <c r="E1076" s="1" t="s">
        <v>1753</v>
      </c>
      <c r="F1076" s="2" t="str">
        <f>"0061236071"</f>
        <v>0061236071</v>
      </c>
      <c r="G1076" s="2" t="str">
        <f>"9780061236075"</f>
        <v>9780061236075</v>
      </c>
      <c r="H1076" s="1" t="s">
        <v>290</v>
      </c>
      <c r="I1076" s="1" t="s">
        <v>36</v>
      </c>
      <c r="J1076" s="1">
        <v>32.0</v>
      </c>
      <c r="K1076" s="1">
        <v>2008.0</v>
      </c>
      <c r="L1076" s="1">
        <v>2008.0</v>
      </c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 t="s">
        <v>1422</v>
      </c>
      <c r="Y1076" s="1" t="s">
        <v>4463</v>
      </c>
    </row>
    <row r="1077">
      <c r="A1077" s="1">
        <v>7895449.0</v>
      </c>
      <c r="B1077" s="1" t="s">
        <v>4464</v>
      </c>
      <c r="C1077" s="1" t="s">
        <v>905</v>
      </c>
      <c r="D1077" s="1" t="s">
        <v>906</v>
      </c>
      <c r="E1077" s="1" t="s">
        <v>1753</v>
      </c>
      <c r="F1077" s="2" t="str">
        <f>"0061882682"</f>
        <v>0061882682</v>
      </c>
      <c r="G1077" s="2" t="str">
        <f>"9780061882685"</f>
        <v>9780061882685</v>
      </c>
      <c r="H1077" s="1" t="s">
        <v>290</v>
      </c>
      <c r="I1077" s="1" t="s">
        <v>36</v>
      </c>
      <c r="J1077" s="1">
        <v>32.0</v>
      </c>
      <c r="K1077" s="1">
        <v>2010.0</v>
      </c>
      <c r="L1077" s="1">
        <v>2010.0</v>
      </c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 t="s">
        <v>1422</v>
      </c>
      <c r="Y1077" s="1" t="s">
        <v>4465</v>
      </c>
    </row>
    <row r="1078">
      <c r="A1078" s="1">
        <v>6620311.0</v>
      </c>
      <c r="B1078" s="1" t="s">
        <v>4466</v>
      </c>
      <c r="C1078" s="1" t="s">
        <v>905</v>
      </c>
      <c r="D1078" s="1" t="s">
        <v>906</v>
      </c>
      <c r="E1078" s="1" t="s">
        <v>1753</v>
      </c>
      <c r="F1078" s="2" t="str">
        <f>"0061703745"</f>
        <v>0061703745</v>
      </c>
      <c r="G1078" s="2" t="str">
        <f>"9780061703744"</f>
        <v>9780061703744</v>
      </c>
      <c r="H1078" s="1" t="s">
        <v>290</v>
      </c>
      <c r="I1078" s="1" t="s">
        <v>36</v>
      </c>
      <c r="J1078" s="1">
        <v>32.0</v>
      </c>
      <c r="K1078" s="1">
        <v>2009.0</v>
      </c>
      <c r="L1078" s="1">
        <v>2009.0</v>
      </c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 t="s">
        <v>1422</v>
      </c>
      <c r="Y1078" s="1" t="s">
        <v>4467</v>
      </c>
    </row>
    <row r="1079">
      <c r="A1079" s="1">
        <v>3340980.0</v>
      </c>
      <c r="B1079" s="1" t="s">
        <v>4468</v>
      </c>
      <c r="C1079" s="1" t="s">
        <v>905</v>
      </c>
      <c r="D1079" s="1" t="s">
        <v>906</v>
      </c>
      <c r="E1079" s="1" t="s">
        <v>1753</v>
      </c>
      <c r="F1079" s="2" t="str">
        <f>"006123611X"</f>
        <v>006123611X</v>
      </c>
      <c r="G1079" s="2" t="str">
        <f>"9780061236112"</f>
        <v>9780061236112</v>
      </c>
      <c r="H1079" s="1" t="s">
        <v>290</v>
      </c>
      <c r="I1079" s="1" t="s">
        <v>36</v>
      </c>
      <c r="J1079" s="1">
        <v>32.0</v>
      </c>
      <c r="K1079" s="1">
        <v>2008.0</v>
      </c>
      <c r="L1079" s="1">
        <v>2008.0</v>
      </c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 t="s">
        <v>1422</v>
      </c>
      <c r="Y1079" s="1" t="s">
        <v>4469</v>
      </c>
    </row>
    <row r="1080">
      <c r="A1080" s="1">
        <v>3145452.0</v>
      </c>
      <c r="B1080" s="1" t="s">
        <v>4470</v>
      </c>
      <c r="C1080" s="1" t="s">
        <v>4471</v>
      </c>
      <c r="D1080" s="1" t="s">
        <v>4472</v>
      </c>
      <c r="F1080" s="2" t="str">
        <f>"1856973115"</f>
        <v>1856973115</v>
      </c>
      <c r="G1080" s="2" t="str">
        <f>"9781856973113"</f>
        <v>9781856973113</v>
      </c>
      <c r="H1080" s="1" t="s">
        <v>2188</v>
      </c>
      <c r="I1080" s="1" t="s">
        <v>36</v>
      </c>
      <c r="J1080" s="1">
        <v>32.0</v>
      </c>
      <c r="K1080" s="1">
        <v>1995.0</v>
      </c>
      <c r="L1080" s="1">
        <v>1995.0</v>
      </c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 t="s">
        <v>131</v>
      </c>
      <c r="Y1080" s="1" t="s">
        <v>4473</v>
      </c>
    </row>
    <row r="1081">
      <c r="A1081" s="1">
        <v>2661201.0</v>
      </c>
      <c r="B1081" s="1" t="s">
        <v>4474</v>
      </c>
      <c r="C1081" s="1" t="s">
        <v>4475</v>
      </c>
      <c r="D1081" s="1" t="s">
        <v>4476</v>
      </c>
      <c r="E1081" s="1" t="s">
        <v>4477</v>
      </c>
      <c r="F1081" s="2" t="str">
        <f>"0439318092"</f>
        <v>0439318092</v>
      </c>
      <c r="G1081" s="2" t="str">
        <f>"9780439318099"</f>
        <v>9780439318099</v>
      </c>
      <c r="H1081" s="1" t="s">
        <v>2944</v>
      </c>
      <c r="I1081" s="1" t="s">
        <v>36</v>
      </c>
      <c r="J1081" s="1">
        <v>32.0</v>
      </c>
      <c r="K1081" s="1">
        <v>2001.0</v>
      </c>
      <c r="L1081" s="1">
        <v>2000.0</v>
      </c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 t="s">
        <v>1084</v>
      </c>
      <c r="Y1081" s="1" t="s">
        <v>4478</v>
      </c>
    </row>
    <row r="1082">
      <c r="A1082" s="1">
        <v>2.6113657E7</v>
      </c>
      <c r="B1082" s="1" t="s">
        <v>4479</v>
      </c>
      <c r="C1082" s="1" t="s">
        <v>4480</v>
      </c>
      <c r="D1082" s="1" t="s">
        <v>4481</v>
      </c>
      <c r="E1082" s="1" t="s">
        <v>4482</v>
      </c>
      <c r="F1082" s="2" t="str">
        <f>"1934649635"</f>
        <v>1934649635</v>
      </c>
      <c r="G1082" s="2" t="str">
        <f>"9781934649633"</f>
        <v>9781934649633</v>
      </c>
      <c r="H1082" s="1" t="s">
        <v>4483</v>
      </c>
      <c r="I1082" s="1" t="s">
        <v>31</v>
      </c>
      <c r="J1082" s="1">
        <v>32.0</v>
      </c>
      <c r="K1082" s="1">
        <v>2016.0</v>
      </c>
      <c r="L1082" s="1">
        <v>2016.0</v>
      </c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 t="s">
        <v>1105</v>
      </c>
      <c r="Y1082" s="1" t="s">
        <v>4484</v>
      </c>
    </row>
    <row r="1083">
      <c r="A1083" s="1">
        <v>5.6550855E7</v>
      </c>
      <c r="B1083" s="1" t="s">
        <v>4485</v>
      </c>
      <c r="C1083" s="1" t="s">
        <v>4486</v>
      </c>
      <c r="D1083" s="1" t="s">
        <v>4487</v>
      </c>
      <c r="E1083" s="1" t="s">
        <v>4488</v>
      </c>
      <c r="F1083" s="2" t="str">
        <f>"1681155613"</f>
        <v>1681155613</v>
      </c>
      <c r="G1083" s="2" t="str">
        <f>"9781681155616"</f>
        <v>9781681155616</v>
      </c>
      <c r="H1083" s="1" t="s">
        <v>4489</v>
      </c>
      <c r="I1083" s="1" t="s">
        <v>31</v>
      </c>
      <c r="J1083" s="1">
        <v>32.0</v>
      </c>
      <c r="K1083" s="1">
        <v>2021.0</v>
      </c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 t="s">
        <v>1195</v>
      </c>
      <c r="Y1083" s="1" t="s">
        <v>4490</v>
      </c>
    </row>
    <row r="1084">
      <c r="A1084" s="1">
        <v>2229287.0</v>
      </c>
      <c r="B1084" s="1" t="s">
        <v>4491</v>
      </c>
      <c r="C1084" s="1" t="s">
        <v>4492</v>
      </c>
      <c r="D1084" s="1" t="s">
        <v>4493</v>
      </c>
      <c r="F1084" s="2" t="str">
        <f>"1567998666"</f>
        <v>1567998666</v>
      </c>
      <c r="G1084" s="2" t="str">
        <f>"9781567998665"</f>
        <v>9781567998665</v>
      </c>
      <c r="H1084" s="1" t="s">
        <v>4494</v>
      </c>
      <c r="I1084" s="1" t="s">
        <v>31</v>
      </c>
      <c r="J1084" s="1">
        <v>32.0</v>
      </c>
      <c r="K1084" s="1">
        <v>1999.0</v>
      </c>
      <c r="L1084" s="1">
        <v>1998.0</v>
      </c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 t="s">
        <v>2298</v>
      </c>
      <c r="Y1084" s="1" t="s">
        <v>4495</v>
      </c>
    </row>
    <row r="1085">
      <c r="A1085" s="1">
        <v>4239331.0</v>
      </c>
      <c r="B1085" s="1" t="s">
        <v>4496</v>
      </c>
      <c r="C1085" s="1" t="s">
        <v>4497</v>
      </c>
      <c r="D1085" s="1" t="s">
        <v>4498</v>
      </c>
      <c r="E1085" s="1" t="s">
        <v>3892</v>
      </c>
      <c r="F1085" s="2" t="str">
        <f>"9681641124"</f>
        <v>9681641124</v>
      </c>
      <c r="G1085" s="2" t="str">
        <f>"9789681641122"</f>
        <v>9789681641122</v>
      </c>
      <c r="H1085" s="1" t="s">
        <v>4499</v>
      </c>
      <c r="I1085" s="1" t="s">
        <v>31</v>
      </c>
      <c r="J1085" s="1">
        <v>32.0</v>
      </c>
      <c r="K1085" s="1">
        <v>1993.0</v>
      </c>
      <c r="L1085" s="1">
        <v>1984.0</v>
      </c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 t="s">
        <v>61</v>
      </c>
      <c r="Y1085" s="1" t="s">
        <v>4500</v>
      </c>
    </row>
    <row r="1086">
      <c r="A1086" s="1">
        <v>2376261.0</v>
      </c>
      <c r="B1086" s="1" t="s">
        <v>4501</v>
      </c>
      <c r="C1086" s="1" t="s">
        <v>4502</v>
      </c>
      <c r="D1086" s="1" t="s">
        <v>4503</v>
      </c>
      <c r="E1086" s="1" t="s">
        <v>4504</v>
      </c>
      <c r="F1086" s="2" t="str">
        <f>"0439649412"</f>
        <v>0439649412</v>
      </c>
      <c r="G1086" s="2" t="str">
        <f>"9780439649414"</f>
        <v>9780439649414</v>
      </c>
      <c r="H1086" s="1" t="s">
        <v>1992</v>
      </c>
      <c r="I1086" s="1" t="s">
        <v>31</v>
      </c>
      <c r="J1086" s="1">
        <v>32.0</v>
      </c>
      <c r="K1086" s="1">
        <v>2005.0</v>
      </c>
      <c r="L1086" s="1">
        <v>2005.0</v>
      </c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 t="s">
        <v>37</v>
      </c>
      <c r="Y1086" s="1" t="s">
        <v>4505</v>
      </c>
    </row>
    <row r="1087">
      <c r="A1087" s="1">
        <v>3118349.0</v>
      </c>
      <c r="B1087" s="1" t="s">
        <v>4506</v>
      </c>
      <c r="C1087" s="1" t="s">
        <v>4507</v>
      </c>
      <c r="D1087" s="1" t="s">
        <v>4508</v>
      </c>
      <c r="F1087" s="2" t="str">
        <f>"0972394648"</f>
        <v>0972394648</v>
      </c>
      <c r="G1087" s="2" t="str">
        <f>"9780972394642"</f>
        <v>9780972394642</v>
      </c>
      <c r="H1087" s="1" t="s">
        <v>4509</v>
      </c>
      <c r="I1087" s="1" t="s">
        <v>31</v>
      </c>
      <c r="J1087" s="1">
        <v>32.0</v>
      </c>
      <c r="K1087" s="1">
        <v>2008.0</v>
      </c>
      <c r="L1087" s="1">
        <v>2008.0</v>
      </c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 t="s">
        <v>1219</v>
      </c>
      <c r="Y1087" s="1" t="s">
        <v>4510</v>
      </c>
    </row>
    <row r="1088">
      <c r="A1088" s="1">
        <v>1541455.0</v>
      </c>
      <c r="B1088" s="1" t="s">
        <v>4511</v>
      </c>
      <c r="C1088" s="1" t="s">
        <v>4512</v>
      </c>
      <c r="D1088" s="1" t="s">
        <v>4513</v>
      </c>
      <c r="E1088" s="1" t="s">
        <v>4278</v>
      </c>
      <c r="F1088" s="2" t="str">
        <f>"0064451607"</f>
        <v>0064451607</v>
      </c>
      <c r="G1088" s="2" t="str">
        <f>"9780064451604"</f>
        <v>9780064451604</v>
      </c>
      <c r="H1088" s="1" t="s">
        <v>290</v>
      </c>
      <c r="I1088" s="1" t="s">
        <v>36</v>
      </c>
      <c r="J1088" s="1">
        <v>32.0</v>
      </c>
      <c r="K1088" s="1">
        <v>1996.0</v>
      </c>
      <c r="L1088" s="1">
        <v>1996.0</v>
      </c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 t="s">
        <v>116</v>
      </c>
      <c r="Y1088" s="1" t="s">
        <v>4514</v>
      </c>
    </row>
    <row r="1089">
      <c r="A1089" s="1">
        <v>6.0593921E7</v>
      </c>
      <c r="B1089" s="1" t="s">
        <v>4515</v>
      </c>
      <c r="C1089" s="1" t="s">
        <v>487</v>
      </c>
      <c r="D1089" s="1" t="s">
        <v>488</v>
      </c>
      <c r="E1089" s="1" t="s">
        <v>489</v>
      </c>
      <c r="F1089" s="2" t="str">
        <f>"133885187X"</f>
        <v>133885187X</v>
      </c>
      <c r="G1089" s="2" t="str">
        <f>"9781338851878"</f>
        <v>9781338851878</v>
      </c>
      <c r="H1089" s="1" t="s">
        <v>1575</v>
      </c>
      <c r="I1089" s="1" t="s">
        <v>238</v>
      </c>
      <c r="J1089" s="1">
        <v>32.0</v>
      </c>
      <c r="K1089" s="1">
        <v>2022.0</v>
      </c>
      <c r="L1089" s="1">
        <v>2009.0</v>
      </c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 t="s">
        <v>491</v>
      </c>
      <c r="Y1089" s="1" t="s">
        <v>4516</v>
      </c>
    </row>
    <row r="1090">
      <c r="A1090" s="1">
        <v>3348383.0</v>
      </c>
      <c r="B1090" s="1" t="s">
        <v>4517</v>
      </c>
      <c r="C1090" s="1" t="s">
        <v>487</v>
      </c>
      <c r="D1090" s="1" t="s">
        <v>488</v>
      </c>
      <c r="E1090" s="1" t="s">
        <v>4518</v>
      </c>
      <c r="F1090" s="2" t="str">
        <f>"0881064548"</f>
        <v>0881064548</v>
      </c>
      <c r="G1090" s="2" t="str">
        <f>"9780881064544"</f>
        <v>9780881064544</v>
      </c>
      <c r="H1090" s="1" t="s">
        <v>2550</v>
      </c>
      <c r="I1090" s="1" t="s">
        <v>36</v>
      </c>
      <c r="J1090" s="1">
        <v>32.0</v>
      </c>
      <c r="K1090" s="1">
        <v>1989.0</v>
      </c>
      <c r="L1090" s="1">
        <v>1989.0</v>
      </c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 t="s">
        <v>4519</v>
      </c>
      <c r="Y1090" s="1" t="s">
        <v>4520</v>
      </c>
    </row>
    <row r="1091">
      <c r="A1091" s="1">
        <v>2.0438539E7</v>
      </c>
      <c r="B1091" s="1" t="s">
        <v>4521</v>
      </c>
      <c r="C1091" s="1" t="s">
        <v>487</v>
      </c>
      <c r="D1091" s="1" t="s">
        <v>488</v>
      </c>
      <c r="F1091" s="2" t="str">
        <f>"0545002451"</f>
        <v>0545002451</v>
      </c>
      <c r="G1091" s="2" t="str">
        <f>"9780545002455"</f>
        <v>9780545002455</v>
      </c>
      <c r="H1091" s="1" t="s">
        <v>50</v>
      </c>
      <c r="I1091" s="1" t="s">
        <v>36</v>
      </c>
      <c r="J1091" s="1">
        <v>32.0</v>
      </c>
      <c r="K1091" s="1">
        <v>2008.0</v>
      </c>
      <c r="L1091" s="1">
        <v>2008.0</v>
      </c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 t="s">
        <v>116</v>
      </c>
      <c r="Y1091" s="1" t="s">
        <v>4522</v>
      </c>
    </row>
    <row r="1092">
      <c r="A1092" s="1">
        <v>2.0798699E7</v>
      </c>
      <c r="B1092" s="1" t="s">
        <v>4523</v>
      </c>
      <c r="C1092" s="1" t="s">
        <v>487</v>
      </c>
      <c r="D1092" s="1" t="s">
        <v>488</v>
      </c>
      <c r="E1092" s="1" t="s">
        <v>489</v>
      </c>
      <c r="F1092" s="2" t="str">
        <f>"0545451906"</f>
        <v>0545451906</v>
      </c>
      <c r="G1092" s="2" t="str">
        <f>"9780545451901"</f>
        <v>9780545451901</v>
      </c>
      <c r="H1092" s="1" t="s">
        <v>50</v>
      </c>
      <c r="I1092" s="1" t="s">
        <v>36</v>
      </c>
      <c r="J1092" s="1">
        <v>32.0</v>
      </c>
      <c r="K1092" s="1">
        <v>2013.0</v>
      </c>
      <c r="L1092" s="1">
        <v>2013.0</v>
      </c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 t="s">
        <v>32</v>
      </c>
      <c r="Y1092" s="1" t="s">
        <v>4524</v>
      </c>
    </row>
    <row r="1093">
      <c r="A1093" s="1">
        <v>2.6308587E7</v>
      </c>
      <c r="B1093" s="1" t="s">
        <v>4525</v>
      </c>
      <c r="C1093" s="1" t="s">
        <v>487</v>
      </c>
      <c r="D1093" s="1" t="s">
        <v>488</v>
      </c>
      <c r="F1093" s="2" t="str">
        <f>"0545681189"</f>
        <v>0545681189</v>
      </c>
      <c r="G1093" s="2" t="str">
        <f>"9780545681186"</f>
        <v>9780545681186</v>
      </c>
      <c r="H1093" s="1" t="s">
        <v>50</v>
      </c>
      <c r="I1093" s="1" t="s">
        <v>36</v>
      </c>
      <c r="J1093" s="1">
        <v>32.0</v>
      </c>
      <c r="K1093" s="1">
        <v>2015.0</v>
      </c>
      <c r="L1093" s="1">
        <v>2015.0</v>
      </c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 t="s">
        <v>32</v>
      </c>
      <c r="Y1093" s="1" t="s">
        <v>4526</v>
      </c>
    </row>
    <row r="1094">
      <c r="A1094" s="1">
        <v>7954469.0</v>
      </c>
      <c r="B1094" s="1" t="s">
        <v>4527</v>
      </c>
      <c r="C1094" s="1" t="s">
        <v>487</v>
      </c>
      <c r="D1094" s="1" t="s">
        <v>488</v>
      </c>
      <c r="E1094" s="1" t="s">
        <v>489</v>
      </c>
      <c r="F1094" s="2" t="str">
        <f>"0545160758"</f>
        <v>0545160758</v>
      </c>
      <c r="G1094" s="2" t="str">
        <f>"9780545160759"</f>
        <v>9780545160759</v>
      </c>
      <c r="H1094" s="1" t="s">
        <v>50</v>
      </c>
      <c r="I1094" s="1" t="s">
        <v>36</v>
      </c>
      <c r="J1094" s="1">
        <v>32.0</v>
      </c>
      <c r="K1094" s="1">
        <v>2015.0</v>
      </c>
      <c r="L1094" s="1">
        <v>2016.0</v>
      </c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 t="s">
        <v>1024</v>
      </c>
      <c r="Y1094" s="1" t="s">
        <v>4528</v>
      </c>
    </row>
    <row r="1095">
      <c r="A1095" s="1">
        <v>6730289.0</v>
      </c>
      <c r="B1095" s="1" t="s">
        <v>4529</v>
      </c>
      <c r="C1095" s="1" t="s">
        <v>487</v>
      </c>
      <c r="D1095" s="1" t="s">
        <v>488</v>
      </c>
      <c r="F1095" s="2" t="str">
        <f>"0545070686"</f>
        <v>0545070686</v>
      </c>
      <c r="G1095" s="2" t="str">
        <f>"9780545070683"</f>
        <v>9780545070683</v>
      </c>
      <c r="J1095" s="1">
        <v>32.0</v>
      </c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 t="s">
        <v>116</v>
      </c>
      <c r="Y1095" s="1" t="s">
        <v>4530</v>
      </c>
    </row>
    <row r="1096">
      <c r="A1096" s="1">
        <v>6.08942E7</v>
      </c>
      <c r="B1096" s="1" t="s">
        <v>4531</v>
      </c>
      <c r="C1096" s="1" t="s">
        <v>4532</v>
      </c>
      <c r="D1096" s="1" t="s">
        <v>4533</v>
      </c>
      <c r="E1096" s="1" t="s">
        <v>489</v>
      </c>
      <c r="F1096" s="2" t="str">
        <f>"133885190X"</f>
        <v>133885190X</v>
      </c>
      <c r="G1096" s="2" t="str">
        <f>"9781338851908"</f>
        <v>9781338851908</v>
      </c>
      <c r="H1096" s="1" t="s">
        <v>1575</v>
      </c>
      <c r="I1096" s="1" t="s">
        <v>238</v>
      </c>
      <c r="J1096" s="1">
        <v>32.0</v>
      </c>
      <c r="K1096" s="1">
        <v>2022.0</v>
      </c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 t="s">
        <v>4534</v>
      </c>
      <c r="Y1096" s="1" t="s">
        <v>4535</v>
      </c>
    </row>
    <row r="1097">
      <c r="A1097" s="1">
        <v>3.7693557E7</v>
      </c>
      <c r="B1097" s="1" t="s">
        <v>4536</v>
      </c>
      <c r="C1097" s="1" t="s">
        <v>4537</v>
      </c>
      <c r="D1097" s="1" t="s">
        <v>4538</v>
      </c>
      <c r="E1097" s="1" t="s">
        <v>849</v>
      </c>
      <c r="F1097" s="2" t="str">
        <f>"0062843842"</f>
        <v>0062843842</v>
      </c>
      <c r="G1097" s="2" t="str">
        <f>"9780062843845"</f>
        <v>9780062843845</v>
      </c>
      <c r="H1097" s="1" t="s">
        <v>290</v>
      </c>
      <c r="I1097" s="1" t="s">
        <v>238</v>
      </c>
      <c r="J1097" s="1">
        <v>32.0</v>
      </c>
      <c r="K1097" s="1">
        <v>2019.0</v>
      </c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 t="s">
        <v>1422</v>
      </c>
      <c r="Y1097" s="1" t="s">
        <v>4539</v>
      </c>
    </row>
    <row r="1098">
      <c r="A1098" s="1">
        <v>3.9320581E7</v>
      </c>
      <c r="B1098" s="1" t="s">
        <v>4540</v>
      </c>
      <c r="C1098" s="1" t="s">
        <v>4537</v>
      </c>
      <c r="D1098" s="1" t="s">
        <v>4538</v>
      </c>
      <c r="E1098" s="1" t="s">
        <v>849</v>
      </c>
      <c r="F1098" s="2" t="str">
        <f>"0062798251"</f>
        <v>0062798251</v>
      </c>
      <c r="G1098" s="2" t="str">
        <f>"9780062798251"</f>
        <v>9780062798251</v>
      </c>
      <c r="H1098" s="1" t="s">
        <v>290</v>
      </c>
      <c r="I1098" s="1" t="s">
        <v>36</v>
      </c>
      <c r="J1098" s="1">
        <v>32.0</v>
      </c>
      <c r="K1098" s="1">
        <v>2018.0</v>
      </c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 t="s">
        <v>1422</v>
      </c>
      <c r="Y1098" s="1" t="s">
        <v>4541</v>
      </c>
    </row>
    <row r="1099">
      <c r="A1099" s="1">
        <v>5.2056178E7</v>
      </c>
      <c r="B1099" s="1" t="s">
        <v>4542</v>
      </c>
      <c r="C1099" s="1" t="s">
        <v>4537</v>
      </c>
      <c r="D1099" s="1" t="s">
        <v>4538</v>
      </c>
      <c r="E1099" s="1" t="s">
        <v>849</v>
      </c>
      <c r="F1099" s="2" t="str">
        <f>"0062843915"</f>
        <v>0062843915</v>
      </c>
      <c r="G1099" s="2" t="str">
        <f>"9780062843913"</f>
        <v>9780062843913</v>
      </c>
      <c r="H1099" s="1" t="s">
        <v>290</v>
      </c>
      <c r="I1099" s="1" t="s">
        <v>36</v>
      </c>
      <c r="J1099" s="1">
        <v>32.0</v>
      </c>
      <c r="K1099" s="1">
        <v>2020.0</v>
      </c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 t="s">
        <v>1422</v>
      </c>
      <c r="Y1099" s="1" t="s">
        <v>4543</v>
      </c>
    </row>
    <row r="1100">
      <c r="A1100" s="1">
        <v>5.5156816E7</v>
      </c>
      <c r="B1100" s="1" t="s">
        <v>4544</v>
      </c>
      <c r="C1100" s="1" t="s">
        <v>4545</v>
      </c>
      <c r="D1100" s="1" t="s">
        <v>4546</v>
      </c>
      <c r="E1100" s="1" t="s">
        <v>4547</v>
      </c>
      <c r="F1100" s="2" t="str">
        <f>"1536208388"</f>
        <v>1536208388</v>
      </c>
      <c r="G1100" s="2" t="str">
        <f>"9781536208382"</f>
        <v>9781536208382</v>
      </c>
      <c r="H1100" s="1" t="s">
        <v>945</v>
      </c>
      <c r="I1100" s="1" t="s">
        <v>31</v>
      </c>
      <c r="J1100" s="1">
        <v>32.0</v>
      </c>
      <c r="K1100" s="1">
        <v>2021.0</v>
      </c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 t="s">
        <v>68</v>
      </c>
      <c r="Y1100" s="1" t="s">
        <v>4548</v>
      </c>
    </row>
    <row r="1101">
      <c r="A1101" s="1">
        <v>2.5817091E7</v>
      </c>
      <c r="B1101" s="1" t="s">
        <v>4549</v>
      </c>
      <c r="C1101" s="1" t="s">
        <v>494</v>
      </c>
      <c r="D1101" s="1" t="s">
        <v>495</v>
      </c>
      <c r="E1101" s="1" t="s">
        <v>4550</v>
      </c>
      <c r="F1101" s="2" t="str">
        <f>"006233428X"</f>
        <v>006233428X</v>
      </c>
      <c r="G1101" s="2" t="str">
        <f>"9780062334282"</f>
        <v>9780062334282</v>
      </c>
      <c r="H1101" s="1" t="s">
        <v>1570</v>
      </c>
      <c r="I1101" s="1" t="s">
        <v>31</v>
      </c>
      <c r="J1101" s="1">
        <v>32.0</v>
      </c>
      <c r="K1101" s="1">
        <v>2016.0</v>
      </c>
      <c r="L1101" s="1">
        <v>2016.0</v>
      </c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 t="s">
        <v>329</v>
      </c>
      <c r="Y1101" s="1" t="s">
        <v>4551</v>
      </c>
    </row>
    <row r="1102">
      <c r="A1102" s="1">
        <v>3.3930086E7</v>
      </c>
      <c r="B1102" s="1" t="s">
        <v>4552</v>
      </c>
      <c r="C1102" s="1" t="s">
        <v>494</v>
      </c>
      <c r="D1102" s="1" t="s">
        <v>495</v>
      </c>
      <c r="E1102" s="1" t="s">
        <v>4550</v>
      </c>
      <c r="F1102" s="2" t="str">
        <f>"0062658867"</f>
        <v>0062658867</v>
      </c>
      <c r="G1102" s="2" t="str">
        <f>"9780062658869"</f>
        <v>9780062658869</v>
      </c>
      <c r="H1102" s="1" t="s">
        <v>1570</v>
      </c>
      <c r="I1102" s="1" t="s">
        <v>31</v>
      </c>
      <c r="J1102" s="1">
        <v>32.0</v>
      </c>
      <c r="K1102" s="1">
        <v>2017.0</v>
      </c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 t="s">
        <v>4553</v>
      </c>
      <c r="Y1102" s="1" t="s">
        <v>4554</v>
      </c>
    </row>
    <row r="1103">
      <c r="A1103" s="1">
        <v>1.3624065E7</v>
      </c>
      <c r="B1103" s="1" t="s">
        <v>4555</v>
      </c>
      <c r="C1103" s="1" t="s">
        <v>494</v>
      </c>
      <c r="D1103" s="1" t="s">
        <v>495</v>
      </c>
      <c r="E1103" s="1" t="s">
        <v>4550</v>
      </c>
      <c r="F1103" s="2" t="str">
        <f>"0062095242"</f>
        <v>0062095242</v>
      </c>
      <c r="G1103" s="2" t="str">
        <f>"9780062095244"</f>
        <v>9780062095244</v>
      </c>
      <c r="H1103" s="1" t="s">
        <v>1570</v>
      </c>
      <c r="I1103" s="1" t="s">
        <v>31</v>
      </c>
      <c r="J1103" s="1">
        <v>32.0</v>
      </c>
      <c r="K1103" s="1">
        <v>2012.0</v>
      </c>
      <c r="L1103" s="1">
        <v>2012.0</v>
      </c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 t="s">
        <v>3814</v>
      </c>
      <c r="Y1103" s="1" t="s">
        <v>4556</v>
      </c>
    </row>
    <row r="1104">
      <c r="A1104" s="1">
        <v>2.2873039E7</v>
      </c>
      <c r="B1104" s="1" t="s">
        <v>4557</v>
      </c>
      <c r="C1104" s="1" t="s">
        <v>494</v>
      </c>
      <c r="D1104" s="1" t="s">
        <v>495</v>
      </c>
      <c r="E1104" s="1" t="s">
        <v>4550</v>
      </c>
      <c r="F1104" s="2" t="str">
        <f>"0062334255"</f>
        <v>0062334255</v>
      </c>
      <c r="G1104" s="2" t="str">
        <f>"9780062334251"</f>
        <v>9780062334251</v>
      </c>
      <c r="H1104" s="1" t="s">
        <v>1570</v>
      </c>
      <c r="I1104" s="1" t="s">
        <v>31</v>
      </c>
      <c r="J1104" s="1">
        <v>32.0</v>
      </c>
      <c r="K1104" s="1">
        <v>2015.0</v>
      </c>
      <c r="L1104" s="1">
        <v>2015.0</v>
      </c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 t="s">
        <v>1422</v>
      </c>
      <c r="Y1104" s="1" t="s">
        <v>4558</v>
      </c>
    </row>
    <row r="1105">
      <c r="A1105" s="1">
        <v>1.7383962E7</v>
      </c>
      <c r="B1105" s="1" t="s">
        <v>4559</v>
      </c>
      <c r="C1105" s="1" t="s">
        <v>494</v>
      </c>
      <c r="D1105" s="1" t="s">
        <v>495</v>
      </c>
      <c r="E1105" s="1" t="s">
        <v>4550</v>
      </c>
      <c r="F1105" s="2" t="str">
        <f>"0062221280"</f>
        <v>0062221280</v>
      </c>
      <c r="G1105" s="2" t="str">
        <f>"9780062221285"</f>
        <v>9780062221285</v>
      </c>
      <c r="H1105" s="1" t="s">
        <v>1570</v>
      </c>
      <c r="I1105" s="1" t="s">
        <v>31</v>
      </c>
      <c r="J1105" s="1">
        <v>32.0</v>
      </c>
      <c r="K1105" s="1">
        <v>2013.0</v>
      </c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 t="s">
        <v>1422</v>
      </c>
      <c r="Y1105" s="1" t="s">
        <v>4560</v>
      </c>
    </row>
    <row r="1106">
      <c r="A1106" s="1">
        <v>1.5818242E7</v>
      </c>
      <c r="B1106" s="1" t="s">
        <v>4561</v>
      </c>
      <c r="C1106" s="1" t="s">
        <v>494</v>
      </c>
      <c r="D1106" s="1" t="s">
        <v>495</v>
      </c>
      <c r="E1106" s="1" t="s">
        <v>4550</v>
      </c>
      <c r="F1106" s="2" t="str">
        <f>"0062095277"</f>
        <v>0062095277</v>
      </c>
      <c r="G1106" s="2" t="str">
        <f>"9780062095275"</f>
        <v>9780062095275</v>
      </c>
      <c r="H1106" s="1" t="s">
        <v>1570</v>
      </c>
      <c r="I1106" s="1" t="s">
        <v>31</v>
      </c>
      <c r="J1106" s="1">
        <v>32.0</v>
      </c>
      <c r="K1106" s="1">
        <v>2013.0</v>
      </c>
      <c r="L1106" s="1">
        <v>2013.0</v>
      </c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 t="s">
        <v>1422</v>
      </c>
      <c r="Y1106" s="1" t="s">
        <v>4562</v>
      </c>
    </row>
    <row r="1107">
      <c r="A1107" s="1">
        <v>3.6203879E7</v>
      </c>
      <c r="B1107" s="1" t="s">
        <v>4563</v>
      </c>
      <c r="C1107" s="1" t="s">
        <v>494</v>
      </c>
      <c r="D1107" s="1" t="s">
        <v>495</v>
      </c>
      <c r="E1107" s="1" t="s">
        <v>4550</v>
      </c>
      <c r="F1107" s="2" t="str">
        <f>"0062658891"</f>
        <v>0062658891</v>
      </c>
      <c r="G1107" s="2" t="str">
        <f>"9780062658890"</f>
        <v>9780062658890</v>
      </c>
      <c r="H1107" s="1" t="s">
        <v>1570</v>
      </c>
      <c r="I1107" s="1" t="s">
        <v>31</v>
      </c>
      <c r="J1107" s="1">
        <v>32.0</v>
      </c>
      <c r="K1107" s="1">
        <v>2018.0</v>
      </c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 t="s">
        <v>1422</v>
      </c>
      <c r="Y1107" s="1" t="s">
        <v>4564</v>
      </c>
    </row>
    <row r="1108">
      <c r="A1108" s="1">
        <v>1.2090673E7</v>
      </c>
      <c r="B1108" s="1" t="s">
        <v>4565</v>
      </c>
      <c r="C1108" s="1" t="s">
        <v>494</v>
      </c>
      <c r="D1108" s="1" t="s">
        <v>495</v>
      </c>
      <c r="E1108" s="1" t="s">
        <v>4550</v>
      </c>
      <c r="F1108" s="2" t="str">
        <f>"0062075160"</f>
        <v>0062075160</v>
      </c>
      <c r="G1108" s="2" t="str">
        <f>"9780062075161"</f>
        <v>9780062075161</v>
      </c>
      <c r="H1108" s="1" t="s">
        <v>1570</v>
      </c>
      <c r="I1108" s="1" t="s">
        <v>31</v>
      </c>
      <c r="J1108" s="1">
        <v>32.0</v>
      </c>
      <c r="K1108" s="1">
        <v>2011.0</v>
      </c>
      <c r="L1108" s="1">
        <v>2011.0</v>
      </c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 t="s">
        <v>1422</v>
      </c>
      <c r="Y1108" s="1" t="s">
        <v>4566</v>
      </c>
    </row>
    <row r="1109">
      <c r="A1109" s="1">
        <v>6388480.0</v>
      </c>
      <c r="B1109" s="1" t="s">
        <v>4567</v>
      </c>
      <c r="C1109" s="1" t="s">
        <v>494</v>
      </c>
      <c r="D1109" s="1" t="s">
        <v>495</v>
      </c>
      <c r="E1109" s="1" t="s">
        <v>4550</v>
      </c>
      <c r="F1109" s="2" t="str">
        <f>"0061544582"</f>
        <v>0061544582</v>
      </c>
      <c r="G1109" s="2" t="str">
        <f>"9780061544583"</f>
        <v>9780061544583</v>
      </c>
      <c r="H1109" s="1" t="s">
        <v>1570</v>
      </c>
      <c r="I1109" s="1" t="s">
        <v>31</v>
      </c>
      <c r="J1109" s="1">
        <v>32.0</v>
      </c>
      <c r="K1109" s="1">
        <v>2009.0</v>
      </c>
      <c r="L1109" s="1">
        <v>2009.0</v>
      </c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 t="s">
        <v>863</v>
      </c>
      <c r="Y1109" s="1" t="s">
        <v>4568</v>
      </c>
    </row>
    <row r="1110">
      <c r="A1110" s="1">
        <v>2.8259016E7</v>
      </c>
      <c r="B1110" s="1" t="s">
        <v>4569</v>
      </c>
      <c r="C1110" s="1" t="s">
        <v>494</v>
      </c>
      <c r="D1110" s="1" t="s">
        <v>495</v>
      </c>
      <c r="E1110" s="1" t="s">
        <v>4550</v>
      </c>
      <c r="F1110" s="2" t="str">
        <f>"0062334301"</f>
        <v>0062334301</v>
      </c>
      <c r="G1110" s="2" t="str">
        <f>"9780062334305"</f>
        <v>9780062334305</v>
      </c>
      <c r="H1110" s="1" t="s">
        <v>1570</v>
      </c>
      <c r="I1110" s="1" t="s">
        <v>36</v>
      </c>
      <c r="J1110" s="1">
        <v>32.0</v>
      </c>
      <c r="K1110" s="1">
        <v>2016.0</v>
      </c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 t="s">
        <v>3814</v>
      </c>
      <c r="Y1110" s="1" t="s">
        <v>4570</v>
      </c>
    </row>
    <row r="1111">
      <c r="A1111" s="1">
        <v>120654.0</v>
      </c>
      <c r="B1111" s="1" t="s">
        <v>4571</v>
      </c>
      <c r="C1111" s="1" t="s">
        <v>4572</v>
      </c>
      <c r="D1111" s="1" t="s">
        <v>4573</v>
      </c>
      <c r="F1111" s="2" t="str">
        <f>"0316155632"</f>
        <v>0316155632</v>
      </c>
      <c r="G1111" s="2" t="str">
        <f>"9780316155632"</f>
        <v>9780316155632</v>
      </c>
      <c r="H1111" s="1" t="s">
        <v>112</v>
      </c>
      <c r="I1111" s="1" t="s">
        <v>31</v>
      </c>
      <c r="J1111" s="1">
        <v>32.0</v>
      </c>
      <c r="K1111" s="1">
        <v>2004.0</v>
      </c>
      <c r="L1111" s="1">
        <v>2003.0</v>
      </c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 t="s">
        <v>1219</v>
      </c>
      <c r="Y1111" s="1" t="s">
        <v>4574</v>
      </c>
    </row>
    <row r="1112">
      <c r="A1112" s="1">
        <v>120665.0</v>
      </c>
      <c r="B1112" s="1" t="s">
        <v>4575</v>
      </c>
      <c r="C1112" s="1" t="s">
        <v>4572</v>
      </c>
      <c r="D1112" s="1" t="s">
        <v>4573</v>
      </c>
      <c r="F1112" s="2" t="str">
        <f>"0316059625"</f>
        <v>0316059625</v>
      </c>
      <c r="G1112" s="2" t="str">
        <f>"9780316059626"</f>
        <v>9780316059626</v>
      </c>
      <c r="H1112" s="1" t="s">
        <v>112</v>
      </c>
      <c r="I1112" s="1" t="s">
        <v>31</v>
      </c>
      <c r="J1112" s="1">
        <v>32.0</v>
      </c>
      <c r="K1112" s="1">
        <v>2005.0</v>
      </c>
      <c r="L1112" s="1">
        <v>2004.0</v>
      </c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 t="s">
        <v>1466</v>
      </c>
      <c r="Y1112" s="1" t="s">
        <v>4576</v>
      </c>
    </row>
    <row r="1113">
      <c r="A1113" s="1">
        <v>9489590.0</v>
      </c>
      <c r="B1113" s="1" t="s">
        <v>4577</v>
      </c>
      <c r="C1113" s="1" t="s">
        <v>4572</v>
      </c>
      <c r="D1113" s="1" t="s">
        <v>4573</v>
      </c>
      <c r="F1113" s="2" t="str">
        <f>"031608445X"</f>
        <v>031608445X</v>
      </c>
      <c r="G1113" s="2" t="str">
        <f>"9780316084451"</f>
        <v>9780316084451</v>
      </c>
      <c r="H1113" s="1" t="s">
        <v>112</v>
      </c>
      <c r="I1113" s="1" t="s">
        <v>31</v>
      </c>
      <c r="J1113" s="1">
        <v>32.0</v>
      </c>
      <c r="K1113" s="1">
        <v>2011.0</v>
      </c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 t="s">
        <v>1219</v>
      </c>
      <c r="Y1113" s="1" t="s">
        <v>4578</v>
      </c>
    </row>
    <row r="1114">
      <c r="A1114" s="1">
        <v>120661.0</v>
      </c>
      <c r="B1114" s="1" t="s">
        <v>4579</v>
      </c>
      <c r="C1114" s="1" t="s">
        <v>4572</v>
      </c>
      <c r="D1114" s="1" t="s">
        <v>4573</v>
      </c>
      <c r="F1114" s="2" t="str">
        <f>"0316155624"</f>
        <v>0316155624</v>
      </c>
      <c r="G1114" s="2" t="str">
        <f>"9780316155625"</f>
        <v>9780316155625</v>
      </c>
      <c r="H1114" s="1" t="s">
        <v>112</v>
      </c>
      <c r="I1114" s="1" t="s">
        <v>31</v>
      </c>
      <c r="J1114" s="1">
        <v>32.0</v>
      </c>
      <c r="K1114" s="1">
        <v>2004.0</v>
      </c>
      <c r="L1114" s="1">
        <v>2001.0</v>
      </c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 t="s">
        <v>1084</v>
      </c>
      <c r="Y1114" s="1" t="s">
        <v>4580</v>
      </c>
    </row>
    <row r="1115">
      <c r="A1115" s="1">
        <v>6069330.0</v>
      </c>
      <c r="B1115" s="1" t="s">
        <v>4581</v>
      </c>
      <c r="C1115" s="1" t="s">
        <v>513</v>
      </c>
      <c r="D1115" s="1" t="s">
        <v>514</v>
      </c>
      <c r="E1115" s="1" t="s">
        <v>4582</v>
      </c>
      <c r="F1115" s="2" t="str">
        <f>"0399247335"</f>
        <v>0399247335</v>
      </c>
      <c r="G1115" s="2" t="str">
        <f>"9780399247330"</f>
        <v>9780399247330</v>
      </c>
      <c r="H1115" s="1" t="s">
        <v>2525</v>
      </c>
      <c r="I1115" s="1" t="s">
        <v>31</v>
      </c>
      <c r="J1115" s="1">
        <v>32.0</v>
      </c>
      <c r="K1115" s="1">
        <v>2009.0</v>
      </c>
      <c r="L1115" s="1">
        <v>2009.0</v>
      </c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 t="s">
        <v>1219</v>
      </c>
      <c r="Y1115" s="1" t="s">
        <v>4583</v>
      </c>
    </row>
    <row r="1116">
      <c r="A1116" s="1">
        <v>2.1469099E7</v>
      </c>
      <c r="B1116" s="1" t="s">
        <v>4584</v>
      </c>
      <c r="C1116" s="1" t="s">
        <v>4585</v>
      </c>
      <c r="D1116" s="1" t="s">
        <v>4586</v>
      </c>
      <c r="F1116" s="2" t="str">
        <f>"1627791035"</f>
        <v>1627791035</v>
      </c>
      <c r="G1116" s="2" t="str">
        <f>"9781627791038"</f>
        <v>9781627791038</v>
      </c>
      <c r="H1116" s="1" t="s">
        <v>2118</v>
      </c>
      <c r="I1116" s="1" t="s">
        <v>31</v>
      </c>
      <c r="J1116" s="1">
        <v>32.0</v>
      </c>
      <c r="K1116" s="1">
        <v>2015.0</v>
      </c>
      <c r="L1116" s="1">
        <v>2015.0</v>
      </c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 t="s">
        <v>68</v>
      </c>
      <c r="Y1116" s="1" t="s">
        <v>4587</v>
      </c>
    </row>
    <row r="1117">
      <c r="A1117" s="1">
        <v>552727.0</v>
      </c>
      <c r="B1117" s="1" t="s">
        <v>4588</v>
      </c>
      <c r="C1117" s="1" t="s">
        <v>4589</v>
      </c>
      <c r="D1117" s="1" t="s">
        <v>4590</v>
      </c>
      <c r="E1117" s="1" t="s">
        <v>1641</v>
      </c>
      <c r="F1117" s="2" t="str">
        <f>"082342037X"</f>
        <v>082342037X</v>
      </c>
      <c r="G1117" s="2" t="str">
        <f>"9780823420377"</f>
        <v>9780823420377</v>
      </c>
      <c r="H1117" s="1" t="s">
        <v>2347</v>
      </c>
      <c r="I1117" s="1" t="s">
        <v>31</v>
      </c>
      <c r="J1117" s="1">
        <v>32.0</v>
      </c>
      <c r="K1117" s="1">
        <v>2007.0</v>
      </c>
      <c r="L1117" s="1">
        <v>2007.0</v>
      </c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 t="s">
        <v>61</v>
      </c>
      <c r="Y1117" s="1" t="s">
        <v>4591</v>
      </c>
    </row>
    <row r="1118">
      <c r="A1118" s="1">
        <v>259062.0</v>
      </c>
      <c r="B1118" s="1" t="s">
        <v>4592</v>
      </c>
      <c r="C1118" s="1" t="s">
        <v>4589</v>
      </c>
      <c r="D1118" s="1" t="s">
        <v>4590</v>
      </c>
      <c r="E1118" s="1" t="s">
        <v>1641</v>
      </c>
      <c r="F1118" s="2" t="str">
        <f>"0823419800"</f>
        <v>0823419800</v>
      </c>
      <c r="G1118" s="2" t="str">
        <f>"9780823419807"</f>
        <v>9780823419807</v>
      </c>
      <c r="H1118" s="1" t="s">
        <v>2347</v>
      </c>
      <c r="I1118" s="1" t="s">
        <v>36</v>
      </c>
      <c r="J1118" s="1">
        <v>32.0</v>
      </c>
      <c r="K1118" s="1">
        <v>2005.0</v>
      </c>
      <c r="L1118" s="1">
        <v>2004.0</v>
      </c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 t="s">
        <v>61</v>
      </c>
      <c r="Y1118" s="1" t="s">
        <v>4593</v>
      </c>
    </row>
    <row r="1119">
      <c r="A1119" s="1">
        <v>2.5782188E7</v>
      </c>
      <c r="B1119" s="1" t="s">
        <v>4594</v>
      </c>
      <c r="C1119" s="1" t="s">
        <v>4595</v>
      </c>
      <c r="D1119" s="1" t="s">
        <v>4596</v>
      </c>
      <c r="E1119" s="1" t="s">
        <v>4597</v>
      </c>
      <c r="F1119" s="2" t="str">
        <f>"0545734193"</f>
        <v>0545734193</v>
      </c>
      <c r="G1119" s="2" t="str">
        <f>"9780545734196"</f>
        <v>9780545734196</v>
      </c>
      <c r="H1119" s="1" t="s">
        <v>1575</v>
      </c>
      <c r="I1119" s="1" t="s">
        <v>36</v>
      </c>
      <c r="J1119" s="1">
        <v>32.0</v>
      </c>
      <c r="K1119" s="1">
        <v>2009.0</v>
      </c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 t="s">
        <v>61</v>
      </c>
      <c r="Y1119" s="1" t="s">
        <v>4598</v>
      </c>
    </row>
    <row r="1120">
      <c r="A1120" s="1">
        <v>8492778.0</v>
      </c>
      <c r="B1120" s="1" t="s">
        <v>4599</v>
      </c>
      <c r="C1120" s="1" t="s">
        <v>4600</v>
      </c>
      <c r="D1120" s="1" t="s">
        <v>4601</v>
      </c>
      <c r="E1120" s="1" t="s">
        <v>4602</v>
      </c>
      <c r="F1120" s="2" t="str">
        <f>"0395979102"</f>
        <v>0395979102</v>
      </c>
      <c r="G1120" s="2" t="str">
        <f>"9780395979105"</f>
        <v>9780395979105</v>
      </c>
      <c r="H1120" s="1" t="s">
        <v>389</v>
      </c>
      <c r="I1120" s="1" t="s">
        <v>31</v>
      </c>
      <c r="J1120" s="1">
        <v>32.0</v>
      </c>
      <c r="K1120" s="1">
        <v>1999.0</v>
      </c>
      <c r="L1120" s="1">
        <v>1944.0</v>
      </c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 t="s">
        <v>61</v>
      </c>
      <c r="Y1120" s="1" t="s">
        <v>4603</v>
      </c>
    </row>
    <row r="1121">
      <c r="A1121" s="1">
        <v>1750969.0</v>
      </c>
      <c r="B1121" s="1" t="s">
        <v>4604</v>
      </c>
      <c r="C1121" s="1" t="s">
        <v>4605</v>
      </c>
      <c r="D1121" s="1" t="s">
        <v>4606</v>
      </c>
      <c r="F1121" s="2" t="str">
        <f>"0823420760"</f>
        <v>0823420760</v>
      </c>
      <c r="G1121" s="2" t="str">
        <f>"9780823420766"</f>
        <v>9780823420766</v>
      </c>
      <c r="H1121" s="1" t="s">
        <v>2347</v>
      </c>
      <c r="I1121" s="1" t="s">
        <v>36</v>
      </c>
      <c r="J1121" s="1">
        <v>32.0</v>
      </c>
      <c r="K1121" s="1">
        <v>2007.0</v>
      </c>
      <c r="L1121" s="1">
        <v>2003.0</v>
      </c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 t="s">
        <v>4607</v>
      </c>
      <c r="Y1121" s="1" t="s">
        <v>4608</v>
      </c>
    </row>
    <row r="1122">
      <c r="A1122" s="1">
        <v>3987.0</v>
      </c>
      <c r="B1122" s="1" t="s">
        <v>4609</v>
      </c>
      <c r="C1122" s="1" t="s">
        <v>4610</v>
      </c>
      <c r="D1122" s="1" t="s">
        <v>4611</v>
      </c>
      <c r="E1122" s="1" t="s">
        <v>3244</v>
      </c>
      <c r="F1122" s="2" t="str">
        <f>"0525471642"</f>
        <v>0525471642</v>
      </c>
      <c r="G1122" s="2" t="str">
        <f>"9780525471646"</f>
        <v>9780525471646</v>
      </c>
      <c r="H1122" s="1" t="s">
        <v>79</v>
      </c>
      <c r="I1122" s="1" t="s">
        <v>31</v>
      </c>
      <c r="J1122" s="1">
        <v>32.0</v>
      </c>
      <c r="K1122" s="1">
        <v>2005.0</v>
      </c>
      <c r="L1122" s="1">
        <v>2005.0</v>
      </c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 t="s">
        <v>1317</v>
      </c>
      <c r="Y1122" s="1" t="s">
        <v>4612</v>
      </c>
    </row>
    <row r="1123">
      <c r="A1123" s="1">
        <v>435413.0</v>
      </c>
      <c r="B1123" s="1" t="s">
        <v>4613</v>
      </c>
      <c r="C1123" s="1" t="s">
        <v>4614</v>
      </c>
      <c r="D1123" s="1" t="s">
        <v>4615</v>
      </c>
      <c r="E1123" s="1" t="s">
        <v>4616</v>
      </c>
      <c r="F1123" s="2" t="str">
        <f>"1550745719"</f>
        <v>1550745719</v>
      </c>
      <c r="G1123" s="2" t="str">
        <f>"9781550745719"</f>
        <v>9781550745719</v>
      </c>
      <c r="H1123" s="1" t="s">
        <v>3071</v>
      </c>
      <c r="I1123" s="1" t="s">
        <v>36</v>
      </c>
      <c r="J1123" s="1">
        <v>32.0</v>
      </c>
      <c r="K1123" s="1">
        <v>1999.0</v>
      </c>
      <c r="L1123" s="1">
        <v>1998.0</v>
      </c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 t="s">
        <v>405</v>
      </c>
      <c r="Y1123" s="1" t="s">
        <v>4617</v>
      </c>
    </row>
    <row r="1124">
      <c r="A1124" s="1">
        <v>2853726.0</v>
      </c>
      <c r="B1124" s="1" t="s">
        <v>4618</v>
      </c>
      <c r="C1124" s="1" t="s">
        <v>4619</v>
      </c>
      <c r="D1124" s="1" t="s">
        <v>4620</v>
      </c>
      <c r="F1124" s="2" t="str">
        <f>"0439491452"</f>
        <v>0439491452</v>
      </c>
      <c r="G1124" s="2" t="str">
        <f>"9780439491457"</f>
        <v>9780439491457</v>
      </c>
      <c r="H1124" s="1" t="s">
        <v>179</v>
      </c>
      <c r="I1124" s="1" t="s">
        <v>36</v>
      </c>
      <c r="J1124" s="1">
        <v>32.0</v>
      </c>
      <c r="K1124" s="1">
        <v>2003.0</v>
      </c>
      <c r="L1124" s="1">
        <v>1995.0</v>
      </c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 t="s">
        <v>841</v>
      </c>
      <c r="Y1124" s="1" t="s">
        <v>4621</v>
      </c>
    </row>
    <row r="1125">
      <c r="A1125" s="1">
        <v>4.2972052E7</v>
      </c>
      <c r="B1125" s="1" t="s">
        <v>4622</v>
      </c>
      <c r="C1125" s="1" t="s">
        <v>4623</v>
      </c>
      <c r="D1125" s="1" t="s">
        <v>4624</v>
      </c>
      <c r="F1125" s="2" t="str">
        <f>"1547602376"</f>
        <v>1547602376</v>
      </c>
      <c r="G1125" s="2" t="str">
        <f>"9781547602377"</f>
        <v>9781547602377</v>
      </c>
      <c r="H1125" s="1" t="s">
        <v>3010</v>
      </c>
      <c r="I1125" s="1" t="s">
        <v>31</v>
      </c>
      <c r="J1125" s="1">
        <v>32.0</v>
      </c>
      <c r="K1125" s="1">
        <v>2019.0</v>
      </c>
      <c r="L1125" s="1">
        <v>2018.0</v>
      </c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 t="s">
        <v>1219</v>
      </c>
      <c r="Y1125" s="1" t="s">
        <v>4625</v>
      </c>
    </row>
    <row r="1126">
      <c r="A1126" s="1">
        <v>5.3138239E7</v>
      </c>
      <c r="B1126" s="1" t="s">
        <v>4626</v>
      </c>
      <c r="C1126" s="1" t="s">
        <v>4623</v>
      </c>
      <c r="D1126" s="1" t="s">
        <v>4624</v>
      </c>
      <c r="F1126" s="2" t="str">
        <f>"1547605197"</f>
        <v>1547605197</v>
      </c>
      <c r="G1126" s="2" t="str">
        <f>"9781547605194"</f>
        <v>9781547605194</v>
      </c>
      <c r="H1126" s="1" t="s">
        <v>3010</v>
      </c>
      <c r="I1126" s="1" t="s">
        <v>31</v>
      </c>
      <c r="J1126" s="1">
        <v>32.0</v>
      </c>
      <c r="K1126" s="1">
        <v>2021.0</v>
      </c>
      <c r="L1126" s="1">
        <v>2020.0</v>
      </c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 t="s">
        <v>1219</v>
      </c>
      <c r="Y1126" s="1" t="s">
        <v>4627</v>
      </c>
    </row>
    <row r="1127">
      <c r="A1127" s="1">
        <v>2195327.0</v>
      </c>
      <c r="B1127" s="1" t="s">
        <v>4628</v>
      </c>
      <c r="C1127" s="1" t="s">
        <v>4629</v>
      </c>
      <c r="D1127" s="1" t="s">
        <v>4630</v>
      </c>
      <c r="E1127" s="1" t="s">
        <v>4631</v>
      </c>
      <c r="F1127" s="2" t="str">
        <f>"0892392231"</f>
        <v>0892392231</v>
      </c>
      <c r="G1127" s="2" t="str">
        <f>"9780892392230"</f>
        <v>9780892392230</v>
      </c>
      <c r="H1127" s="1" t="s">
        <v>2515</v>
      </c>
      <c r="I1127" s="1" t="s">
        <v>36</v>
      </c>
      <c r="J1127" s="1">
        <v>32.0</v>
      </c>
      <c r="K1127" s="1">
        <v>2013.0</v>
      </c>
      <c r="L1127" s="1">
        <v>2000.0</v>
      </c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 t="s">
        <v>109</v>
      </c>
      <c r="Y1127" s="1" t="s">
        <v>4632</v>
      </c>
    </row>
    <row r="1128">
      <c r="A1128" s="1">
        <v>4899735.0</v>
      </c>
      <c r="B1128" s="1" t="s">
        <v>4633</v>
      </c>
      <c r="C1128" s="1" t="s">
        <v>4634</v>
      </c>
      <c r="D1128" s="1" t="s">
        <v>4635</v>
      </c>
      <c r="E1128" s="1" t="s">
        <v>4636</v>
      </c>
      <c r="F1128" s="2" t="str">
        <f>"1879085941"</f>
        <v>1879085941</v>
      </c>
      <c r="G1128" s="2" t="str">
        <f>"9781879085947"</f>
        <v>9781879085947</v>
      </c>
      <c r="H1128" s="1" t="s">
        <v>2550</v>
      </c>
      <c r="I1128" s="1" t="s">
        <v>31</v>
      </c>
      <c r="J1128" s="1">
        <v>32.0</v>
      </c>
      <c r="K1128" s="1">
        <v>1996.0</v>
      </c>
      <c r="L1128" s="1">
        <v>1996.0</v>
      </c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 t="s">
        <v>412</v>
      </c>
      <c r="Y1128" s="1" t="s">
        <v>4637</v>
      </c>
    </row>
    <row r="1129">
      <c r="A1129" s="1">
        <v>1.1526654E7</v>
      </c>
      <c r="B1129" s="1" t="s">
        <v>4638</v>
      </c>
      <c r="C1129" s="1" t="s">
        <v>4639</v>
      </c>
      <c r="D1129" s="1" t="s">
        <v>4640</v>
      </c>
      <c r="E1129" s="1" t="s">
        <v>4641</v>
      </c>
      <c r="F1129" s="2" t="str">
        <f>"1402255446"</f>
        <v>1402255446</v>
      </c>
      <c r="G1129" s="2" t="str">
        <f>"9781402255441"</f>
        <v>9781402255441</v>
      </c>
      <c r="H1129" s="1" t="s">
        <v>1465</v>
      </c>
      <c r="I1129" s="1" t="s">
        <v>31</v>
      </c>
      <c r="J1129" s="1">
        <v>32.0</v>
      </c>
      <c r="K1129" s="1">
        <v>2011.0</v>
      </c>
      <c r="L1129" s="1">
        <v>2011.0</v>
      </c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 t="s">
        <v>1195</v>
      </c>
      <c r="Y1129" s="1" t="s">
        <v>4642</v>
      </c>
    </row>
    <row r="1130">
      <c r="A1130" s="1">
        <v>2.858765E7</v>
      </c>
      <c r="B1130" s="1" t="s">
        <v>4643</v>
      </c>
      <c r="C1130" s="1" t="s">
        <v>4644</v>
      </c>
      <c r="D1130" s="1" t="s">
        <v>4645</v>
      </c>
      <c r="E1130" s="1" t="s">
        <v>4646</v>
      </c>
      <c r="F1130" s="2" t="str">
        <f>"1101939222"</f>
        <v>1101939222</v>
      </c>
      <c r="G1130" s="2" t="str">
        <f>"9781101939222"</f>
        <v>9781101939222</v>
      </c>
      <c r="H1130" s="1" t="s">
        <v>3066</v>
      </c>
      <c r="I1130" s="1" t="s">
        <v>238</v>
      </c>
      <c r="J1130" s="1">
        <v>32.0</v>
      </c>
      <c r="K1130" s="1">
        <v>2016.0</v>
      </c>
      <c r="L1130" s="1">
        <v>2016.0</v>
      </c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 t="s">
        <v>1219</v>
      </c>
      <c r="Y1130" s="1" t="s">
        <v>4647</v>
      </c>
    </row>
    <row r="1131">
      <c r="A1131" s="1">
        <v>5.1561661E7</v>
      </c>
      <c r="B1131" s="1" t="s">
        <v>4648</v>
      </c>
      <c r="C1131" s="1" t="s">
        <v>4649</v>
      </c>
      <c r="D1131" s="1" t="s">
        <v>4650</v>
      </c>
      <c r="E1131" s="1" t="s">
        <v>4651</v>
      </c>
      <c r="F1131" s="2" t="str">
        <f>"1936669919"</f>
        <v>1936669919</v>
      </c>
      <c r="G1131" s="2" t="str">
        <f>"9781936669912"</f>
        <v>9781936669912</v>
      </c>
      <c r="H1131" s="1" t="s">
        <v>4652</v>
      </c>
      <c r="I1131" s="1" t="s">
        <v>31</v>
      </c>
      <c r="J1131" s="1">
        <v>32.0</v>
      </c>
      <c r="K1131" s="1">
        <v>2020.0</v>
      </c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 t="s">
        <v>2298</v>
      </c>
      <c r="Y1131" s="1" t="s">
        <v>4653</v>
      </c>
    </row>
    <row r="1132">
      <c r="A1132" s="1">
        <v>4.3319606E7</v>
      </c>
      <c r="B1132" s="1" t="s">
        <v>4654</v>
      </c>
      <c r="C1132" s="1" t="s">
        <v>546</v>
      </c>
      <c r="D1132" s="1" t="s">
        <v>547</v>
      </c>
      <c r="F1132" s="2" t="str">
        <f>"1338565974"</f>
        <v>1338565974</v>
      </c>
      <c r="G1132" s="2" t="str">
        <f>"9781338565973"</f>
        <v>9781338565973</v>
      </c>
      <c r="H1132" s="1" t="s">
        <v>1575</v>
      </c>
      <c r="I1132" s="1" t="s">
        <v>36</v>
      </c>
      <c r="J1132" s="1">
        <v>32.0</v>
      </c>
      <c r="K1132" s="1">
        <v>2019.0</v>
      </c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 t="s">
        <v>1352</v>
      </c>
      <c r="Y1132" s="1" t="s">
        <v>4655</v>
      </c>
    </row>
    <row r="1133">
      <c r="A1133" s="1">
        <v>494748.0</v>
      </c>
      <c r="B1133" s="1" t="s">
        <v>4656</v>
      </c>
      <c r="C1133" s="1" t="s">
        <v>546</v>
      </c>
      <c r="D1133" s="1" t="s">
        <v>547</v>
      </c>
      <c r="F1133" s="2" t="str">
        <f>"0439079462"</f>
        <v>0439079462</v>
      </c>
      <c r="G1133" s="2" t="str">
        <f>"9780439079464"</f>
        <v>9780439079464</v>
      </c>
      <c r="H1133" s="1" t="s">
        <v>2944</v>
      </c>
      <c r="I1133" s="1" t="s">
        <v>36</v>
      </c>
      <c r="J1133" s="1">
        <v>32.0</v>
      </c>
      <c r="K1133" s="1">
        <v>1999.0</v>
      </c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 t="s">
        <v>32</v>
      </c>
      <c r="Y1133" s="1" t="s">
        <v>4657</v>
      </c>
    </row>
    <row r="1134">
      <c r="A1134" s="1">
        <v>527975.0</v>
      </c>
      <c r="B1134" s="1" t="s">
        <v>4658</v>
      </c>
      <c r="C1134" s="1" t="s">
        <v>4659</v>
      </c>
      <c r="D1134" s="1" t="s">
        <v>4660</v>
      </c>
      <c r="F1134" s="2" t="str">
        <f>"0395694558"</f>
        <v>0395694558</v>
      </c>
      <c r="G1134" s="2" t="str">
        <f>"9780395694558"</f>
        <v>9780395694558</v>
      </c>
      <c r="H1134" s="1" t="s">
        <v>1799</v>
      </c>
      <c r="I1134" s="1" t="s">
        <v>31</v>
      </c>
      <c r="J1134" s="1">
        <v>32.0</v>
      </c>
      <c r="K1134" s="1">
        <v>1995.0</v>
      </c>
      <c r="L1134" s="1">
        <v>1985.0</v>
      </c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 t="s">
        <v>116</v>
      </c>
      <c r="Y1134" s="1" t="s">
        <v>4661</v>
      </c>
    </row>
    <row r="1135">
      <c r="A1135" s="1">
        <v>1.0845873E7</v>
      </c>
      <c r="B1135" s="1" t="s">
        <v>4662</v>
      </c>
      <c r="C1135" s="1" t="s">
        <v>4663</v>
      </c>
      <c r="D1135" s="1" t="s">
        <v>4664</v>
      </c>
      <c r="F1135" s="2" t="str">
        <f>"0399234306"</f>
        <v>0399234306</v>
      </c>
      <c r="G1135" s="2" t="str">
        <f>"9780399234309"</f>
        <v>9780399234309</v>
      </c>
      <c r="H1135" s="1" t="s">
        <v>2253</v>
      </c>
      <c r="I1135" s="1" t="s">
        <v>31</v>
      </c>
      <c r="J1135" s="1">
        <v>32.0</v>
      </c>
      <c r="K1135" s="1">
        <v>2011.0</v>
      </c>
      <c r="L1135" s="1">
        <v>2011.0</v>
      </c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 t="s">
        <v>1219</v>
      </c>
      <c r="Y1135" s="1" t="s">
        <v>4665</v>
      </c>
    </row>
    <row r="1136">
      <c r="A1136" s="1">
        <v>226193.0</v>
      </c>
      <c r="B1136" s="1" t="s">
        <v>4666</v>
      </c>
      <c r="C1136" s="1" t="s">
        <v>4667</v>
      </c>
      <c r="D1136" s="1" t="s">
        <v>4668</v>
      </c>
      <c r="E1136" s="1" t="s">
        <v>4667</v>
      </c>
      <c r="F1136" s="2" t="str">
        <f>"0689863497"</f>
        <v>0689863497</v>
      </c>
      <c r="G1136" s="2" t="str">
        <f>"9780689863493"</f>
        <v>9780689863493</v>
      </c>
      <c r="H1136" s="1" t="s">
        <v>2496</v>
      </c>
      <c r="I1136" s="1" t="s">
        <v>36</v>
      </c>
      <c r="J1136" s="1">
        <v>32.0</v>
      </c>
      <c r="K1136" s="1">
        <v>2003.0</v>
      </c>
      <c r="L1136" s="1">
        <v>1999.0</v>
      </c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 t="s">
        <v>412</v>
      </c>
      <c r="Y1136" s="1" t="s">
        <v>4669</v>
      </c>
    </row>
    <row r="1137">
      <c r="A1137" s="1">
        <v>4.0046135E7</v>
      </c>
      <c r="B1137" s="1" t="s">
        <v>4670</v>
      </c>
      <c r="C1137" s="1" t="s">
        <v>4671</v>
      </c>
      <c r="D1137" s="1" t="s">
        <v>4672</v>
      </c>
      <c r="F1137" s="2" t="str">
        <f>"1681198495"</f>
        <v>1681198495</v>
      </c>
      <c r="G1137" s="2" t="str">
        <f>"9781681198491"</f>
        <v>9781681198491</v>
      </c>
      <c r="H1137" s="1" t="s">
        <v>3010</v>
      </c>
      <c r="I1137" s="1" t="s">
        <v>31</v>
      </c>
      <c r="J1137" s="1">
        <v>32.0</v>
      </c>
      <c r="K1137" s="1">
        <v>2019.0</v>
      </c>
      <c r="L1137" s="1">
        <v>2019.0</v>
      </c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 t="s">
        <v>68</v>
      </c>
      <c r="Y1137" s="1" t="s">
        <v>4673</v>
      </c>
    </row>
    <row r="1138">
      <c r="A1138" s="1">
        <v>4.2591174E7</v>
      </c>
      <c r="B1138" s="1" t="s">
        <v>4674</v>
      </c>
      <c r="C1138" s="1" t="s">
        <v>945</v>
      </c>
      <c r="D1138" s="1" t="s">
        <v>4675</v>
      </c>
      <c r="F1138" s="2" t="str">
        <f>"1536206156"</f>
        <v>1536206156</v>
      </c>
      <c r="G1138" s="2" t="str">
        <f>"9781536206159"</f>
        <v>9781536206159</v>
      </c>
      <c r="H1138" s="1" t="s">
        <v>945</v>
      </c>
      <c r="I1138" s="1" t="s">
        <v>31</v>
      </c>
      <c r="J1138" s="1">
        <v>32.0</v>
      </c>
      <c r="K1138" s="1">
        <v>2019.0</v>
      </c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 t="s">
        <v>74</v>
      </c>
      <c r="Y1138" s="1" t="s">
        <v>4676</v>
      </c>
    </row>
    <row r="1139">
      <c r="A1139" s="1">
        <v>5.1165975E7</v>
      </c>
      <c r="B1139" s="1" t="s">
        <v>4677</v>
      </c>
      <c r="C1139" s="1" t="s">
        <v>945</v>
      </c>
      <c r="D1139" s="1" t="s">
        <v>4675</v>
      </c>
      <c r="F1139" s="2" t="str">
        <f>"1536216607"</f>
        <v>1536216607</v>
      </c>
      <c r="G1139" s="2" t="str">
        <f>"9781536216608"</f>
        <v>9781536216608</v>
      </c>
      <c r="H1139" s="1" t="s">
        <v>945</v>
      </c>
      <c r="I1139" s="1" t="s">
        <v>31</v>
      </c>
      <c r="J1139" s="1">
        <v>32.0</v>
      </c>
      <c r="K1139" s="1">
        <v>2020.0</v>
      </c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 t="s">
        <v>74</v>
      </c>
      <c r="Y1139" s="1" t="s">
        <v>4678</v>
      </c>
    </row>
    <row r="1140">
      <c r="A1140" s="1">
        <v>8563507.0</v>
      </c>
      <c r="B1140" s="1" t="s">
        <v>4679</v>
      </c>
      <c r="C1140" s="1" t="s">
        <v>4680</v>
      </c>
      <c r="D1140" s="1" t="s">
        <v>4681</v>
      </c>
      <c r="E1140" s="1" t="s">
        <v>4682</v>
      </c>
      <c r="F1140" s="2" t="str">
        <f>"1558855874"</f>
        <v>1558855874</v>
      </c>
      <c r="G1140" s="2" t="str">
        <f>"9781558855878"</f>
        <v>9781558855878</v>
      </c>
      <c r="H1140" s="1" t="s">
        <v>2433</v>
      </c>
      <c r="I1140" s="1" t="s">
        <v>91</v>
      </c>
      <c r="J1140" s="1">
        <v>32.0</v>
      </c>
      <c r="K1140" s="1">
        <v>2010.0</v>
      </c>
      <c r="L1140" s="1">
        <v>2010.0</v>
      </c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 t="s">
        <v>245</v>
      </c>
      <c r="Y1140" s="1" t="s">
        <v>4683</v>
      </c>
    </row>
    <row r="1141">
      <c r="A1141" s="1">
        <v>1.598335E7</v>
      </c>
      <c r="B1141" s="1" t="s">
        <v>4684</v>
      </c>
      <c r="C1141" s="1" t="s">
        <v>4685</v>
      </c>
      <c r="D1141" s="1" t="s">
        <v>4686</v>
      </c>
      <c r="E1141" s="1" t="s">
        <v>4687</v>
      </c>
      <c r="F1141" s="2" t="str">
        <f>"0753471175"</f>
        <v>0753471175</v>
      </c>
      <c r="G1141" s="2" t="str">
        <f>"9780753471173"</f>
        <v>9780753471173</v>
      </c>
      <c r="H1141" s="1" t="s">
        <v>1704</v>
      </c>
      <c r="I1141" s="1" t="s">
        <v>31</v>
      </c>
      <c r="J1141" s="1">
        <v>32.0</v>
      </c>
      <c r="K1141" s="1">
        <v>2013.0</v>
      </c>
      <c r="L1141" s="1">
        <v>2013.0</v>
      </c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 t="s">
        <v>835</v>
      </c>
      <c r="Y1141" s="1" t="s">
        <v>4688</v>
      </c>
    </row>
    <row r="1142">
      <c r="A1142" s="1">
        <v>5.1105039E7</v>
      </c>
      <c r="B1142" s="1" t="s">
        <v>4689</v>
      </c>
      <c r="C1142" s="1" t="s">
        <v>1114</v>
      </c>
      <c r="D1142" s="1" t="s">
        <v>1115</v>
      </c>
      <c r="F1142" s="2" t="str">
        <f>"140533892X"</f>
        <v>140533892X</v>
      </c>
      <c r="G1142" s="2" t="str">
        <f>"9781405338929"</f>
        <v>9781405338929</v>
      </c>
      <c r="H1142" s="1" t="s">
        <v>4690</v>
      </c>
      <c r="I1142" s="1" t="s">
        <v>36</v>
      </c>
      <c r="J1142" s="1">
        <v>32.0</v>
      </c>
      <c r="K1142" s="1">
        <v>2009.0</v>
      </c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 t="s">
        <v>4691</v>
      </c>
      <c r="Y1142" s="1" t="s">
        <v>4692</v>
      </c>
    </row>
    <row r="1143">
      <c r="A1143" s="1">
        <v>4.1088541E7</v>
      </c>
      <c r="B1143" s="1" t="s">
        <v>4693</v>
      </c>
      <c r="C1143" s="1" t="s">
        <v>1120</v>
      </c>
      <c r="D1143" s="1" t="s">
        <v>1121</v>
      </c>
      <c r="E1143" s="1" t="s">
        <v>1120</v>
      </c>
      <c r="F1143" s="2" t="str">
        <f>"0062668528"</f>
        <v>0062668528</v>
      </c>
      <c r="G1143" s="2" t="str">
        <f>"9780062668523"</f>
        <v>9780062668523</v>
      </c>
      <c r="H1143" s="1" t="s">
        <v>4694</v>
      </c>
      <c r="I1143" s="1" t="s">
        <v>31</v>
      </c>
      <c r="J1143" s="1">
        <v>32.0</v>
      </c>
      <c r="K1143" s="1">
        <v>2019.0</v>
      </c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 t="s">
        <v>863</v>
      </c>
      <c r="Y1143" s="1" t="s">
        <v>4695</v>
      </c>
    </row>
    <row r="1144">
      <c r="A1144" s="1">
        <v>357020.0</v>
      </c>
      <c r="B1144" s="1" t="s">
        <v>4696</v>
      </c>
      <c r="C1144" s="1" t="s">
        <v>4697</v>
      </c>
      <c r="D1144" s="1" t="s">
        <v>4698</v>
      </c>
      <c r="E1144" s="1" t="s">
        <v>4699</v>
      </c>
      <c r="F1144" s="2" t="str">
        <f>"1577681983"</f>
        <v>1577681983</v>
      </c>
      <c r="G1144" s="2" t="str">
        <f>"9781577681984"</f>
        <v>9781577681984</v>
      </c>
      <c r="H1144" s="1" t="s">
        <v>4700</v>
      </c>
      <c r="I1144" s="1" t="s">
        <v>36</v>
      </c>
      <c r="J1144" s="1">
        <v>32.0</v>
      </c>
      <c r="K1144" s="1">
        <v>2001.0</v>
      </c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 t="s">
        <v>212</v>
      </c>
      <c r="Y1144" s="1" t="s">
        <v>4701</v>
      </c>
    </row>
    <row r="1145">
      <c r="A1145" s="1">
        <v>6185114.0</v>
      </c>
      <c r="B1145" s="1" t="s">
        <v>4702</v>
      </c>
      <c r="C1145" s="1" t="s">
        <v>4703</v>
      </c>
      <c r="D1145" s="1" t="s">
        <v>4704</v>
      </c>
      <c r="F1145" s="2" t="str">
        <f>"0439724171"</f>
        <v>0439724171</v>
      </c>
      <c r="G1145" s="2" t="str">
        <f>"9780439724173"</f>
        <v>9780439724173</v>
      </c>
      <c r="H1145" s="1" t="s">
        <v>4705</v>
      </c>
      <c r="I1145" s="1" t="s">
        <v>31</v>
      </c>
      <c r="J1145" s="1">
        <v>32.0</v>
      </c>
      <c r="K1145" s="1">
        <v>2009.0</v>
      </c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 t="s">
        <v>1494</v>
      </c>
      <c r="Y1145" s="1" t="s">
        <v>4706</v>
      </c>
    </row>
    <row r="1146">
      <c r="A1146" s="1">
        <v>886410.0</v>
      </c>
      <c r="B1146" s="1" t="s">
        <v>4707</v>
      </c>
      <c r="C1146" s="1" t="s">
        <v>4708</v>
      </c>
      <c r="D1146" s="1" t="s">
        <v>4709</v>
      </c>
      <c r="F1146" s="2" t="str">
        <f>"0590474235"</f>
        <v>0590474235</v>
      </c>
      <c r="G1146" s="2" t="str">
        <f>"9780590474238"</f>
        <v>9780590474238</v>
      </c>
      <c r="H1146" s="1" t="s">
        <v>2944</v>
      </c>
      <c r="I1146" s="1" t="s">
        <v>36</v>
      </c>
      <c r="J1146" s="1">
        <v>32.0</v>
      </c>
      <c r="K1146" s="1">
        <v>1993.0</v>
      </c>
      <c r="L1146" s="1">
        <v>1991.0</v>
      </c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 t="s">
        <v>1219</v>
      </c>
      <c r="Y1146" s="1" t="s">
        <v>4710</v>
      </c>
    </row>
    <row r="1147">
      <c r="A1147" s="1">
        <v>6931203.0</v>
      </c>
      <c r="B1147" s="1" t="s">
        <v>4711</v>
      </c>
      <c r="C1147" s="1" t="s">
        <v>4712</v>
      </c>
      <c r="D1147" s="1" t="s">
        <v>4713</v>
      </c>
      <c r="E1147" s="1" t="s">
        <v>4714</v>
      </c>
      <c r="F1147" s="2" t="str">
        <f>"0531213285"</f>
        <v>0531213285</v>
      </c>
      <c r="G1147" s="2" t="str">
        <f>"9780531213285"</f>
        <v>9780531213285</v>
      </c>
      <c r="H1147" s="1" t="s">
        <v>4715</v>
      </c>
      <c r="I1147" s="1" t="s">
        <v>91</v>
      </c>
      <c r="J1147" s="1">
        <v>32.0</v>
      </c>
      <c r="K1147" s="1">
        <v>2009.0</v>
      </c>
      <c r="L1147" s="1">
        <v>2009.0</v>
      </c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 t="s">
        <v>3709</v>
      </c>
      <c r="Y1147" s="1" t="s">
        <v>4716</v>
      </c>
    </row>
    <row r="1148">
      <c r="A1148" s="1">
        <v>2.7415437E7</v>
      </c>
      <c r="B1148" s="1" t="s">
        <v>4717</v>
      </c>
      <c r="C1148" s="1" t="s">
        <v>4718</v>
      </c>
      <c r="D1148" s="1" t="s">
        <v>4719</v>
      </c>
      <c r="E1148" s="1" t="s">
        <v>4720</v>
      </c>
      <c r="F1148" s="2" t="str">
        <f>"0316356557"</f>
        <v>0316356557</v>
      </c>
      <c r="G1148" s="2" t="str">
        <f>"9780316356558"</f>
        <v>9780316356558</v>
      </c>
      <c r="H1148" s="1" t="s">
        <v>112</v>
      </c>
      <c r="I1148" s="1" t="s">
        <v>31</v>
      </c>
      <c r="J1148" s="1">
        <v>32.0</v>
      </c>
      <c r="K1148" s="1">
        <v>2016.0</v>
      </c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 t="s">
        <v>323</v>
      </c>
      <c r="Y1148" s="1" t="s">
        <v>4721</v>
      </c>
    </row>
    <row r="1149">
      <c r="A1149" s="1">
        <v>1.8142364E7</v>
      </c>
      <c r="B1149" s="1" t="s">
        <v>4722</v>
      </c>
      <c r="C1149" s="1" t="s">
        <v>4723</v>
      </c>
      <c r="D1149" s="1" t="s">
        <v>4724</v>
      </c>
      <c r="E1149" s="1" t="s">
        <v>4725</v>
      </c>
      <c r="F1149" s="2" t="str">
        <f>"0385753845"</f>
        <v>0385753845</v>
      </c>
      <c r="G1149" s="2" t="str">
        <f>"9780385753845"</f>
        <v>9780385753845</v>
      </c>
      <c r="H1149" s="1" t="s">
        <v>3211</v>
      </c>
      <c r="I1149" s="1" t="s">
        <v>31</v>
      </c>
      <c r="J1149" s="1">
        <v>32.0</v>
      </c>
      <c r="K1149" s="1">
        <v>2014.0</v>
      </c>
      <c r="L1149" s="1">
        <v>2014.0</v>
      </c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 t="s">
        <v>1317</v>
      </c>
      <c r="Y1149" s="1" t="s">
        <v>4726</v>
      </c>
    </row>
    <row r="1150">
      <c r="A1150" s="1">
        <v>1.2663253E7</v>
      </c>
      <c r="B1150" s="1" t="s">
        <v>4727</v>
      </c>
      <c r="C1150" s="1" t="s">
        <v>4723</v>
      </c>
      <c r="D1150" s="1" t="s">
        <v>4724</v>
      </c>
      <c r="E1150" s="1" t="s">
        <v>4725</v>
      </c>
      <c r="F1150" s="2" t="str">
        <f>"0375867139"</f>
        <v>0375867139</v>
      </c>
      <c r="G1150" s="2" t="str">
        <f>"9780375867132"</f>
        <v>9780375867132</v>
      </c>
      <c r="H1150" s="1" t="s">
        <v>2061</v>
      </c>
      <c r="I1150" s="1" t="s">
        <v>31</v>
      </c>
      <c r="J1150" s="1">
        <v>32.0</v>
      </c>
      <c r="K1150" s="1">
        <v>2012.0</v>
      </c>
      <c r="L1150" s="1">
        <v>2012.0</v>
      </c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 t="s">
        <v>412</v>
      </c>
      <c r="Y1150" s="1" t="s">
        <v>4728</v>
      </c>
    </row>
    <row r="1151">
      <c r="A1151" s="1">
        <v>2.2694053E7</v>
      </c>
      <c r="B1151" s="1" t="s">
        <v>4729</v>
      </c>
      <c r="C1151" s="1" t="s">
        <v>4723</v>
      </c>
      <c r="D1151" s="1" t="s">
        <v>4724</v>
      </c>
      <c r="E1151" s="1" t="s">
        <v>4725</v>
      </c>
      <c r="F1151" s="2" t="str">
        <f>"0553498371"</f>
        <v>0553498371</v>
      </c>
      <c r="G1151" s="2" t="str">
        <f>"9780553498370"</f>
        <v>9780553498370</v>
      </c>
      <c r="H1151" s="1" t="s">
        <v>3211</v>
      </c>
      <c r="I1151" s="1" t="s">
        <v>91</v>
      </c>
      <c r="J1151" s="1">
        <v>32.0</v>
      </c>
      <c r="K1151" s="1">
        <v>2015.0</v>
      </c>
      <c r="L1151" s="1">
        <v>2015.0</v>
      </c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 t="s">
        <v>323</v>
      </c>
      <c r="Y1151" s="1" t="s">
        <v>4730</v>
      </c>
    </row>
    <row r="1152">
      <c r="A1152" s="1">
        <v>1199240.0</v>
      </c>
      <c r="B1152" s="1" t="s">
        <v>4731</v>
      </c>
      <c r="C1152" s="1" t="s">
        <v>4732</v>
      </c>
      <c r="D1152" s="1" t="s">
        <v>4733</v>
      </c>
      <c r="F1152" s="2" t="str">
        <f>"0816737509"</f>
        <v>0816737509</v>
      </c>
      <c r="G1152" s="2" t="str">
        <f>"9780816737505"</f>
        <v>9780816737505</v>
      </c>
      <c r="H1152" s="1" t="s">
        <v>4374</v>
      </c>
      <c r="I1152" s="1" t="s">
        <v>36</v>
      </c>
      <c r="J1152" s="1">
        <v>32.0</v>
      </c>
      <c r="K1152" s="1">
        <v>1998.0</v>
      </c>
      <c r="L1152" s="1">
        <v>1995.0</v>
      </c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 t="s">
        <v>1317</v>
      </c>
      <c r="Y1152" s="1" t="s">
        <v>4734</v>
      </c>
    </row>
    <row r="1153">
      <c r="A1153" s="1">
        <v>858620.0</v>
      </c>
      <c r="B1153" s="1" t="s">
        <v>4735</v>
      </c>
      <c r="C1153" s="1" t="s">
        <v>2282</v>
      </c>
      <c r="D1153" s="1" t="s">
        <v>2283</v>
      </c>
      <c r="F1153" s="2" t="str">
        <f>"0439949106"</f>
        <v>0439949106</v>
      </c>
      <c r="G1153" s="2" t="str">
        <f>"9780439949101"</f>
        <v>9780439949101</v>
      </c>
      <c r="H1153" s="1" t="s">
        <v>4736</v>
      </c>
      <c r="I1153" s="1" t="s">
        <v>31</v>
      </c>
      <c r="J1153" s="1">
        <v>32.0</v>
      </c>
      <c r="K1153" s="1">
        <v>2006.0</v>
      </c>
      <c r="L1153" s="1">
        <v>2006.0</v>
      </c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 t="s">
        <v>363</v>
      </c>
      <c r="Y1153" s="1" t="s">
        <v>4737</v>
      </c>
    </row>
    <row r="1154">
      <c r="A1154" s="1">
        <v>7229015.0</v>
      </c>
      <c r="B1154" s="1" t="s">
        <v>4738</v>
      </c>
      <c r="C1154" s="1" t="s">
        <v>2282</v>
      </c>
      <c r="D1154" s="1" t="s">
        <v>2283</v>
      </c>
      <c r="F1154" s="2" t="str">
        <f>"0545985773"</f>
        <v>0545985773</v>
      </c>
      <c r="G1154" s="2" t="str">
        <f>"9780545985772"</f>
        <v>9780545985772</v>
      </c>
      <c r="H1154" s="1" t="s">
        <v>4358</v>
      </c>
      <c r="I1154" s="1" t="s">
        <v>31</v>
      </c>
      <c r="J1154" s="1">
        <v>32.0</v>
      </c>
      <c r="K1154" s="1">
        <v>2009.0</v>
      </c>
      <c r="L1154" s="1">
        <v>2009.0</v>
      </c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 t="s">
        <v>2279</v>
      </c>
      <c r="Y1154" s="1" t="s">
        <v>4739</v>
      </c>
    </row>
    <row r="1155">
      <c r="A1155" s="1">
        <v>1.8873318E7</v>
      </c>
      <c r="B1155" s="1" t="s">
        <v>4740</v>
      </c>
      <c r="C1155" s="1" t="s">
        <v>2282</v>
      </c>
      <c r="D1155" s="1" t="s">
        <v>2283</v>
      </c>
      <c r="F1155" s="2" t="str">
        <f>"1443124710"</f>
        <v>1443124710</v>
      </c>
      <c r="G1155" s="2" t="str">
        <f>"9781443124713"</f>
        <v>9781443124713</v>
      </c>
      <c r="H1155" s="1" t="s">
        <v>4741</v>
      </c>
      <c r="I1155" s="1" t="s">
        <v>31</v>
      </c>
      <c r="J1155" s="1">
        <v>32.0</v>
      </c>
      <c r="K1155" s="1">
        <v>2013.0</v>
      </c>
      <c r="L1155" s="1">
        <v>2013.0</v>
      </c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 t="s">
        <v>863</v>
      </c>
      <c r="Y1155" s="1" t="s">
        <v>4742</v>
      </c>
    </row>
    <row r="1156">
      <c r="A1156" s="1">
        <v>5.0552776E7</v>
      </c>
      <c r="B1156" s="1" t="s">
        <v>4743</v>
      </c>
      <c r="C1156" s="1" t="s">
        <v>4744</v>
      </c>
      <c r="D1156" s="1" t="s">
        <v>4745</v>
      </c>
      <c r="F1156" s="2" t="str">
        <f>"1515873145"</f>
        <v>1515873145</v>
      </c>
      <c r="G1156" s="2" t="str">
        <f>"9781515873143"</f>
        <v>9781515873143</v>
      </c>
      <c r="H1156" s="1" t="s">
        <v>584</v>
      </c>
      <c r="I1156" s="1" t="s">
        <v>36</v>
      </c>
      <c r="J1156" s="1">
        <v>32.0</v>
      </c>
      <c r="K1156" s="1">
        <v>2020.0</v>
      </c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 t="s">
        <v>1024</v>
      </c>
      <c r="Y1156" s="1" t="s">
        <v>4746</v>
      </c>
    </row>
    <row r="1157">
      <c r="A1157" s="1">
        <v>3194431.0</v>
      </c>
      <c r="B1157" s="1" t="s">
        <v>4747</v>
      </c>
      <c r="C1157" s="1" t="s">
        <v>4748</v>
      </c>
      <c r="D1157" s="1" t="s">
        <v>4749</v>
      </c>
      <c r="F1157" s="2" t="str">
        <f>"0399245340"</f>
        <v>0399245340</v>
      </c>
      <c r="G1157" s="2" t="str">
        <f>"9780399245343"</f>
        <v>9780399245343</v>
      </c>
      <c r="H1157" s="1" t="s">
        <v>2682</v>
      </c>
      <c r="I1157" s="1" t="s">
        <v>31</v>
      </c>
      <c r="J1157" s="1">
        <v>32.0</v>
      </c>
      <c r="K1157" s="1">
        <v>2008.0</v>
      </c>
      <c r="L1157" s="1">
        <v>2008.0</v>
      </c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 t="s">
        <v>212</v>
      </c>
      <c r="Y1157" s="1" t="s">
        <v>4750</v>
      </c>
    </row>
    <row r="1158">
      <c r="A1158" s="1">
        <v>3.7885416E7</v>
      </c>
      <c r="B1158" s="1" t="s">
        <v>4751</v>
      </c>
      <c r="C1158" s="1" t="s">
        <v>4748</v>
      </c>
      <c r="D1158" s="1" t="s">
        <v>4749</v>
      </c>
      <c r="F1158" s="2" t="str">
        <f>"1524738808"</f>
        <v>1524738808</v>
      </c>
      <c r="G1158" s="2" t="str">
        <f>"9781524738808"</f>
        <v>9781524738808</v>
      </c>
      <c r="H1158" s="1" t="s">
        <v>2418</v>
      </c>
      <c r="I1158" s="1" t="s">
        <v>31</v>
      </c>
      <c r="J1158" s="1">
        <v>32.0</v>
      </c>
      <c r="K1158" s="1">
        <v>2018.0</v>
      </c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 t="s">
        <v>412</v>
      </c>
      <c r="Y1158" s="1" t="s">
        <v>4752</v>
      </c>
    </row>
    <row r="1159">
      <c r="A1159" s="1">
        <v>1.3356663E7</v>
      </c>
      <c r="B1159" s="1" t="s">
        <v>4753</v>
      </c>
      <c r="C1159" s="1" t="s">
        <v>1838</v>
      </c>
      <c r="D1159" s="1" t="s">
        <v>1848</v>
      </c>
      <c r="E1159" s="1" t="s">
        <v>1834</v>
      </c>
      <c r="F1159" s="2" t="str">
        <f>"0547632312"</f>
        <v>0547632312</v>
      </c>
      <c r="G1159" s="2" t="str">
        <f>"9780547632315"</f>
        <v>9780547632315</v>
      </c>
      <c r="H1159" s="1" t="s">
        <v>389</v>
      </c>
      <c r="I1159" s="1" t="s">
        <v>31</v>
      </c>
      <c r="J1159" s="1">
        <v>32.0</v>
      </c>
      <c r="K1159" s="1">
        <v>2013.0</v>
      </c>
      <c r="L1159" s="1">
        <v>2013.0</v>
      </c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 t="s">
        <v>1839</v>
      </c>
      <c r="Y1159" s="1" t="s">
        <v>4754</v>
      </c>
    </row>
    <row r="1160">
      <c r="A1160" s="1">
        <v>532171.0</v>
      </c>
      <c r="B1160" s="1" t="s">
        <v>4755</v>
      </c>
      <c r="C1160" s="1" t="s">
        <v>1838</v>
      </c>
      <c r="D1160" s="1" t="s">
        <v>1848</v>
      </c>
      <c r="E1160" s="1" t="s">
        <v>4756</v>
      </c>
      <c r="F1160" s="2" t="str">
        <f>"0395519365"</f>
        <v>0395519365</v>
      </c>
      <c r="G1160" s="2" t="str">
        <f>"9780395519363"</f>
        <v>9780395519363</v>
      </c>
      <c r="H1160" s="1" t="s">
        <v>1710</v>
      </c>
      <c r="I1160" s="1" t="s">
        <v>36</v>
      </c>
      <c r="J1160" s="1">
        <v>32.0</v>
      </c>
      <c r="K1160" s="1">
        <v>1989.0</v>
      </c>
      <c r="L1160" s="1">
        <v>1989.0</v>
      </c>
    </row>
    <row r="1161">
      <c r="A1161" s="1">
        <v>819044.0</v>
      </c>
      <c r="B1161" s="1" t="s">
        <v>4757</v>
      </c>
      <c r="C1161" s="1" t="s">
        <v>1838</v>
      </c>
      <c r="D1161" s="1" t="s">
        <v>1848</v>
      </c>
      <c r="E1161" s="1" t="s">
        <v>4756</v>
      </c>
      <c r="F1161" s="2" t="str">
        <f>"0395390303"</f>
        <v>0395390303</v>
      </c>
      <c r="G1161" s="2" t="str">
        <f>"9780395390306"</f>
        <v>9780395390306</v>
      </c>
      <c r="H1161" s="1" t="s">
        <v>215</v>
      </c>
      <c r="I1161" s="1" t="s">
        <v>36</v>
      </c>
      <c r="J1161" s="1">
        <v>32.0</v>
      </c>
      <c r="K1161" s="1">
        <v>1985.0</v>
      </c>
      <c r="L1161" s="1">
        <v>1985.0</v>
      </c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 t="s">
        <v>1839</v>
      </c>
      <c r="Y1161" s="1" t="s">
        <v>4758</v>
      </c>
    </row>
    <row r="1162">
      <c r="A1162" s="1">
        <v>1.3259987E7</v>
      </c>
      <c r="B1162" s="1" t="s">
        <v>4759</v>
      </c>
      <c r="C1162" s="1" t="s">
        <v>4760</v>
      </c>
      <c r="D1162" s="1" t="s">
        <v>4761</v>
      </c>
      <c r="E1162" s="1" t="s">
        <v>4762</v>
      </c>
      <c r="F1162" s="2" t="str">
        <f>"1442402970"</f>
        <v>1442402970</v>
      </c>
      <c r="G1162" s="2" t="str">
        <f>"9781442402973"</f>
        <v>9781442402973</v>
      </c>
      <c r="H1162" s="1" t="s">
        <v>4763</v>
      </c>
      <c r="I1162" s="1" t="s">
        <v>31</v>
      </c>
      <c r="J1162" s="1">
        <v>32.0</v>
      </c>
      <c r="K1162" s="1">
        <v>2012.0</v>
      </c>
      <c r="L1162" s="1">
        <v>2012.0</v>
      </c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 t="s">
        <v>2254</v>
      </c>
      <c r="Y1162" s="1" t="s">
        <v>4764</v>
      </c>
    </row>
    <row r="1163">
      <c r="A1163" s="1">
        <v>2.6011673E7</v>
      </c>
      <c r="B1163" s="1" t="s">
        <v>4765</v>
      </c>
      <c r="C1163" s="1" t="s">
        <v>4766</v>
      </c>
      <c r="D1163" s="1" t="s">
        <v>4767</v>
      </c>
      <c r="F1163" s="2" t="str">
        <f>"1101937424"</f>
        <v>1101937424</v>
      </c>
      <c r="G1163" s="2" t="str">
        <f>"9781101937426"</f>
        <v>9781101937426</v>
      </c>
      <c r="H1163" s="1" t="s">
        <v>3066</v>
      </c>
      <c r="I1163" s="1" t="s">
        <v>238</v>
      </c>
      <c r="J1163" s="1">
        <v>32.0</v>
      </c>
      <c r="K1163" s="1">
        <v>2017.0</v>
      </c>
      <c r="L1163" s="1">
        <v>2017.0</v>
      </c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 t="s">
        <v>4768</v>
      </c>
      <c r="Y1163" s="1" t="s">
        <v>4769</v>
      </c>
    </row>
    <row r="1164">
      <c r="A1164" s="1">
        <v>825377.0</v>
      </c>
      <c r="B1164" s="1" t="s">
        <v>4770</v>
      </c>
      <c r="C1164" s="1" t="s">
        <v>2272</v>
      </c>
      <c r="D1164" s="1" t="s">
        <v>4771</v>
      </c>
      <c r="F1164" s="2" t="str">
        <f>"0763619612"</f>
        <v>0763619612</v>
      </c>
      <c r="G1164" s="2" t="str">
        <f>"9780763619619"</f>
        <v>9780763619619</v>
      </c>
      <c r="H1164" s="1" t="s">
        <v>945</v>
      </c>
      <c r="I1164" s="1" t="s">
        <v>31</v>
      </c>
      <c r="J1164" s="1">
        <v>32.0</v>
      </c>
      <c r="K1164" s="1">
        <v>2003.0</v>
      </c>
      <c r="L1164" s="1">
        <v>2003.0</v>
      </c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 t="s">
        <v>1219</v>
      </c>
      <c r="Y1164" s="1" t="s">
        <v>4772</v>
      </c>
    </row>
    <row r="1165">
      <c r="A1165" s="1">
        <v>3.1315554E7</v>
      </c>
      <c r="B1165" s="1" t="s">
        <v>4773</v>
      </c>
      <c r="C1165" s="1" t="s">
        <v>2272</v>
      </c>
      <c r="D1165" s="1" t="s">
        <v>4771</v>
      </c>
      <c r="F1165" s="2" t="str">
        <f>"0545865018"</f>
        <v>0545865018</v>
      </c>
      <c r="G1165" s="2" t="str">
        <f>"9780545865012"</f>
        <v>9780545865012</v>
      </c>
      <c r="H1165" s="1" t="s">
        <v>2397</v>
      </c>
      <c r="I1165" s="1" t="s">
        <v>31</v>
      </c>
      <c r="J1165" s="1">
        <v>32.0</v>
      </c>
      <c r="K1165" s="1">
        <v>2017.0</v>
      </c>
      <c r="L1165" s="1">
        <v>2017.0</v>
      </c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 t="s">
        <v>113</v>
      </c>
      <c r="Y1165" s="1" t="s">
        <v>4774</v>
      </c>
    </row>
    <row r="1166">
      <c r="A1166" s="1">
        <v>765654.0</v>
      </c>
      <c r="B1166" s="1" t="s">
        <v>4775</v>
      </c>
      <c r="C1166" s="1" t="s">
        <v>2272</v>
      </c>
      <c r="D1166" s="1" t="s">
        <v>4771</v>
      </c>
      <c r="F1166" s="2" t="str">
        <f>"076362344X"</f>
        <v>076362344X</v>
      </c>
      <c r="G1166" s="2" t="str">
        <f>"9780763623449"</f>
        <v>9780763623449</v>
      </c>
      <c r="H1166" s="1" t="s">
        <v>945</v>
      </c>
      <c r="I1166" s="1" t="s">
        <v>31</v>
      </c>
      <c r="J1166" s="1">
        <v>32.0</v>
      </c>
      <c r="K1166" s="1">
        <v>2004.0</v>
      </c>
      <c r="L1166" s="1">
        <v>2004.0</v>
      </c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 t="s">
        <v>1084</v>
      </c>
      <c r="Y1166" s="1" t="s">
        <v>4776</v>
      </c>
    </row>
    <row r="1167">
      <c r="A1167" s="1">
        <v>4.8716985E7</v>
      </c>
      <c r="B1167" s="1" t="s">
        <v>4777</v>
      </c>
      <c r="C1167" s="1" t="s">
        <v>1898</v>
      </c>
      <c r="D1167" s="1" t="s">
        <v>1899</v>
      </c>
      <c r="E1167" s="1" t="s">
        <v>4778</v>
      </c>
      <c r="F1167" s="2" t="str">
        <f>"0062980408"</f>
        <v>0062980408</v>
      </c>
      <c r="G1167" s="2" t="str">
        <f>"9780062980403"</f>
        <v>9780062980403</v>
      </c>
      <c r="H1167" s="1" t="s">
        <v>1570</v>
      </c>
      <c r="I1167" s="1" t="s">
        <v>36</v>
      </c>
      <c r="J1167" s="1">
        <v>32.0</v>
      </c>
      <c r="K1167" s="1">
        <v>2020.0</v>
      </c>
      <c r="L1167" s="1">
        <v>2011.0</v>
      </c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 t="s">
        <v>32</v>
      </c>
      <c r="Y1167" s="1" t="s">
        <v>4779</v>
      </c>
    </row>
    <row r="1168">
      <c r="A1168" s="1">
        <v>1.34872362E8</v>
      </c>
      <c r="B1168" s="1" t="s">
        <v>4780</v>
      </c>
      <c r="C1168" s="1" t="s">
        <v>4781</v>
      </c>
      <c r="D1168" s="1" t="s">
        <v>4782</v>
      </c>
      <c r="F1168" s="2" t="str">
        <f t="shared" ref="F1168:G1168" si="91">""</f>
        <v/>
      </c>
      <c r="G1168" s="2" t="str">
        <f t="shared" si="91"/>
        <v/>
      </c>
      <c r="I1168" s="1" t="s">
        <v>31</v>
      </c>
      <c r="J1168" s="1">
        <v>32.0</v>
      </c>
      <c r="K1168" s="1">
        <v>2004.0</v>
      </c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 t="s">
        <v>4231</v>
      </c>
      <c r="Y1168" s="1" t="s">
        <v>4783</v>
      </c>
    </row>
    <row r="1169">
      <c r="A1169" s="1">
        <v>111027.0</v>
      </c>
      <c r="B1169" s="1" t="s">
        <v>4784</v>
      </c>
      <c r="C1169" s="1" t="s">
        <v>4785</v>
      </c>
      <c r="D1169" s="1" t="s">
        <v>4786</v>
      </c>
      <c r="F1169" s="2" t="str">
        <f>"0517885441"</f>
        <v>0517885441</v>
      </c>
      <c r="G1169" s="2" t="str">
        <f>"9780517885444"</f>
        <v>9780517885444</v>
      </c>
      <c r="H1169" s="1" t="s">
        <v>2751</v>
      </c>
      <c r="I1169" s="1" t="s">
        <v>36</v>
      </c>
      <c r="J1169" s="1">
        <v>32.0</v>
      </c>
      <c r="K1169" s="1">
        <v>1996.0</v>
      </c>
      <c r="L1169" s="1">
        <v>1991.0</v>
      </c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 t="s">
        <v>742</v>
      </c>
      <c r="Y1169" s="1" t="s">
        <v>4787</v>
      </c>
    </row>
    <row r="1170">
      <c r="A1170" s="1">
        <v>9676990.0</v>
      </c>
      <c r="B1170" s="1" t="s">
        <v>4788</v>
      </c>
      <c r="C1170" s="1" t="s">
        <v>4789</v>
      </c>
      <c r="D1170" s="1" t="s">
        <v>4790</v>
      </c>
      <c r="E1170" s="1" t="s">
        <v>4791</v>
      </c>
      <c r="F1170" s="2" t="str">
        <f>"0811877825"</f>
        <v>0811877825</v>
      </c>
      <c r="G1170" s="2" t="str">
        <f>"9780811877824"</f>
        <v>9780811877824</v>
      </c>
      <c r="H1170" s="1" t="s">
        <v>1593</v>
      </c>
      <c r="I1170" s="1" t="s">
        <v>31</v>
      </c>
      <c r="J1170" s="1">
        <v>32.0</v>
      </c>
      <c r="K1170" s="1">
        <v>2011.0</v>
      </c>
      <c r="L1170" s="1">
        <v>2011.0</v>
      </c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 t="s">
        <v>4792</v>
      </c>
      <c r="Y1170" s="1" t="s">
        <v>4793</v>
      </c>
    </row>
    <row r="1171">
      <c r="A1171" s="1">
        <v>3.1258103E7</v>
      </c>
      <c r="B1171" s="1" t="s">
        <v>4794</v>
      </c>
      <c r="C1171" s="1" t="s">
        <v>4795</v>
      </c>
      <c r="D1171" s="1" t="s">
        <v>4796</v>
      </c>
      <c r="E1171" s="1" t="s">
        <v>1395</v>
      </c>
      <c r="F1171" s="2" t="str">
        <f>"155379673X"</f>
        <v>155379673X</v>
      </c>
      <c r="G1171" s="2" t="str">
        <f>"9781553796732"</f>
        <v>9781553796732</v>
      </c>
      <c r="H1171" s="1" t="s">
        <v>4797</v>
      </c>
      <c r="I1171" s="1" t="s">
        <v>31</v>
      </c>
      <c r="J1171" s="1">
        <v>32.0</v>
      </c>
      <c r="K1171" s="1">
        <v>2016.0</v>
      </c>
      <c r="L1171" s="1">
        <v>2016.0</v>
      </c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 t="s">
        <v>146</v>
      </c>
      <c r="Y1171" s="1" t="s">
        <v>4798</v>
      </c>
    </row>
    <row r="1172">
      <c r="A1172" s="1">
        <v>2.5663825E7</v>
      </c>
      <c r="B1172" s="1" t="s">
        <v>4799</v>
      </c>
      <c r="C1172" s="1" t="s">
        <v>4800</v>
      </c>
      <c r="D1172" s="1" t="s">
        <v>4801</v>
      </c>
      <c r="E1172" s="1" t="s">
        <v>4802</v>
      </c>
      <c r="F1172" s="2" t="str">
        <f>"1681190265"</f>
        <v>1681190265</v>
      </c>
      <c r="G1172" s="2" t="str">
        <f>"9781681190266"</f>
        <v>9781681190266</v>
      </c>
      <c r="H1172" s="1" t="s">
        <v>2588</v>
      </c>
      <c r="I1172" s="1" t="s">
        <v>31</v>
      </c>
      <c r="J1172" s="1">
        <v>32.0</v>
      </c>
      <c r="K1172" s="1">
        <v>2016.0</v>
      </c>
      <c r="L1172" s="1">
        <v>2016.0</v>
      </c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 t="s">
        <v>835</v>
      </c>
      <c r="Y1172" s="1" t="s">
        <v>4803</v>
      </c>
    </row>
    <row r="1173">
      <c r="A1173" s="1">
        <v>2.2712917E7</v>
      </c>
      <c r="B1173" s="1" t="s">
        <v>4804</v>
      </c>
      <c r="C1173" s="1" t="s">
        <v>4800</v>
      </c>
      <c r="D1173" s="1" t="s">
        <v>4801</v>
      </c>
      <c r="E1173" s="1" t="s">
        <v>3514</v>
      </c>
      <c r="F1173" s="2" t="str">
        <f>"1408845601"</f>
        <v>1408845601</v>
      </c>
      <c r="G1173" s="2" t="str">
        <f>"9781408845608"</f>
        <v>9781408845608</v>
      </c>
      <c r="H1173" s="1" t="s">
        <v>4805</v>
      </c>
      <c r="I1173" s="1" t="s">
        <v>36</v>
      </c>
      <c r="J1173" s="1">
        <v>32.0</v>
      </c>
      <c r="K1173" s="1">
        <v>2014.0</v>
      </c>
      <c r="L1173" s="1">
        <v>2014.0</v>
      </c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 t="s">
        <v>412</v>
      </c>
      <c r="Y1173" s="1" t="s">
        <v>4806</v>
      </c>
    </row>
    <row r="1174">
      <c r="A1174" s="1">
        <v>5.0739049E7</v>
      </c>
      <c r="B1174" s="1" t="s">
        <v>4807</v>
      </c>
      <c r="C1174" s="1" t="s">
        <v>4800</v>
      </c>
      <c r="D1174" s="1" t="s">
        <v>4801</v>
      </c>
      <c r="E1174" s="1" t="s">
        <v>4808</v>
      </c>
      <c r="F1174" s="2" t="str">
        <f>"1405288647"</f>
        <v>1405288647</v>
      </c>
      <c r="G1174" s="2" t="str">
        <f>"9781405288644"</f>
        <v>9781405288644</v>
      </c>
      <c r="H1174" s="1" t="s">
        <v>4809</v>
      </c>
      <c r="I1174" s="1" t="s">
        <v>36</v>
      </c>
      <c r="J1174" s="1">
        <v>32.0</v>
      </c>
      <c r="K1174" s="1">
        <v>2019.0</v>
      </c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 t="s">
        <v>4810</v>
      </c>
      <c r="Y1174" s="1" t="s">
        <v>4811</v>
      </c>
    </row>
    <row r="1175">
      <c r="A1175" s="1">
        <v>5.8640157E7</v>
      </c>
      <c r="B1175" s="1" t="s">
        <v>4812</v>
      </c>
      <c r="C1175" s="1" t="s">
        <v>591</v>
      </c>
      <c r="D1175" s="1" t="s">
        <v>592</v>
      </c>
      <c r="F1175" s="2" t="str">
        <f>"1801310505"</f>
        <v>1801310505</v>
      </c>
      <c r="G1175" s="2" t="str">
        <f>"9781801310505"</f>
        <v>9781801310505</v>
      </c>
      <c r="H1175" s="1" t="s">
        <v>4813</v>
      </c>
      <c r="I1175" s="1" t="s">
        <v>36</v>
      </c>
      <c r="J1175" s="1">
        <v>32.0</v>
      </c>
      <c r="K1175" s="1">
        <v>2022.0</v>
      </c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 t="s">
        <v>452</v>
      </c>
      <c r="Y1175" s="1" t="s">
        <v>4814</v>
      </c>
    </row>
    <row r="1176">
      <c r="A1176" s="1">
        <v>64353.0</v>
      </c>
      <c r="B1176" s="1" t="s">
        <v>4815</v>
      </c>
      <c r="C1176" s="1" t="s">
        <v>4816</v>
      </c>
      <c r="D1176" s="1" t="s">
        <v>4817</v>
      </c>
      <c r="E1176" s="1" t="s">
        <v>4818</v>
      </c>
      <c r="F1176" s="2" t="str">
        <f>"0670059595"</f>
        <v>0670059595</v>
      </c>
      <c r="G1176" s="2" t="str">
        <f>"9780670059591"</f>
        <v>9780670059591</v>
      </c>
      <c r="H1176" s="1" t="s">
        <v>2746</v>
      </c>
      <c r="I1176" s="1" t="s">
        <v>31</v>
      </c>
      <c r="J1176" s="1">
        <v>32.0</v>
      </c>
      <c r="K1176" s="1">
        <v>2005.0</v>
      </c>
      <c r="L1176" s="1">
        <v>2005.0</v>
      </c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 t="s">
        <v>674</v>
      </c>
      <c r="Y1176" s="1" t="s">
        <v>4819</v>
      </c>
    </row>
    <row r="1177">
      <c r="A1177" s="1">
        <v>4825696.0</v>
      </c>
      <c r="B1177" s="1" t="s">
        <v>4820</v>
      </c>
      <c r="C1177" s="1" t="s">
        <v>4821</v>
      </c>
      <c r="D1177" s="1" t="s">
        <v>4822</v>
      </c>
      <c r="F1177" s="2" t="str">
        <f>"0395570034"</f>
        <v>0395570034</v>
      </c>
      <c r="G1177" s="2" t="str">
        <f>"9780395570036"</f>
        <v>9780395570036</v>
      </c>
      <c r="H1177" s="1" t="s">
        <v>1799</v>
      </c>
      <c r="I1177" s="1" t="s">
        <v>31</v>
      </c>
      <c r="J1177" s="1">
        <v>32.0</v>
      </c>
      <c r="K1177" s="1">
        <v>1992.0</v>
      </c>
      <c r="L1177" s="1">
        <v>1992.0</v>
      </c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 t="s">
        <v>742</v>
      </c>
      <c r="Y1177" s="1" t="s">
        <v>4823</v>
      </c>
    </row>
    <row r="1178">
      <c r="A1178" s="1">
        <v>833182.0</v>
      </c>
      <c r="B1178" s="1" t="s">
        <v>4824</v>
      </c>
      <c r="C1178" s="1" t="s">
        <v>4825</v>
      </c>
      <c r="D1178" s="1" t="s">
        <v>4826</v>
      </c>
      <c r="F1178" s="2" t="str">
        <f>"0763604852"</f>
        <v>0763604852</v>
      </c>
      <c r="G1178" s="2" t="str">
        <f>"9780763604851"</f>
        <v>9780763604851</v>
      </c>
      <c r="H1178" s="1" t="s">
        <v>4827</v>
      </c>
      <c r="I1178" s="1" t="s">
        <v>36</v>
      </c>
      <c r="J1178" s="1">
        <v>32.0</v>
      </c>
      <c r="K1178" s="1">
        <v>1998.0</v>
      </c>
      <c r="L1178" s="1">
        <v>1988.0</v>
      </c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 t="s">
        <v>1518</v>
      </c>
      <c r="Y1178" s="1" t="s">
        <v>4828</v>
      </c>
    </row>
    <row r="1179">
      <c r="A1179" s="1">
        <v>7662596.0</v>
      </c>
      <c r="B1179" s="1" t="s">
        <v>4829</v>
      </c>
      <c r="C1179" s="1" t="s">
        <v>4830</v>
      </c>
      <c r="D1179" s="1" t="s">
        <v>4831</v>
      </c>
      <c r="E1179" s="1" t="s">
        <v>4832</v>
      </c>
      <c r="F1179" s="2" t="str">
        <f>"0763620041"</f>
        <v>0763620041</v>
      </c>
      <c r="G1179" s="2" t="str">
        <f>"9780763620042"</f>
        <v>9780763620042</v>
      </c>
      <c r="H1179" s="1" t="s">
        <v>945</v>
      </c>
      <c r="I1179" s="1" t="s">
        <v>31</v>
      </c>
      <c r="J1179" s="1">
        <v>32.0</v>
      </c>
      <c r="K1179" s="1">
        <v>2010.0</v>
      </c>
      <c r="L1179" s="1">
        <v>2010.0</v>
      </c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 t="s">
        <v>317</v>
      </c>
      <c r="Y1179" s="1" t="s">
        <v>4833</v>
      </c>
    </row>
    <row r="1180">
      <c r="A1180" s="1">
        <v>4579873.0</v>
      </c>
      <c r="B1180" s="1" t="s">
        <v>4834</v>
      </c>
      <c r="C1180" s="1" t="s">
        <v>4835</v>
      </c>
      <c r="D1180" s="1" t="s">
        <v>4836</v>
      </c>
      <c r="E1180" s="1" t="s">
        <v>4837</v>
      </c>
      <c r="F1180" s="2" t="str">
        <f>"1562824759"</f>
        <v>1562824759</v>
      </c>
      <c r="G1180" s="2" t="str">
        <f>"9781562824754"</f>
        <v>9781562824754</v>
      </c>
      <c r="H1180" s="1" t="s">
        <v>112</v>
      </c>
      <c r="I1180" s="1" t="s">
        <v>31</v>
      </c>
      <c r="J1180" s="1">
        <v>32.0</v>
      </c>
      <c r="K1180" s="1">
        <v>1994.0</v>
      </c>
      <c r="L1180" s="1">
        <v>1900.0</v>
      </c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 t="s">
        <v>96</v>
      </c>
      <c r="Y1180" s="1" t="s">
        <v>4838</v>
      </c>
    </row>
    <row r="1181">
      <c r="A1181" s="1">
        <v>587625.0</v>
      </c>
      <c r="B1181" s="1" t="s">
        <v>4839</v>
      </c>
      <c r="C1181" s="1" t="s">
        <v>4835</v>
      </c>
      <c r="D1181" s="1" t="s">
        <v>4836</v>
      </c>
      <c r="E1181" s="1" t="s">
        <v>4840</v>
      </c>
      <c r="F1181" s="2" t="str">
        <f>"0152253947"</f>
        <v>0152253947</v>
      </c>
      <c r="G1181" s="2" t="str">
        <f>"9780152253943"</f>
        <v>9780152253943</v>
      </c>
      <c r="H1181" s="1" t="s">
        <v>4841</v>
      </c>
      <c r="I1181" s="1" t="s">
        <v>31</v>
      </c>
      <c r="J1181" s="1">
        <v>32.0</v>
      </c>
      <c r="K1181" s="1">
        <v>1992.0</v>
      </c>
      <c r="L1181" s="1">
        <v>1992.0</v>
      </c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 t="s">
        <v>863</v>
      </c>
      <c r="Y1181" s="1" t="s">
        <v>4842</v>
      </c>
    </row>
    <row r="1182">
      <c r="A1182" s="1">
        <v>1.3797006E7</v>
      </c>
      <c r="B1182" s="1" t="s">
        <v>4843</v>
      </c>
      <c r="C1182" s="1" t="s">
        <v>4844</v>
      </c>
      <c r="D1182" s="1" t="s">
        <v>4845</v>
      </c>
      <c r="E1182" s="1" t="s">
        <v>4400</v>
      </c>
      <c r="F1182" s="2" t="str">
        <f>"0823423719"</f>
        <v>0823423719</v>
      </c>
      <c r="G1182" s="2" t="str">
        <f>"9780823423712"</f>
        <v>9780823423712</v>
      </c>
      <c r="H1182" s="1" t="s">
        <v>2347</v>
      </c>
      <c r="I1182" s="1" t="s">
        <v>31</v>
      </c>
      <c r="J1182" s="1">
        <v>32.0</v>
      </c>
      <c r="K1182" s="1">
        <v>2012.0</v>
      </c>
      <c r="L1182" s="1">
        <v>2012.0</v>
      </c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 t="s">
        <v>146</v>
      </c>
      <c r="Y1182" s="1" t="s">
        <v>4846</v>
      </c>
    </row>
    <row r="1183">
      <c r="A1183" s="1">
        <v>420407.0</v>
      </c>
      <c r="B1183" s="1" t="s">
        <v>4847</v>
      </c>
      <c r="C1183" s="1" t="s">
        <v>4848</v>
      </c>
      <c r="D1183" s="1" t="s">
        <v>4849</v>
      </c>
      <c r="F1183" s="2" t="str">
        <f>"0968835406"</f>
        <v>0968835406</v>
      </c>
      <c r="G1183" s="2" t="str">
        <f>"9780968835401"</f>
        <v>9780968835401</v>
      </c>
      <c r="H1183" s="1" t="s">
        <v>4850</v>
      </c>
      <c r="I1183" s="1" t="s">
        <v>36</v>
      </c>
      <c r="J1183" s="1">
        <v>32.0</v>
      </c>
      <c r="K1183" s="1">
        <v>2001.0</v>
      </c>
      <c r="L1183" s="1">
        <v>2001.0</v>
      </c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 t="s">
        <v>1466</v>
      </c>
      <c r="Y1183" s="1" t="s">
        <v>4851</v>
      </c>
    </row>
    <row r="1184">
      <c r="A1184" s="1">
        <v>1341337.0</v>
      </c>
      <c r="B1184" s="1" t="s">
        <v>4852</v>
      </c>
      <c r="C1184" s="1" t="s">
        <v>4853</v>
      </c>
      <c r="D1184" s="1" t="s">
        <v>4854</v>
      </c>
      <c r="F1184" s="2" t="str">
        <f>"0545028345"</f>
        <v>0545028345</v>
      </c>
      <c r="G1184" s="2" t="str">
        <f>"9780545028349"</f>
        <v>9780545028349</v>
      </c>
      <c r="H1184" s="1" t="s">
        <v>86</v>
      </c>
      <c r="I1184" s="1" t="s">
        <v>36</v>
      </c>
      <c r="J1184" s="1">
        <v>32.0</v>
      </c>
      <c r="K1184" s="1">
        <v>2004.0</v>
      </c>
      <c r="L1184" s="1">
        <v>2004.0</v>
      </c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 t="s">
        <v>1235</v>
      </c>
      <c r="Y1184" s="1" t="s">
        <v>4855</v>
      </c>
    </row>
    <row r="1185">
      <c r="A1185" s="1">
        <v>3308857.0</v>
      </c>
      <c r="B1185" s="1" t="s">
        <v>4856</v>
      </c>
      <c r="C1185" s="1" t="s">
        <v>4857</v>
      </c>
      <c r="D1185" s="1" t="s">
        <v>4858</v>
      </c>
      <c r="E1185" s="1" t="s">
        <v>4859</v>
      </c>
      <c r="F1185" s="2" t="str">
        <f>"0547007035"</f>
        <v>0547007035</v>
      </c>
      <c r="G1185" s="2" t="str">
        <f>"9780547007038"</f>
        <v>9780547007038</v>
      </c>
      <c r="H1185" s="1" t="s">
        <v>1799</v>
      </c>
      <c r="I1185" s="1" t="s">
        <v>31</v>
      </c>
      <c r="J1185" s="1">
        <v>32.0</v>
      </c>
      <c r="K1185" s="1">
        <v>2008.0</v>
      </c>
      <c r="L1185" s="1">
        <v>2008.0</v>
      </c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 t="s">
        <v>1235</v>
      </c>
      <c r="Y1185" s="1" t="s">
        <v>4860</v>
      </c>
    </row>
    <row r="1186">
      <c r="A1186" s="1">
        <v>2.3359968E7</v>
      </c>
      <c r="B1186" s="1" t="s">
        <v>4861</v>
      </c>
      <c r="C1186" s="1" t="s">
        <v>4857</v>
      </c>
      <c r="D1186" s="1" t="s">
        <v>4858</v>
      </c>
      <c r="E1186" s="1" t="s">
        <v>4859</v>
      </c>
      <c r="F1186" s="2" t="str">
        <f>"0147515599"</f>
        <v>0147515599</v>
      </c>
      <c r="G1186" s="2" t="str">
        <f>"9780147515599"</f>
        <v>9780147515599</v>
      </c>
      <c r="H1186" s="1" t="s">
        <v>753</v>
      </c>
      <c r="I1186" s="1" t="s">
        <v>36</v>
      </c>
      <c r="J1186" s="1">
        <v>32.0</v>
      </c>
      <c r="K1186" s="1">
        <v>2015.0</v>
      </c>
      <c r="L1186" s="1">
        <v>2012.0</v>
      </c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 t="s">
        <v>61</v>
      </c>
      <c r="Y1186" s="1" t="s">
        <v>4862</v>
      </c>
    </row>
    <row r="1187">
      <c r="A1187" s="1">
        <v>1103132.0</v>
      </c>
      <c r="B1187" s="1" t="s">
        <v>4863</v>
      </c>
      <c r="C1187" s="1" t="s">
        <v>4864</v>
      </c>
      <c r="D1187" s="1" t="s">
        <v>4865</v>
      </c>
      <c r="F1187" s="2" t="str">
        <f>"0531070263"</f>
        <v>0531070263</v>
      </c>
      <c r="G1187" s="2" t="str">
        <f>"9780531070260"</f>
        <v>9780531070260</v>
      </c>
      <c r="H1187" s="1" t="s">
        <v>50</v>
      </c>
      <c r="I1187" s="1" t="s">
        <v>36</v>
      </c>
      <c r="J1187" s="1">
        <v>32.0</v>
      </c>
      <c r="K1187" s="1">
        <v>1991.0</v>
      </c>
      <c r="L1187" s="1">
        <v>1987.0</v>
      </c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 t="s">
        <v>2298</v>
      </c>
      <c r="Y1187" s="1" t="s">
        <v>4866</v>
      </c>
    </row>
    <row r="1188">
      <c r="A1188" s="1">
        <v>981463.0</v>
      </c>
      <c r="B1188" s="1" t="s">
        <v>4867</v>
      </c>
      <c r="C1188" s="1" t="s">
        <v>4864</v>
      </c>
      <c r="D1188" s="1" t="s">
        <v>4865</v>
      </c>
      <c r="E1188" s="1" t="s">
        <v>4868</v>
      </c>
      <c r="F1188" s="2" t="str">
        <f>"0689717385"</f>
        <v>0689717385</v>
      </c>
      <c r="G1188" s="2" t="str">
        <f>"9780689717383"</f>
        <v>9780689717383</v>
      </c>
      <c r="H1188" s="1" t="s">
        <v>2496</v>
      </c>
      <c r="I1188" s="1" t="s">
        <v>36</v>
      </c>
      <c r="J1188" s="1">
        <v>32.0</v>
      </c>
      <c r="K1188" s="1">
        <v>1993.0</v>
      </c>
      <c r="L1188" s="1">
        <v>1985.0</v>
      </c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 t="s">
        <v>2298</v>
      </c>
      <c r="Y1188" s="1" t="s">
        <v>4869</v>
      </c>
    </row>
    <row r="1189">
      <c r="A1189" s="1">
        <v>1113825.0</v>
      </c>
      <c r="B1189" s="1" t="s">
        <v>4870</v>
      </c>
      <c r="C1189" s="1" t="s">
        <v>4871</v>
      </c>
      <c r="D1189" s="1" t="s">
        <v>4872</v>
      </c>
      <c r="E1189" s="1" t="s">
        <v>4873</v>
      </c>
      <c r="F1189" s="2" t="str">
        <f>"093831761X"</f>
        <v>093831761X</v>
      </c>
      <c r="G1189" s="2" t="str">
        <f>"9780938317616"</f>
        <v>9780938317616</v>
      </c>
      <c r="H1189" s="1" t="s">
        <v>4874</v>
      </c>
      <c r="I1189" s="1" t="s">
        <v>36</v>
      </c>
      <c r="J1189" s="1">
        <v>32.0</v>
      </c>
      <c r="K1189" s="1">
        <v>2001.0</v>
      </c>
      <c r="L1189" s="1">
        <v>1999.0</v>
      </c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 t="s">
        <v>245</v>
      </c>
      <c r="Y1189" s="1" t="s">
        <v>4875</v>
      </c>
    </row>
    <row r="1190">
      <c r="A1190" s="1">
        <v>3.7825449E7</v>
      </c>
      <c r="B1190" s="1" t="s">
        <v>4876</v>
      </c>
      <c r="C1190" s="1" t="s">
        <v>4877</v>
      </c>
      <c r="D1190" s="1" t="s">
        <v>4878</v>
      </c>
      <c r="F1190" s="2" t="str">
        <f>"1338237527"</f>
        <v>1338237527</v>
      </c>
      <c r="G1190" s="2" t="str">
        <f>"9781338237528"</f>
        <v>9781338237528</v>
      </c>
      <c r="H1190" s="1" t="s">
        <v>817</v>
      </c>
      <c r="I1190" s="1" t="s">
        <v>36</v>
      </c>
      <c r="J1190" s="1">
        <v>32.0</v>
      </c>
      <c r="K1190" s="1">
        <v>2018.0</v>
      </c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 t="s">
        <v>83</v>
      </c>
      <c r="Y1190" s="1" t="s">
        <v>4879</v>
      </c>
    </row>
    <row r="1191">
      <c r="A1191" s="1">
        <v>3.7856245E7</v>
      </c>
      <c r="B1191" s="1" t="s">
        <v>4880</v>
      </c>
      <c r="C1191" s="1" t="s">
        <v>4881</v>
      </c>
      <c r="D1191" s="1" t="s">
        <v>4882</v>
      </c>
      <c r="E1191" s="1" t="s">
        <v>4883</v>
      </c>
      <c r="F1191" s="2" t="str">
        <f>"0310754895"</f>
        <v>0310754895</v>
      </c>
      <c r="G1191" s="2" t="str">
        <f>"9780310754893"</f>
        <v>9780310754893</v>
      </c>
      <c r="H1191" s="1" t="s">
        <v>2608</v>
      </c>
      <c r="I1191" s="1" t="s">
        <v>31</v>
      </c>
      <c r="J1191" s="1">
        <v>32.0</v>
      </c>
      <c r="K1191" s="1">
        <v>2018.0</v>
      </c>
      <c r="L1191" s="1">
        <v>2018.0</v>
      </c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 t="s">
        <v>2298</v>
      </c>
      <c r="Y1191" s="1" t="s">
        <v>4884</v>
      </c>
    </row>
    <row r="1192">
      <c r="A1192" s="1">
        <v>2.3848193E7</v>
      </c>
      <c r="B1192" s="1" t="s">
        <v>4885</v>
      </c>
      <c r="C1192" s="1" t="s">
        <v>4886</v>
      </c>
      <c r="D1192" s="1" t="s">
        <v>4887</v>
      </c>
      <c r="F1192" s="2" t="str">
        <f>"1619636727"</f>
        <v>1619636727</v>
      </c>
      <c r="G1192" s="2" t="str">
        <f>"9781619636729"</f>
        <v>9781619636729</v>
      </c>
      <c r="H1192" s="1" t="s">
        <v>2588</v>
      </c>
      <c r="I1192" s="1" t="s">
        <v>31</v>
      </c>
      <c r="J1192" s="1">
        <v>32.0</v>
      </c>
      <c r="K1192" s="1">
        <v>2015.0</v>
      </c>
      <c r="L1192" s="1">
        <v>2015.0</v>
      </c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 t="s">
        <v>579</v>
      </c>
      <c r="Y1192" s="1" t="s">
        <v>4888</v>
      </c>
    </row>
    <row r="1193">
      <c r="A1193" s="1">
        <v>2.5986287E7</v>
      </c>
      <c r="B1193" s="1" t="s">
        <v>4889</v>
      </c>
      <c r="C1193" s="1" t="s">
        <v>4890</v>
      </c>
      <c r="D1193" s="1" t="s">
        <v>4891</v>
      </c>
      <c r="E1193" s="1" t="s">
        <v>4892</v>
      </c>
      <c r="F1193" s="2" t="str">
        <f>"1454913932"</f>
        <v>1454913932</v>
      </c>
      <c r="G1193" s="2" t="str">
        <f>"9781454913931"</f>
        <v>9781454913931</v>
      </c>
      <c r="H1193" s="1" t="s">
        <v>1271</v>
      </c>
      <c r="I1193" s="1" t="s">
        <v>31</v>
      </c>
      <c r="J1193" s="1">
        <v>32.0</v>
      </c>
      <c r="K1193" s="1">
        <v>2016.0</v>
      </c>
      <c r="L1193" s="1">
        <v>2016.0</v>
      </c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 t="s">
        <v>317</v>
      </c>
      <c r="Y1193" s="1" t="s">
        <v>4893</v>
      </c>
    </row>
    <row r="1194">
      <c r="A1194" s="1">
        <v>1040650.0</v>
      </c>
      <c r="B1194" s="1" t="s">
        <v>4894</v>
      </c>
      <c r="C1194" s="1" t="s">
        <v>4895</v>
      </c>
      <c r="D1194" s="1" t="s">
        <v>4896</v>
      </c>
      <c r="F1194" s="2" t="str">
        <f>"0756620236"</f>
        <v>0756620236</v>
      </c>
      <c r="G1194" s="2" t="str">
        <f>"9780756620233"</f>
        <v>9780756620233</v>
      </c>
      <c r="H1194" s="1" t="s">
        <v>4897</v>
      </c>
      <c r="I1194" s="1" t="s">
        <v>36</v>
      </c>
      <c r="J1194" s="1">
        <v>32.0</v>
      </c>
      <c r="K1194" s="1">
        <v>2006.0</v>
      </c>
      <c r="L1194" s="1">
        <v>2006.0</v>
      </c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 t="s">
        <v>83</v>
      </c>
      <c r="Y1194" s="1" t="s">
        <v>4898</v>
      </c>
    </row>
    <row r="1195">
      <c r="A1195" s="1">
        <v>536211.0</v>
      </c>
      <c r="B1195" s="1" t="s">
        <v>4899</v>
      </c>
      <c r="C1195" s="1" t="s">
        <v>4900</v>
      </c>
      <c r="D1195" s="1" t="s">
        <v>4901</v>
      </c>
      <c r="F1195" s="2" t="str">
        <f>"039552024X"</f>
        <v>039552024X</v>
      </c>
      <c r="G1195" s="2" t="str">
        <f>"9780395520246"</f>
        <v>9780395520246</v>
      </c>
      <c r="H1195" s="1" t="s">
        <v>215</v>
      </c>
      <c r="I1195" s="1" t="s">
        <v>31</v>
      </c>
      <c r="J1195" s="1">
        <v>32.0</v>
      </c>
      <c r="K1195" s="1">
        <v>1991.0</v>
      </c>
      <c r="L1195" s="1">
        <v>1991.0</v>
      </c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 t="s">
        <v>146</v>
      </c>
      <c r="Y1195" s="1" t="s">
        <v>4902</v>
      </c>
    </row>
    <row r="1196">
      <c r="A1196" s="1">
        <v>623282.0</v>
      </c>
      <c r="B1196" s="1" t="s">
        <v>4903</v>
      </c>
      <c r="C1196" s="1" t="s">
        <v>4900</v>
      </c>
      <c r="D1196" s="1" t="s">
        <v>4901</v>
      </c>
      <c r="F1196" s="2" t="str">
        <f>"0618335234"</f>
        <v>0618335234</v>
      </c>
      <c r="G1196" s="2" t="str">
        <f>"9780618335237"</f>
        <v>9780618335237</v>
      </c>
      <c r="H1196" s="1" t="s">
        <v>1799</v>
      </c>
      <c r="I1196" s="1" t="s">
        <v>36</v>
      </c>
      <c r="J1196" s="1">
        <v>32.0</v>
      </c>
      <c r="K1196" s="1">
        <v>2003.0</v>
      </c>
      <c r="L1196" s="1">
        <v>1996.0</v>
      </c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 t="s">
        <v>146</v>
      </c>
      <c r="Y1196" s="1" t="s">
        <v>4904</v>
      </c>
    </row>
    <row r="1197">
      <c r="A1197" s="1">
        <v>1.1448605E7</v>
      </c>
      <c r="B1197" s="1" t="s">
        <v>4905</v>
      </c>
      <c r="C1197" s="1" t="s">
        <v>4906</v>
      </c>
      <c r="D1197" s="1" t="s">
        <v>4907</v>
      </c>
      <c r="E1197" s="1" t="s">
        <v>4908</v>
      </c>
      <c r="F1197" s="2" t="str">
        <f>"0061885193"</f>
        <v>0061885193</v>
      </c>
      <c r="G1197" s="2" t="str">
        <f>"9780061885198"</f>
        <v>9780061885198</v>
      </c>
      <c r="H1197" s="1" t="s">
        <v>290</v>
      </c>
      <c r="I1197" s="1" t="s">
        <v>36</v>
      </c>
      <c r="J1197" s="1">
        <v>32.0</v>
      </c>
      <c r="K1197" s="1">
        <v>2011.0</v>
      </c>
      <c r="L1197" s="1">
        <v>2011.0</v>
      </c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 t="s">
        <v>83</v>
      </c>
      <c r="Y1197" s="1" t="s">
        <v>4909</v>
      </c>
    </row>
    <row r="1198">
      <c r="A1198" s="1">
        <v>1.1474554E7</v>
      </c>
      <c r="B1198" s="1" t="s">
        <v>4910</v>
      </c>
      <c r="C1198" s="1" t="s">
        <v>4906</v>
      </c>
      <c r="D1198" s="1" t="s">
        <v>4907</v>
      </c>
      <c r="E1198" s="1" t="s">
        <v>4911</v>
      </c>
      <c r="F1198" s="2" t="str">
        <f>"0061885207"</f>
        <v>0061885207</v>
      </c>
      <c r="G1198" s="2" t="str">
        <f>"9780061885204"</f>
        <v>9780061885204</v>
      </c>
      <c r="H1198" s="1" t="s">
        <v>290</v>
      </c>
      <c r="I1198" s="1" t="s">
        <v>36</v>
      </c>
      <c r="J1198" s="1">
        <v>32.0</v>
      </c>
      <c r="K1198" s="1">
        <v>2011.0</v>
      </c>
      <c r="L1198" s="1">
        <v>2011.0</v>
      </c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 t="s">
        <v>83</v>
      </c>
      <c r="Y1198" s="1" t="s">
        <v>4912</v>
      </c>
    </row>
    <row r="1199">
      <c r="A1199" s="1">
        <v>803171.0</v>
      </c>
      <c r="B1199" s="1" t="s">
        <v>4913</v>
      </c>
      <c r="C1199" s="1" t="s">
        <v>4914</v>
      </c>
      <c r="D1199" s="1" t="s">
        <v>4915</v>
      </c>
      <c r="F1199" s="2" t="str">
        <f>"0525471340"</f>
        <v>0525471340</v>
      </c>
      <c r="G1199" s="2" t="str">
        <f>"9780525471349"</f>
        <v>9780525471349</v>
      </c>
      <c r="H1199" s="1" t="s">
        <v>4916</v>
      </c>
      <c r="I1199" s="1" t="s">
        <v>31</v>
      </c>
      <c r="J1199" s="1">
        <v>32.0</v>
      </c>
      <c r="K1199" s="1">
        <v>2003.0</v>
      </c>
      <c r="L1199" s="1">
        <v>2003.0</v>
      </c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 t="s">
        <v>4917</v>
      </c>
      <c r="Y1199" s="1" t="s">
        <v>4918</v>
      </c>
    </row>
    <row r="1200">
      <c r="A1200" s="1">
        <v>1.9348455E7</v>
      </c>
      <c r="B1200" s="1" t="s">
        <v>4919</v>
      </c>
      <c r="C1200" s="1" t="s">
        <v>4914</v>
      </c>
      <c r="D1200" s="1" t="s">
        <v>4915</v>
      </c>
      <c r="F1200" s="2" t="str">
        <f>"0803737890"</f>
        <v>0803737890</v>
      </c>
      <c r="G1200" s="2" t="str">
        <f>"9780803737891"</f>
        <v>9780803737891</v>
      </c>
      <c r="H1200" s="1" t="s">
        <v>2600</v>
      </c>
      <c r="I1200" s="1" t="s">
        <v>31</v>
      </c>
      <c r="J1200" s="1">
        <v>32.0</v>
      </c>
      <c r="K1200" s="1">
        <v>2014.0</v>
      </c>
      <c r="L1200" s="1">
        <v>2014.0</v>
      </c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 t="s">
        <v>1359</v>
      </c>
      <c r="Y1200" s="1" t="s">
        <v>4920</v>
      </c>
    </row>
    <row r="1201">
      <c r="A1201" s="1">
        <v>720349.0</v>
      </c>
      <c r="B1201" s="1" t="s">
        <v>4921</v>
      </c>
      <c r="C1201" s="1" t="s">
        <v>4914</v>
      </c>
      <c r="D1201" s="1" t="s">
        <v>4915</v>
      </c>
      <c r="F1201" s="2" t="str">
        <f>"0142500623"</f>
        <v>0142500623</v>
      </c>
      <c r="G1201" s="2" t="str">
        <f>"9780142500620"</f>
        <v>9780142500620</v>
      </c>
      <c r="H1201" s="1" t="s">
        <v>753</v>
      </c>
      <c r="I1201" s="1" t="s">
        <v>36</v>
      </c>
      <c r="J1201" s="1">
        <v>32.0</v>
      </c>
      <c r="K1201" s="1">
        <v>2003.0</v>
      </c>
      <c r="L1201" s="1">
        <v>1999.0</v>
      </c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 t="s">
        <v>363</v>
      </c>
      <c r="Y1201" s="1" t="s">
        <v>4922</v>
      </c>
    </row>
    <row r="1202">
      <c r="A1202" s="1">
        <v>4.063758E7</v>
      </c>
      <c r="B1202" s="1" t="s">
        <v>4923</v>
      </c>
      <c r="C1202" s="1" t="s">
        <v>4924</v>
      </c>
      <c r="D1202" s="1" t="s">
        <v>4925</v>
      </c>
      <c r="E1202" s="1" t="s">
        <v>2603</v>
      </c>
      <c r="F1202" s="2" t="str">
        <f>"1541521706"</f>
        <v>1541521706</v>
      </c>
      <c r="G1202" s="2" t="str">
        <f>"9781541521704"</f>
        <v>9781541521704</v>
      </c>
      <c r="H1202" s="1" t="s">
        <v>2922</v>
      </c>
      <c r="I1202" s="1" t="s">
        <v>31</v>
      </c>
      <c r="J1202" s="1">
        <v>32.0</v>
      </c>
      <c r="K1202" s="1">
        <v>2019.0</v>
      </c>
      <c r="L1202" s="1">
        <v>2019.0</v>
      </c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 t="s">
        <v>323</v>
      </c>
      <c r="Y1202" s="1" t="s">
        <v>4926</v>
      </c>
    </row>
    <row r="1203">
      <c r="A1203" s="1">
        <v>2114794.0</v>
      </c>
      <c r="B1203" s="1" t="s">
        <v>4927</v>
      </c>
      <c r="C1203" s="1" t="s">
        <v>4928</v>
      </c>
      <c r="D1203" s="1" t="s">
        <v>4929</v>
      </c>
      <c r="E1203" s="1" t="s">
        <v>1592</v>
      </c>
      <c r="F1203" s="2" t="str">
        <f>"0152061150"</f>
        <v>0152061150</v>
      </c>
      <c r="G1203" s="2" t="str">
        <f>"9780152061159"</f>
        <v>9780152061159</v>
      </c>
      <c r="H1203" s="1" t="s">
        <v>1799</v>
      </c>
      <c r="I1203" s="1" t="s">
        <v>36</v>
      </c>
      <c r="J1203" s="1">
        <v>32.0</v>
      </c>
      <c r="K1203" s="1">
        <v>2007.0</v>
      </c>
      <c r="L1203" s="1">
        <v>2002.0</v>
      </c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 t="s">
        <v>1518</v>
      </c>
      <c r="Y1203" s="1" t="s">
        <v>4930</v>
      </c>
    </row>
    <row r="1204">
      <c r="A1204" s="1">
        <v>1341230.0</v>
      </c>
      <c r="B1204" s="1" t="s">
        <v>4931</v>
      </c>
      <c r="C1204" s="1" t="s">
        <v>4932</v>
      </c>
      <c r="D1204" s="1" t="s">
        <v>4933</v>
      </c>
      <c r="E1204" s="1" t="s">
        <v>4934</v>
      </c>
      <c r="F1204" s="2" t="str">
        <f>"0590410563"</f>
        <v>0590410563</v>
      </c>
      <c r="G1204" s="2" t="str">
        <f>"9780590410564"</f>
        <v>9780590410564</v>
      </c>
      <c r="H1204" s="1" t="s">
        <v>624</v>
      </c>
      <c r="I1204" s="1" t="s">
        <v>36</v>
      </c>
      <c r="J1204" s="1">
        <v>32.0</v>
      </c>
      <c r="K1204" s="1">
        <v>1985.0</v>
      </c>
      <c r="L1204" s="1">
        <v>1980.0</v>
      </c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 t="s">
        <v>212</v>
      </c>
      <c r="Y1204" s="1" t="s">
        <v>4935</v>
      </c>
    </row>
    <row r="1205">
      <c r="A1205" s="1">
        <v>1.8649554E7</v>
      </c>
      <c r="B1205" s="1" t="s">
        <v>4936</v>
      </c>
      <c r="C1205" s="1" t="s">
        <v>4937</v>
      </c>
      <c r="D1205" s="1" t="s">
        <v>4938</v>
      </c>
      <c r="F1205" s="2" t="str">
        <f>"0545645948"</f>
        <v>0545645948</v>
      </c>
      <c r="G1205" s="2" t="str">
        <f>"9780545645942"</f>
        <v>9780545645942</v>
      </c>
      <c r="H1205" s="1" t="s">
        <v>50</v>
      </c>
      <c r="I1205" s="1" t="s">
        <v>36</v>
      </c>
      <c r="J1205" s="1">
        <v>32.0</v>
      </c>
      <c r="K1205" s="1">
        <v>2013.0</v>
      </c>
      <c r="L1205" s="1">
        <v>2013.0</v>
      </c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 t="s">
        <v>1225</v>
      </c>
      <c r="Y1205" s="1" t="s">
        <v>4939</v>
      </c>
    </row>
    <row r="1206">
      <c r="A1206" s="1">
        <v>7042907.0</v>
      </c>
      <c r="B1206" s="1" t="s">
        <v>4940</v>
      </c>
      <c r="C1206" s="1" t="s">
        <v>4941</v>
      </c>
      <c r="D1206" s="1" t="s">
        <v>4942</v>
      </c>
      <c r="E1206" s="1" t="s">
        <v>1490</v>
      </c>
      <c r="F1206" s="2" t="str">
        <f>"1426304269"</f>
        <v>1426304269</v>
      </c>
      <c r="G1206" s="2" t="str">
        <f>"9781426304262"</f>
        <v>9781426304262</v>
      </c>
      <c r="H1206" s="1" t="s">
        <v>1490</v>
      </c>
      <c r="I1206" s="1" t="s">
        <v>36</v>
      </c>
      <c r="J1206" s="1">
        <v>32.0</v>
      </c>
      <c r="K1206" s="1">
        <v>2009.0</v>
      </c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 t="s">
        <v>4943</v>
      </c>
      <c r="Y1206" s="1" t="s">
        <v>4944</v>
      </c>
    </row>
    <row r="1207">
      <c r="A1207" s="1">
        <v>1.3728816E7</v>
      </c>
      <c r="B1207" s="1" t="s">
        <v>4945</v>
      </c>
      <c r="C1207" s="1" t="s">
        <v>4946</v>
      </c>
      <c r="D1207" s="1" t="s">
        <v>4947</v>
      </c>
      <c r="E1207" s="1" t="s">
        <v>4948</v>
      </c>
      <c r="F1207" s="2" t="str">
        <f>"0531267822"</f>
        <v>0531267822</v>
      </c>
      <c r="G1207" s="2" t="str">
        <f>"9780531267820"</f>
        <v>9780531267820</v>
      </c>
      <c r="H1207" s="1" t="s">
        <v>2679</v>
      </c>
      <c r="I1207" s="1" t="s">
        <v>36</v>
      </c>
      <c r="J1207" s="1">
        <v>32.0</v>
      </c>
      <c r="K1207" s="1">
        <v>2011.0</v>
      </c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 t="s">
        <v>245</v>
      </c>
      <c r="Y1207" s="1" t="s">
        <v>4949</v>
      </c>
    </row>
    <row r="1208">
      <c r="A1208" s="1">
        <v>6290163.0</v>
      </c>
      <c r="B1208" s="1" t="s">
        <v>4950</v>
      </c>
      <c r="C1208" s="1" t="s">
        <v>4951</v>
      </c>
      <c r="D1208" s="1" t="s">
        <v>4952</v>
      </c>
      <c r="E1208" s="1" t="s">
        <v>4953</v>
      </c>
      <c r="F1208" s="2" t="str">
        <f>"0439801060"</f>
        <v>0439801060</v>
      </c>
      <c r="G1208" s="2" t="str">
        <f>"9780439801065"</f>
        <v>9780439801065</v>
      </c>
      <c r="H1208" s="1" t="s">
        <v>50</v>
      </c>
      <c r="I1208" s="1" t="s">
        <v>36</v>
      </c>
      <c r="J1208" s="1">
        <v>32.0</v>
      </c>
      <c r="K1208" s="1">
        <v>2005.0</v>
      </c>
      <c r="L1208" s="1">
        <v>2008.0</v>
      </c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 t="s">
        <v>83</v>
      </c>
      <c r="Y1208" s="1" t="s">
        <v>4954</v>
      </c>
    </row>
    <row r="1209">
      <c r="A1209" s="1">
        <v>1.6702384E7</v>
      </c>
      <c r="B1209" s="1" t="s">
        <v>4955</v>
      </c>
      <c r="C1209" s="1" t="s">
        <v>4956</v>
      </c>
      <c r="D1209" s="1" t="s">
        <v>4957</v>
      </c>
      <c r="E1209" s="1" t="s">
        <v>4958</v>
      </c>
      <c r="F1209" s="2" t="str">
        <f>"1442446730"</f>
        <v>1442446730</v>
      </c>
      <c r="G1209" s="2" t="str">
        <f>"9781442446731"</f>
        <v>9781442446731</v>
      </c>
      <c r="H1209" s="1" t="s">
        <v>3030</v>
      </c>
      <c r="I1209" s="1" t="s">
        <v>31</v>
      </c>
      <c r="J1209" s="1">
        <v>32.0</v>
      </c>
      <c r="K1209" s="1">
        <v>2013.0</v>
      </c>
      <c r="L1209" s="1">
        <v>2013.0</v>
      </c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 t="s">
        <v>2167</v>
      </c>
      <c r="Y1209" s="1" t="s">
        <v>4959</v>
      </c>
    </row>
    <row r="1210">
      <c r="A1210" s="1">
        <v>125507.0</v>
      </c>
      <c r="B1210" s="1" t="s">
        <v>4960</v>
      </c>
      <c r="C1210" s="1" t="s">
        <v>4956</v>
      </c>
      <c r="D1210" s="1" t="s">
        <v>4957</v>
      </c>
      <c r="E1210" s="1" t="s">
        <v>3732</v>
      </c>
      <c r="F1210" s="2" t="str">
        <f>"0140544518"</f>
        <v>0140544518</v>
      </c>
      <c r="G1210" s="2" t="str">
        <f>"9780140544510"</f>
        <v>9780140544510</v>
      </c>
      <c r="H1210" s="1" t="s">
        <v>753</v>
      </c>
      <c r="I1210" s="1" t="s">
        <v>36</v>
      </c>
      <c r="J1210" s="1">
        <v>32.0</v>
      </c>
      <c r="K1210" s="1">
        <v>1996.0</v>
      </c>
      <c r="L1210" s="1">
        <v>1989.0</v>
      </c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 t="s">
        <v>212</v>
      </c>
      <c r="Y1210" s="1" t="s">
        <v>4961</v>
      </c>
    </row>
    <row r="1211">
      <c r="A1211" s="1">
        <v>7540259.0</v>
      </c>
      <c r="B1211" s="1" t="s">
        <v>4962</v>
      </c>
      <c r="C1211" s="1" t="s">
        <v>4963</v>
      </c>
      <c r="D1211" s="1" t="s">
        <v>4964</v>
      </c>
      <c r="E1211" s="1" t="s">
        <v>4965</v>
      </c>
      <c r="F1211" s="2" t="str">
        <f>"1585365076"</f>
        <v>1585365076</v>
      </c>
      <c r="G1211" s="2" t="str">
        <f>"9781585365074"</f>
        <v>9781585365074</v>
      </c>
      <c r="H1211" s="1" t="s">
        <v>4966</v>
      </c>
      <c r="I1211" s="1" t="s">
        <v>31</v>
      </c>
      <c r="J1211" s="1">
        <v>32.0</v>
      </c>
      <c r="K1211" s="1">
        <v>2010.0</v>
      </c>
      <c r="L1211" s="1">
        <v>2010.0</v>
      </c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 t="s">
        <v>1024</v>
      </c>
      <c r="Y1211" s="1" t="s">
        <v>4967</v>
      </c>
    </row>
    <row r="1212">
      <c r="A1212" s="1">
        <v>2.5005207E7</v>
      </c>
      <c r="B1212" s="1" t="s">
        <v>4968</v>
      </c>
      <c r="C1212" s="1" t="s">
        <v>4969</v>
      </c>
      <c r="D1212" s="1" t="s">
        <v>4970</v>
      </c>
      <c r="F1212" s="2" t="str">
        <f>"0062421786"</f>
        <v>0062421786</v>
      </c>
      <c r="G1212" s="2" t="str">
        <f>"9780062421784"</f>
        <v>9780062421784</v>
      </c>
      <c r="H1212" s="1" t="s">
        <v>290</v>
      </c>
      <c r="I1212" s="1" t="s">
        <v>328</v>
      </c>
      <c r="J1212" s="1">
        <v>32.0</v>
      </c>
      <c r="K1212" s="1">
        <v>2015.0</v>
      </c>
      <c r="L1212" s="1">
        <v>2015.0</v>
      </c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 t="s">
        <v>1422</v>
      </c>
      <c r="Y1212" s="1" t="s">
        <v>4971</v>
      </c>
    </row>
    <row r="1213">
      <c r="A1213" s="1">
        <v>1.581824E7</v>
      </c>
      <c r="B1213" s="1" t="s">
        <v>4972</v>
      </c>
      <c r="C1213" s="1" t="s">
        <v>4969</v>
      </c>
      <c r="D1213" s="1" t="s">
        <v>4970</v>
      </c>
      <c r="F1213" s="2" t="str">
        <f>"0062090216"</f>
        <v>0062090216</v>
      </c>
      <c r="G1213" s="2" t="str">
        <f>"9780062090218"</f>
        <v>9780062090218</v>
      </c>
      <c r="H1213" s="1" t="s">
        <v>290</v>
      </c>
      <c r="I1213" s="1" t="s">
        <v>31</v>
      </c>
      <c r="J1213" s="1">
        <v>32.0</v>
      </c>
      <c r="K1213" s="1">
        <v>2013.0</v>
      </c>
      <c r="L1213" s="1">
        <v>2013.0</v>
      </c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 t="s">
        <v>1422</v>
      </c>
      <c r="Y1213" s="1" t="s">
        <v>4973</v>
      </c>
    </row>
    <row r="1214">
      <c r="A1214" s="1">
        <v>1.3623868E7</v>
      </c>
      <c r="B1214" s="1" t="s">
        <v>4974</v>
      </c>
      <c r="C1214" s="1" t="s">
        <v>4969</v>
      </c>
      <c r="D1214" s="1" t="s">
        <v>4970</v>
      </c>
      <c r="F1214" s="2" t="str">
        <f>"0062090186"</f>
        <v>0062090186</v>
      </c>
      <c r="G1214" s="2" t="str">
        <f>"9780062090188"</f>
        <v>9780062090188</v>
      </c>
      <c r="H1214" s="1" t="s">
        <v>290</v>
      </c>
      <c r="I1214" s="1" t="s">
        <v>31</v>
      </c>
      <c r="J1214" s="1">
        <v>32.0</v>
      </c>
      <c r="K1214" s="1">
        <v>2012.0</v>
      </c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 t="s">
        <v>1422</v>
      </c>
      <c r="Y1214" s="1" t="s">
        <v>4975</v>
      </c>
    </row>
    <row r="1215">
      <c r="A1215" s="1">
        <v>9922969.0</v>
      </c>
      <c r="B1215" s="1" t="s">
        <v>4976</v>
      </c>
      <c r="C1215" s="1" t="s">
        <v>4969</v>
      </c>
      <c r="D1215" s="1" t="s">
        <v>4970</v>
      </c>
      <c r="F1215" s="2" t="str">
        <f>"006197854X"</f>
        <v>006197854X</v>
      </c>
      <c r="G1215" s="2" t="str">
        <f>"9780061978548"</f>
        <v>9780061978548</v>
      </c>
      <c r="H1215" s="1" t="s">
        <v>290</v>
      </c>
      <c r="I1215" s="1" t="s">
        <v>31</v>
      </c>
      <c r="J1215" s="1">
        <v>32.0</v>
      </c>
      <c r="K1215" s="1">
        <v>2011.0</v>
      </c>
      <c r="L1215" s="1">
        <v>2011.0</v>
      </c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 t="s">
        <v>1422</v>
      </c>
      <c r="Y1215" s="1" t="s">
        <v>4977</v>
      </c>
    </row>
    <row r="1216">
      <c r="A1216" s="1">
        <v>2.0604325E7</v>
      </c>
      <c r="B1216" s="1" t="s">
        <v>4978</v>
      </c>
      <c r="C1216" s="1" t="s">
        <v>4969</v>
      </c>
      <c r="D1216" s="1" t="s">
        <v>4970</v>
      </c>
      <c r="F1216" s="2" t="str">
        <f>"0062116037"</f>
        <v>0062116037</v>
      </c>
      <c r="G1216" s="2" t="str">
        <f>"9780062116031"</f>
        <v>9780062116031</v>
      </c>
      <c r="H1216" s="1" t="s">
        <v>290</v>
      </c>
      <c r="I1216" s="1" t="s">
        <v>31</v>
      </c>
      <c r="J1216" s="1">
        <v>32.0</v>
      </c>
      <c r="K1216" s="1">
        <v>2014.0</v>
      </c>
      <c r="L1216" s="1">
        <v>2014.0</v>
      </c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 t="s">
        <v>1422</v>
      </c>
      <c r="Y1216" s="1" t="s">
        <v>4979</v>
      </c>
    </row>
    <row r="1217">
      <c r="A1217" s="1">
        <v>1.1507127E7</v>
      </c>
      <c r="B1217" s="1" t="s">
        <v>4980</v>
      </c>
      <c r="C1217" s="1" t="s">
        <v>4969</v>
      </c>
      <c r="D1217" s="1" t="s">
        <v>4970</v>
      </c>
      <c r="F1217" s="2" t="str">
        <f>"0061978582"</f>
        <v>0061978582</v>
      </c>
      <c r="G1217" s="2" t="str">
        <f>"9780061978586"</f>
        <v>9780061978586</v>
      </c>
      <c r="H1217" s="1" t="s">
        <v>290</v>
      </c>
      <c r="I1217" s="1" t="s">
        <v>31</v>
      </c>
      <c r="J1217" s="1">
        <v>32.0</v>
      </c>
      <c r="K1217" s="1">
        <v>2011.0</v>
      </c>
      <c r="L1217" s="1">
        <v>2011.0</v>
      </c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 t="s">
        <v>1422</v>
      </c>
      <c r="Y1217" s="1" t="s">
        <v>4981</v>
      </c>
    </row>
    <row r="1218">
      <c r="A1218" s="1">
        <v>5.0716591E7</v>
      </c>
      <c r="B1218" s="1" t="s">
        <v>4982</v>
      </c>
      <c r="C1218" s="1" t="s">
        <v>4969</v>
      </c>
      <c r="D1218" s="1" t="s">
        <v>4970</v>
      </c>
      <c r="F1218" s="2" t="str">
        <f>"0062697137"</f>
        <v>0062697137</v>
      </c>
      <c r="G1218" s="2" t="str">
        <f>"9780062697134"</f>
        <v>9780062697134</v>
      </c>
      <c r="H1218" s="1" t="s">
        <v>290</v>
      </c>
      <c r="I1218" s="1" t="s">
        <v>238</v>
      </c>
      <c r="J1218" s="1">
        <v>32.0</v>
      </c>
      <c r="K1218" s="1">
        <v>2020.0</v>
      </c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 t="s">
        <v>83</v>
      </c>
      <c r="Y1218" s="1" t="s">
        <v>4983</v>
      </c>
    </row>
    <row r="1219">
      <c r="A1219" s="1">
        <v>2.4633517E7</v>
      </c>
      <c r="B1219" s="1" t="s">
        <v>4984</v>
      </c>
      <c r="C1219" s="1" t="s">
        <v>4969</v>
      </c>
      <c r="D1219" s="1" t="s">
        <v>4970</v>
      </c>
      <c r="F1219" s="2" t="str">
        <f>"0062294202"</f>
        <v>0062294202</v>
      </c>
      <c r="G1219" s="2" t="str">
        <f>"9780062294203"</f>
        <v>9780062294203</v>
      </c>
      <c r="H1219" s="1" t="s">
        <v>290</v>
      </c>
      <c r="I1219" s="1" t="s">
        <v>238</v>
      </c>
      <c r="J1219" s="1">
        <v>32.0</v>
      </c>
      <c r="K1219" s="1">
        <v>2015.0</v>
      </c>
      <c r="L1219" s="1">
        <v>2015.0</v>
      </c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 t="s">
        <v>1422</v>
      </c>
      <c r="Y1219" s="1" t="s">
        <v>4985</v>
      </c>
    </row>
    <row r="1220">
      <c r="A1220" s="1">
        <v>1.8085449E7</v>
      </c>
      <c r="B1220" s="1" t="s">
        <v>4986</v>
      </c>
      <c r="C1220" s="1" t="s">
        <v>4969</v>
      </c>
      <c r="D1220" s="1" t="s">
        <v>4970</v>
      </c>
      <c r="F1220" s="2" t="str">
        <f>"0062115952"</f>
        <v>0062115952</v>
      </c>
      <c r="G1220" s="2" t="str">
        <f>"9780062115959"</f>
        <v>9780062115959</v>
      </c>
      <c r="H1220" s="1" t="s">
        <v>290</v>
      </c>
      <c r="I1220" s="1" t="s">
        <v>36</v>
      </c>
      <c r="J1220" s="1">
        <v>32.0</v>
      </c>
      <c r="K1220" s="1">
        <v>2014.0</v>
      </c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 t="s">
        <v>4553</v>
      </c>
      <c r="Y1220" s="1" t="s">
        <v>4987</v>
      </c>
    </row>
    <row r="1221">
      <c r="A1221" s="1">
        <v>9479069.0</v>
      </c>
      <c r="B1221" s="1" t="s">
        <v>4988</v>
      </c>
      <c r="C1221" s="1" t="s">
        <v>4969</v>
      </c>
      <c r="D1221" s="1" t="s">
        <v>4970</v>
      </c>
      <c r="F1221" s="2" t="str">
        <f>"0061978558"</f>
        <v>0061978558</v>
      </c>
      <c r="G1221" s="2" t="str">
        <f>"9780061978555"</f>
        <v>9780061978555</v>
      </c>
      <c r="H1221" s="1" t="s">
        <v>290</v>
      </c>
      <c r="I1221" s="1" t="s">
        <v>36</v>
      </c>
      <c r="J1221" s="1">
        <v>32.0</v>
      </c>
      <c r="K1221" s="1">
        <v>2011.0</v>
      </c>
      <c r="L1221" s="1">
        <v>2011.0</v>
      </c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 t="s">
        <v>1422</v>
      </c>
      <c r="Y1221" s="1" t="s">
        <v>4989</v>
      </c>
    </row>
    <row r="1222">
      <c r="A1222" s="1">
        <v>279792.0</v>
      </c>
      <c r="B1222" s="1" t="s">
        <v>4990</v>
      </c>
      <c r="C1222" s="1" t="s">
        <v>4991</v>
      </c>
      <c r="D1222" s="1" t="s">
        <v>4992</v>
      </c>
      <c r="E1222" s="1" t="s">
        <v>4993</v>
      </c>
      <c r="F1222" s="2" t="str">
        <f>"0064451941"</f>
        <v>0064451941</v>
      </c>
      <c r="G1222" s="2" t="str">
        <f>"9780064451949"</f>
        <v>9780064451949</v>
      </c>
      <c r="H1222" s="1" t="s">
        <v>290</v>
      </c>
      <c r="I1222" s="1" t="s">
        <v>36</v>
      </c>
      <c r="J1222" s="1">
        <v>32.0</v>
      </c>
      <c r="K1222" s="1">
        <v>1999.0</v>
      </c>
      <c r="L1222" s="1">
        <v>1958.0</v>
      </c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 t="s">
        <v>96</v>
      </c>
      <c r="Y1222" s="1" t="s">
        <v>4994</v>
      </c>
    </row>
    <row r="1223">
      <c r="A1223" s="1">
        <v>1.4526645E7</v>
      </c>
      <c r="B1223" s="1" t="s">
        <v>4995</v>
      </c>
      <c r="C1223" s="1" t="s">
        <v>4996</v>
      </c>
      <c r="D1223" s="1" t="s">
        <v>4997</v>
      </c>
      <c r="F1223" s="2" t="str">
        <f>"160014473X"</f>
        <v>160014473X</v>
      </c>
      <c r="G1223" s="2" t="str">
        <f>"9781600144738"</f>
        <v>9781600144738</v>
      </c>
      <c r="H1223" s="1" t="s">
        <v>4998</v>
      </c>
      <c r="I1223" s="1" t="s">
        <v>91</v>
      </c>
      <c r="J1223" s="1">
        <v>32.0</v>
      </c>
      <c r="K1223" s="1">
        <v>2010.0</v>
      </c>
      <c r="L1223" s="1">
        <v>2010.0</v>
      </c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 t="s">
        <v>1024</v>
      </c>
      <c r="Y1223" s="1" t="s">
        <v>4999</v>
      </c>
    </row>
    <row r="1224">
      <c r="A1224" s="1">
        <v>3375373.0</v>
      </c>
      <c r="B1224" s="1" t="s">
        <v>5000</v>
      </c>
      <c r="C1224" s="1" t="s">
        <v>5001</v>
      </c>
      <c r="D1224" s="1" t="s">
        <v>5002</v>
      </c>
      <c r="F1224" s="2" t="str">
        <f>"0439490294"</f>
        <v>0439490294</v>
      </c>
      <c r="G1224" s="2" t="str">
        <f>"9780439490290"</f>
        <v>9780439490290</v>
      </c>
      <c r="H1224" s="1" t="s">
        <v>2231</v>
      </c>
      <c r="I1224" s="1" t="s">
        <v>31</v>
      </c>
      <c r="J1224" s="1">
        <v>32.0</v>
      </c>
      <c r="K1224" s="1">
        <v>2008.0</v>
      </c>
      <c r="L1224" s="1">
        <v>2008.0</v>
      </c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 t="s">
        <v>2298</v>
      </c>
      <c r="Y1224" s="1" t="s">
        <v>5003</v>
      </c>
    </row>
    <row r="1225">
      <c r="A1225" s="1">
        <v>839263.0</v>
      </c>
      <c r="B1225" s="1" t="s">
        <v>5004</v>
      </c>
      <c r="C1225" s="1" t="s">
        <v>5001</v>
      </c>
      <c r="D1225" s="1" t="s">
        <v>5002</v>
      </c>
      <c r="F1225" s="2" t="str">
        <f>"0590480871"</f>
        <v>0590480871</v>
      </c>
      <c r="G1225" s="2" t="str">
        <f>"9780590480871"</f>
        <v>9780590480871</v>
      </c>
      <c r="H1225" s="1" t="s">
        <v>2231</v>
      </c>
      <c r="I1225" s="1" t="s">
        <v>31</v>
      </c>
      <c r="J1225" s="1">
        <v>32.0</v>
      </c>
      <c r="K1225" s="1">
        <v>1999.0</v>
      </c>
      <c r="L1225" s="1">
        <v>1999.0</v>
      </c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 t="s">
        <v>412</v>
      </c>
      <c r="Y1225" s="1" t="s">
        <v>5005</v>
      </c>
    </row>
    <row r="1226">
      <c r="A1226" s="1">
        <v>1062516.0</v>
      </c>
      <c r="B1226" s="1" t="s">
        <v>5006</v>
      </c>
      <c r="C1226" s="1" t="s">
        <v>5001</v>
      </c>
      <c r="D1226" s="1" t="s">
        <v>5002</v>
      </c>
      <c r="F1226" s="2" t="str">
        <f>"0590930028"</f>
        <v>0590930028</v>
      </c>
      <c r="G1226" s="2" t="str">
        <f>"9780590930024"</f>
        <v>9780590930024</v>
      </c>
      <c r="H1226" s="1" t="s">
        <v>2231</v>
      </c>
      <c r="I1226" s="1" t="s">
        <v>31</v>
      </c>
      <c r="J1226" s="1">
        <v>32.0</v>
      </c>
      <c r="K1226" s="1">
        <v>1998.0</v>
      </c>
      <c r="L1226" s="1">
        <v>1998.0</v>
      </c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 t="s">
        <v>109</v>
      </c>
      <c r="Y1226" s="1" t="s">
        <v>5007</v>
      </c>
    </row>
    <row r="1227">
      <c r="A1227" s="1">
        <v>1137392.0</v>
      </c>
      <c r="B1227" s="1" t="s">
        <v>5008</v>
      </c>
      <c r="C1227" s="1" t="s">
        <v>5001</v>
      </c>
      <c r="D1227" s="1" t="s">
        <v>5002</v>
      </c>
      <c r="F1227" s="2" t="str">
        <f>"0590929976"</f>
        <v>0590929976</v>
      </c>
      <c r="G1227" s="2" t="str">
        <f>"9780590929974"</f>
        <v>9780590929974</v>
      </c>
      <c r="H1227" s="1" t="s">
        <v>2231</v>
      </c>
      <c r="I1227" s="1" t="s">
        <v>31</v>
      </c>
      <c r="J1227" s="1">
        <v>32.0</v>
      </c>
      <c r="K1227" s="1">
        <v>1998.0</v>
      </c>
      <c r="L1227" s="1">
        <v>1998.0</v>
      </c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 t="s">
        <v>2254</v>
      </c>
      <c r="Y1227" s="1" t="s">
        <v>5009</v>
      </c>
    </row>
    <row r="1228">
      <c r="A1228" s="1">
        <v>474858.0</v>
      </c>
      <c r="B1228" s="1" t="s">
        <v>5008</v>
      </c>
      <c r="C1228" s="1" t="s">
        <v>5001</v>
      </c>
      <c r="D1228" s="1" t="s">
        <v>5002</v>
      </c>
      <c r="F1228" s="2" t="str">
        <f>"0439598389"</f>
        <v>0439598389</v>
      </c>
      <c r="G1228" s="2" t="str">
        <f>"9780439598385"</f>
        <v>9780439598385</v>
      </c>
      <c r="H1228" s="1" t="s">
        <v>50</v>
      </c>
      <c r="I1228" s="1" t="s">
        <v>36</v>
      </c>
      <c r="J1228" s="1">
        <v>32.0</v>
      </c>
      <c r="K1228" s="1">
        <v>2004.0</v>
      </c>
      <c r="L1228" s="1">
        <v>1998.0</v>
      </c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 t="s">
        <v>5010</v>
      </c>
      <c r="Y1228" s="1" t="s">
        <v>5011</v>
      </c>
    </row>
    <row r="1229">
      <c r="A1229" s="1">
        <v>1.7472548E7</v>
      </c>
      <c r="B1229" s="1" t="s">
        <v>5012</v>
      </c>
      <c r="C1229" s="1" t="s">
        <v>5013</v>
      </c>
      <c r="D1229" s="1" t="s">
        <v>5014</v>
      </c>
      <c r="E1229" s="1" t="s">
        <v>5015</v>
      </c>
      <c r="F1229" s="2" t="str">
        <f>"0823423794"</f>
        <v>0823423794</v>
      </c>
      <c r="G1229" s="2" t="str">
        <f>"9780823423798"</f>
        <v>9780823423798</v>
      </c>
      <c r="H1229" s="1" t="s">
        <v>2347</v>
      </c>
      <c r="I1229" s="1" t="s">
        <v>31</v>
      </c>
      <c r="J1229" s="1">
        <v>32.0</v>
      </c>
      <c r="K1229" s="1">
        <v>2013.0</v>
      </c>
      <c r="L1229" s="1">
        <v>2013.0</v>
      </c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 t="s">
        <v>2298</v>
      </c>
      <c r="Y1229" s="1" t="s">
        <v>5016</v>
      </c>
    </row>
    <row r="1230">
      <c r="A1230" s="1">
        <v>562734.0</v>
      </c>
      <c r="B1230" s="1" t="s">
        <v>5017</v>
      </c>
      <c r="C1230" s="1" t="s">
        <v>5013</v>
      </c>
      <c r="D1230" s="1" t="s">
        <v>5014</v>
      </c>
      <c r="E1230" s="1" t="s">
        <v>5018</v>
      </c>
      <c r="F1230" s="2" t="str">
        <f>"0688132014"</f>
        <v>0688132014</v>
      </c>
      <c r="G1230" s="2" t="str">
        <f>"9780688132019"</f>
        <v>9780688132019</v>
      </c>
      <c r="H1230" s="1" t="s">
        <v>2736</v>
      </c>
      <c r="I1230" s="1" t="s">
        <v>36</v>
      </c>
      <c r="J1230" s="1">
        <v>32.0</v>
      </c>
      <c r="K1230" s="1">
        <v>1994.0</v>
      </c>
      <c r="L1230" s="1">
        <v>1981.0</v>
      </c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 t="s">
        <v>61</v>
      </c>
      <c r="Y1230" s="1" t="s">
        <v>5019</v>
      </c>
    </row>
    <row r="1231">
      <c r="A1231" s="1">
        <v>5.26592E7</v>
      </c>
      <c r="B1231" s="1" t="s">
        <v>5020</v>
      </c>
      <c r="C1231" s="1" t="s">
        <v>5021</v>
      </c>
      <c r="D1231" s="1" t="s">
        <v>5022</v>
      </c>
      <c r="F1231" s="2" t="str">
        <f>"0525517308"</f>
        <v>0525517308</v>
      </c>
      <c r="G1231" s="2" t="str">
        <f>"9780525517306"</f>
        <v>9780525517306</v>
      </c>
      <c r="H1231" s="1" t="s">
        <v>2418</v>
      </c>
      <c r="I1231" s="1" t="s">
        <v>31</v>
      </c>
      <c r="J1231" s="1">
        <v>32.0</v>
      </c>
      <c r="K1231" s="1">
        <v>2020.0</v>
      </c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 t="s">
        <v>2254</v>
      </c>
      <c r="Y1231" s="1" t="s">
        <v>5023</v>
      </c>
    </row>
    <row r="1232">
      <c r="A1232" s="1">
        <v>1.3425994E7</v>
      </c>
      <c r="B1232" s="1" t="s">
        <v>5024</v>
      </c>
      <c r="C1232" s="1" t="s">
        <v>5025</v>
      </c>
      <c r="D1232" s="1" t="s">
        <v>5026</v>
      </c>
      <c r="F1232" s="2" t="str">
        <f>"1423154827"</f>
        <v>1423154827</v>
      </c>
      <c r="G1232" s="2" t="str">
        <f>"9781423154822"</f>
        <v>9781423154822</v>
      </c>
      <c r="H1232" s="1" t="s">
        <v>2796</v>
      </c>
      <c r="I1232" s="1" t="s">
        <v>36</v>
      </c>
      <c r="J1232" s="1">
        <v>32.0</v>
      </c>
      <c r="K1232" s="1">
        <v>2012.0</v>
      </c>
      <c r="L1232" s="1">
        <v>2012.0</v>
      </c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 t="s">
        <v>83</v>
      </c>
      <c r="Y1232" s="1" t="s">
        <v>5027</v>
      </c>
    </row>
    <row r="1233">
      <c r="A1233" s="1">
        <v>2.7806713E7</v>
      </c>
      <c r="B1233" s="1" t="s">
        <v>5028</v>
      </c>
      <c r="C1233" s="1" t="s">
        <v>5029</v>
      </c>
      <c r="D1233" s="1" t="s">
        <v>5030</v>
      </c>
      <c r="E1233" s="1" t="s">
        <v>5031</v>
      </c>
      <c r="F1233" s="2" t="str">
        <f>"1492629642"</f>
        <v>1492629642</v>
      </c>
      <c r="G1233" s="2" t="str">
        <f>"9781492629641"</f>
        <v>9781492629641</v>
      </c>
      <c r="H1233" s="1" t="s">
        <v>5032</v>
      </c>
      <c r="I1233" s="1" t="s">
        <v>31</v>
      </c>
      <c r="J1233" s="1">
        <v>32.0</v>
      </c>
      <c r="K1233" s="1">
        <v>2016.0</v>
      </c>
      <c r="L1233" s="1">
        <v>2016.0</v>
      </c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 t="s">
        <v>1195</v>
      </c>
      <c r="Y1233" s="1" t="s">
        <v>5033</v>
      </c>
    </row>
    <row r="1234">
      <c r="A1234" s="1">
        <v>2.6827329E7</v>
      </c>
      <c r="B1234" s="1" t="s">
        <v>5034</v>
      </c>
      <c r="C1234" s="1" t="s">
        <v>5035</v>
      </c>
      <c r="D1234" s="1" t="s">
        <v>5036</v>
      </c>
      <c r="E1234" s="1" t="s">
        <v>5037</v>
      </c>
      <c r="F1234" s="2" t="str">
        <f t="shared" ref="F1234:G1234" si="92">""</f>
        <v/>
      </c>
      <c r="G1234" s="2" t="str">
        <f t="shared" si="92"/>
        <v/>
      </c>
      <c r="H1234" s="1" t="s">
        <v>2997</v>
      </c>
      <c r="I1234" s="1" t="s">
        <v>108</v>
      </c>
      <c r="J1234" s="1">
        <v>32.0</v>
      </c>
      <c r="K1234" s="1">
        <v>2017.0</v>
      </c>
      <c r="L1234" s="1">
        <v>2017.0</v>
      </c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 t="s">
        <v>4231</v>
      </c>
      <c r="Y1234" s="1" t="s">
        <v>5038</v>
      </c>
    </row>
    <row r="1235">
      <c r="A1235" s="1">
        <v>3020126.0</v>
      </c>
      <c r="B1235" s="1" t="s">
        <v>5039</v>
      </c>
      <c r="C1235" s="1" t="s">
        <v>5040</v>
      </c>
      <c r="D1235" s="1" t="s">
        <v>5041</v>
      </c>
      <c r="F1235" s="2" t="str">
        <f>"0060522747"</f>
        <v>0060522747</v>
      </c>
      <c r="G1235" s="2" t="str">
        <f>"9780060522742"</f>
        <v>9780060522742</v>
      </c>
      <c r="H1235" s="1" t="s">
        <v>2736</v>
      </c>
      <c r="I1235" s="1" t="s">
        <v>36</v>
      </c>
      <c r="J1235" s="1">
        <v>32.0</v>
      </c>
      <c r="K1235" s="1">
        <v>2003.0</v>
      </c>
      <c r="L1235" s="1">
        <v>2001.0</v>
      </c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 t="s">
        <v>61</v>
      </c>
      <c r="Y1235" s="1" t="s">
        <v>5042</v>
      </c>
    </row>
    <row r="1236">
      <c r="A1236" s="1">
        <v>1530604.0</v>
      </c>
      <c r="B1236" s="1" t="s">
        <v>5043</v>
      </c>
      <c r="C1236" s="1" t="s">
        <v>5044</v>
      </c>
      <c r="D1236" s="1" t="s">
        <v>5045</v>
      </c>
      <c r="E1236" s="1" t="s">
        <v>5046</v>
      </c>
      <c r="F1236" s="2" t="str">
        <f>"1580130275"</f>
        <v>1580130275</v>
      </c>
      <c r="G1236" s="2" t="str">
        <f>"9781580130271"</f>
        <v>9781580130271</v>
      </c>
      <c r="H1236" s="1" t="s">
        <v>2922</v>
      </c>
      <c r="I1236" s="1" t="s">
        <v>36</v>
      </c>
      <c r="J1236" s="1">
        <v>32.0</v>
      </c>
      <c r="K1236" s="1">
        <v>2001.0</v>
      </c>
      <c r="L1236" s="1">
        <v>2001.0</v>
      </c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 t="s">
        <v>863</v>
      </c>
      <c r="Y1236" s="1" t="s">
        <v>5047</v>
      </c>
    </row>
    <row r="1237">
      <c r="A1237" s="1">
        <v>588070.0</v>
      </c>
      <c r="B1237" s="1" t="s">
        <v>5048</v>
      </c>
      <c r="C1237" s="1" t="s">
        <v>5049</v>
      </c>
      <c r="D1237" s="1" t="s">
        <v>5050</v>
      </c>
      <c r="F1237" s="2" t="str">
        <f>"1570614830"</f>
        <v>1570614830</v>
      </c>
      <c r="G1237" s="2" t="str">
        <f>"9781570614835"</f>
        <v>9781570614835</v>
      </c>
      <c r="H1237" s="1" t="s">
        <v>4349</v>
      </c>
      <c r="I1237" s="1" t="s">
        <v>31</v>
      </c>
      <c r="J1237" s="1">
        <v>32.0</v>
      </c>
      <c r="K1237" s="1">
        <v>2007.0</v>
      </c>
      <c r="L1237" s="1">
        <v>2007.0</v>
      </c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 t="s">
        <v>5051</v>
      </c>
      <c r="Y1237" s="1" t="s">
        <v>5052</v>
      </c>
    </row>
    <row r="1238">
      <c r="A1238" s="1">
        <v>1.8209491E7</v>
      </c>
      <c r="B1238" s="1" t="s">
        <v>5053</v>
      </c>
      <c r="C1238" s="1" t="s">
        <v>5049</v>
      </c>
      <c r="D1238" s="1" t="s">
        <v>5050</v>
      </c>
      <c r="E1238" s="1" t="s">
        <v>5054</v>
      </c>
      <c r="F1238" s="2" t="str">
        <f>"1570618992"</f>
        <v>1570618992</v>
      </c>
      <c r="G1238" s="2" t="str">
        <f>"9781570618994"</f>
        <v>9781570618994</v>
      </c>
      <c r="H1238" s="1" t="s">
        <v>4349</v>
      </c>
      <c r="I1238" s="1" t="s">
        <v>31</v>
      </c>
      <c r="J1238" s="1">
        <v>32.0</v>
      </c>
      <c r="K1238" s="1">
        <v>2014.0</v>
      </c>
      <c r="L1238" s="1">
        <v>2014.0</v>
      </c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 t="s">
        <v>5051</v>
      </c>
      <c r="Y1238" s="1" t="s">
        <v>5055</v>
      </c>
    </row>
    <row r="1239">
      <c r="A1239" s="1">
        <v>205288.0</v>
      </c>
      <c r="B1239" s="1" t="s">
        <v>5056</v>
      </c>
      <c r="C1239" s="1" t="s">
        <v>5057</v>
      </c>
      <c r="D1239" s="1" t="s">
        <v>5058</v>
      </c>
      <c r="E1239" s="1" t="s">
        <v>5059</v>
      </c>
      <c r="F1239" s="2" t="str">
        <f>"0805069003"</f>
        <v>0805069003</v>
      </c>
      <c r="G1239" s="2" t="str">
        <f>"9780805069006"</f>
        <v>9780805069006</v>
      </c>
      <c r="H1239" s="1" t="s">
        <v>3317</v>
      </c>
      <c r="I1239" s="1" t="s">
        <v>36</v>
      </c>
      <c r="J1239" s="1">
        <v>32.0</v>
      </c>
      <c r="K1239" s="1">
        <v>2002.0</v>
      </c>
      <c r="L1239" s="1">
        <v>1998.0</v>
      </c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 t="s">
        <v>212</v>
      </c>
      <c r="Y1239" s="1" t="s">
        <v>5060</v>
      </c>
    </row>
    <row r="1240">
      <c r="A1240" s="1">
        <v>1.7683851E7</v>
      </c>
      <c r="B1240" s="1" t="s">
        <v>5061</v>
      </c>
      <c r="C1240" s="1" t="s">
        <v>5062</v>
      </c>
      <c r="D1240" s="1" t="s">
        <v>5063</v>
      </c>
      <c r="E1240" s="1" t="s">
        <v>5064</v>
      </c>
      <c r="F1240" s="2" t="str">
        <f>"1402290519"</f>
        <v>1402290519</v>
      </c>
      <c r="G1240" s="2" t="str">
        <f>"9781402290510"</f>
        <v>9781402290510</v>
      </c>
      <c r="H1240" s="1" t="s">
        <v>5032</v>
      </c>
      <c r="I1240" s="1" t="s">
        <v>31</v>
      </c>
      <c r="J1240" s="1">
        <v>32.0</v>
      </c>
      <c r="K1240" s="1">
        <v>2013.0</v>
      </c>
      <c r="L1240" s="1">
        <v>2013.0</v>
      </c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 t="s">
        <v>863</v>
      </c>
      <c r="Y1240" s="1" t="s">
        <v>5065</v>
      </c>
    </row>
    <row r="1241">
      <c r="A1241" s="1">
        <v>2.8965128E7</v>
      </c>
      <c r="B1241" s="1" t="s">
        <v>5066</v>
      </c>
      <c r="C1241" s="1" t="s">
        <v>3732</v>
      </c>
      <c r="D1241" s="1" t="s">
        <v>5067</v>
      </c>
      <c r="F1241" s="2" t="str">
        <f>"1626725365"</f>
        <v>1626725365</v>
      </c>
      <c r="G1241" s="2" t="str">
        <f>"9781626725362"</f>
        <v>9781626725362</v>
      </c>
      <c r="H1241" s="1" t="s">
        <v>2712</v>
      </c>
      <c r="I1241" s="1" t="s">
        <v>31</v>
      </c>
      <c r="J1241" s="1">
        <v>32.0</v>
      </c>
      <c r="K1241" s="1">
        <v>2017.0</v>
      </c>
      <c r="L1241" s="1">
        <v>2017.0</v>
      </c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 t="s">
        <v>2254</v>
      </c>
      <c r="Y1241" s="1" t="s">
        <v>5068</v>
      </c>
    </row>
    <row r="1242">
      <c r="A1242" s="1">
        <v>2269289.0</v>
      </c>
      <c r="B1242" s="1" t="s">
        <v>5069</v>
      </c>
      <c r="C1242" s="1" t="s">
        <v>5070</v>
      </c>
      <c r="D1242" s="1" t="s">
        <v>5071</v>
      </c>
      <c r="F1242" s="2" t="str">
        <f>"0756619106"</f>
        <v>0756619106</v>
      </c>
      <c r="G1242" s="2" t="str">
        <f>"9780756619107"</f>
        <v>9780756619107</v>
      </c>
      <c r="H1242" s="1" t="s">
        <v>1089</v>
      </c>
      <c r="I1242" s="1" t="s">
        <v>36</v>
      </c>
      <c r="J1242" s="1">
        <v>32.0</v>
      </c>
      <c r="K1242" s="1">
        <v>2006.0</v>
      </c>
      <c r="L1242" s="1">
        <v>2006.0</v>
      </c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 t="s">
        <v>3436</v>
      </c>
      <c r="Y1242" s="1" t="s">
        <v>5072</v>
      </c>
    </row>
    <row r="1243">
      <c r="A1243" s="1">
        <v>1.5790852E7</v>
      </c>
      <c r="B1243" s="1" t="s">
        <v>5073</v>
      </c>
      <c r="C1243" s="1" t="s">
        <v>5074</v>
      </c>
      <c r="D1243" s="1" t="s">
        <v>5075</v>
      </c>
      <c r="E1243" s="1" t="s">
        <v>5076</v>
      </c>
      <c r="F1243" s="2" t="str">
        <f>"0316187488"</f>
        <v>0316187488</v>
      </c>
      <c r="G1243" s="2" t="str">
        <f>"9780316187480"</f>
        <v>9780316187480</v>
      </c>
      <c r="H1243" s="1" t="s">
        <v>112</v>
      </c>
      <c r="I1243" s="1" t="s">
        <v>31</v>
      </c>
      <c r="J1243" s="1">
        <v>32.0</v>
      </c>
      <c r="K1243" s="1">
        <v>2013.0</v>
      </c>
      <c r="L1243" s="1">
        <v>2013.0</v>
      </c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 t="s">
        <v>1219</v>
      </c>
      <c r="Y1243" s="1" t="s">
        <v>5077</v>
      </c>
    </row>
    <row r="1244">
      <c r="A1244" s="1">
        <v>5.0896958E7</v>
      </c>
      <c r="B1244" s="1" t="s">
        <v>5078</v>
      </c>
      <c r="C1244" s="1" t="s">
        <v>5079</v>
      </c>
      <c r="D1244" s="1" t="s">
        <v>5080</v>
      </c>
      <c r="E1244" s="1" t="s">
        <v>2587</v>
      </c>
      <c r="F1244" s="2" t="str">
        <f>"1534479309"</f>
        <v>1534479309</v>
      </c>
      <c r="G1244" s="2" t="str">
        <f>"9781534479302"</f>
        <v>9781534479302</v>
      </c>
      <c r="H1244" s="1" t="s">
        <v>1371</v>
      </c>
      <c r="I1244" s="1" t="s">
        <v>1278</v>
      </c>
      <c r="J1244" s="1">
        <v>32.0</v>
      </c>
      <c r="K1244" s="1">
        <v>2020.0</v>
      </c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 t="s">
        <v>83</v>
      </c>
      <c r="Y1244" s="1" t="s">
        <v>5081</v>
      </c>
    </row>
    <row r="1245">
      <c r="A1245" s="1">
        <v>897296.0</v>
      </c>
      <c r="B1245" s="1" t="s">
        <v>5082</v>
      </c>
      <c r="C1245" s="1" t="s">
        <v>5083</v>
      </c>
      <c r="D1245" s="1" t="s">
        <v>5084</v>
      </c>
      <c r="E1245" s="1" t="s">
        <v>5085</v>
      </c>
      <c r="F1245" s="2" t="str">
        <f>"0698114124"</f>
        <v>0698114124</v>
      </c>
      <c r="G1245" s="2" t="str">
        <f>"9780698114128"</f>
        <v>9780698114128</v>
      </c>
      <c r="H1245" s="1" t="s">
        <v>753</v>
      </c>
      <c r="I1245" s="1" t="s">
        <v>36</v>
      </c>
      <c r="J1245" s="1">
        <v>32.0</v>
      </c>
      <c r="K1245" s="1">
        <v>1996.0</v>
      </c>
      <c r="L1245" s="1">
        <v>1993.0</v>
      </c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 t="s">
        <v>74</v>
      </c>
      <c r="Y1245" s="1" t="s">
        <v>5086</v>
      </c>
    </row>
    <row r="1246">
      <c r="A1246" s="1">
        <v>4.3671311E7</v>
      </c>
      <c r="B1246" s="1" t="s">
        <v>5087</v>
      </c>
      <c r="C1246" s="1" t="s">
        <v>5088</v>
      </c>
      <c r="D1246" s="1" t="s">
        <v>5089</v>
      </c>
      <c r="E1246" s="1" t="s">
        <v>4060</v>
      </c>
      <c r="F1246" s="2" t="str">
        <f>"0525514120"</f>
        <v>0525514120</v>
      </c>
      <c r="G1246" s="2" t="str">
        <f>"9780525514121"</f>
        <v>9780525514121</v>
      </c>
      <c r="H1246" s="1" t="s">
        <v>2253</v>
      </c>
      <c r="I1246" s="1" t="s">
        <v>31</v>
      </c>
      <c r="J1246" s="1">
        <v>32.0</v>
      </c>
      <c r="K1246" s="1">
        <v>2019.0</v>
      </c>
      <c r="L1246" s="1">
        <v>2019.0</v>
      </c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 t="s">
        <v>1024</v>
      </c>
      <c r="Y1246" s="1" t="s">
        <v>5090</v>
      </c>
    </row>
    <row r="1247">
      <c r="A1247" s="1">
        <v>803982.0</v>
      </c>
      <c r="B1247" s="1" t="s">
        <v>5091</v>
      </c>
      <c r="C1247" s="1" t="s">
        <v>5092</v>
      </c>
      <c r="D1247" s="1" t="s">
        <v>5093</v>
      </c>
      <c r="E1247" s="1" t="s">
        <v>2726</v>
      </c>
      <c r="F1247" s="2" t="str">
        <f>"0803706197"</f>
        <v>0803706197</v>
      </c>
      <c r="G1247" s="2" t="str">
        <f>"9780803706194"</f>
        <v>9780803706194</v>
      </c>
      <c r="H1247" s="1" t="s">
        <v>5094</v>
      </c>
      <c r="I1247" s="1" t="s">
        <v>31</v>
      </c>
      <c r="J1247" s="1">
        <v>32.0</v>
      </c>
      <c r="K1247" s="1">
        <v>1989.0</v>
      </c>
      <c r="L1247" s="1">
        <v>1989.0</v>
      </c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 t="s">
        <v>1317</v>
      </c>
      <c r="Y1247" s="1" t="s">
        <v>5095</v>
      </c>
    </row>
    <row r="1248">
      <c r="A1248" s="1">
        <v>898986.0</v>
      </c>
      <c r="B1248" s="1" t="s">
        <v>5096</v>
      </c>
      <c r="C1248" s="1" t="s">
        <v>5097</v>
      </c>
      <c r="D1248" s="1" t="s">
        <v>5098</v>
      </c>
      <c r="E1248" s="1" t="s">
        <v>5099</v>
      </c>
      <c r="F1248" s="2" t="str">
        <f>"0807510424"</f>
        <v>0807510424</v>
      </c>
      <c r="G1248" s="2" t="str">
        <f>"9780807510421"</f>
        <v>9780807510421</v>
      </c>
      <c r="H1248" s="1" t="s">
        <v>1241</v>
      </c>
      <c r="I1248" s="1" t="s">
        <v>31</v>
      </c>
      <c r="J1248" s="1">
        <v>32.0</v>
      </c>
      <c r="K1248" s="1">
        <v>2007.0</v>
      </c>
      <c r="L1248" s="1">
        <v>2007.0</v>
      </c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 t="s">
        <v>1317</v>
      </c>
      <c r="Y1248" s="1" t="s">
        <v>5100</v>
      </c>
    </row>
    <row r="1249">
      <c r="A1249" s="1">
        <v>1.8799769E7</v>
      </c>
      <c r="B1249" s="1" t="s">
        <v>5101</v>
      </c>
      <c r="C1249" s="1" t="s">
        <v>5097</v>
      </c>
      <c r="D1249" s="1" t="s">
        <v>5098</v>
      </c>
      <c r="E1249" s="1" t="s">
        <v>5102</v>
      </c>
      <c r="F1249" s="2" t="str">
        <f>"1611095131"</f>
        <v>1611095131</v>
      </c>
      <c r="G1249" s="2" t="str">
        <f>"9781611095135"</f>
        <v>9781611095135</v>
      </c>
      <c r="H1249" s="1" t="s">
        <v>2654</v>
      </c>
      <c r="I1249" s="1" t="s">
        <v>238</v>
      </c>
      <c r="J1249" s="1">
        <v>32.0</v>
      </c>
      <c r="K1249" s="1">
        <v>2013.0</v>
      </c>
      <c r="L1249" s="1">
        <v>2009.0</v>
      </c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 t="s">
        <v>68</v>
      </c>
      <c r="Y1249" s="1" t="s">
        <v>5103</v>
      </c>
    </row>
    <row r="1250">
      <c r="A1250" s="1">
        <v>1.8383325E7</v>
      </c>
      <c r="B1250" s="1" t="s">
        <v>5104</v>
      </c>
      <c r="C1250" s="1" t="s">
        <v>5105</v>
      </c>
      <c r="D1250" s="1" t="s">
        <v>5106</v>
      </c>
      <c r="F1250" s="2" t="str">
        <f>"1554537045"</f>
        <v>1554537045</v>
      </c>
      <c r="G1250" s="2" t="str">
        <f>"9781554537044"</f>
        <v>9781554537044</v>
      </c>
      <c r="H1250" s="1" t="s">
        <v>3071</v>
      </c>
      <c r="I1250" s="1" t="s">
        <v>31</v>
      </c>
      <c r="J1250" s="1">
        <v>32.0</v>
      </c>
      <c r="K1250" s="1">
        <v>2014.0</v>
      </c>
      <c r="L1250" s="1">
        <v>2014.0</v>
      </c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 t="s">
        <v>1195</v>
      </c>
      <c r="Y1250" s="1" t="s">
        <v>5107</v>
      </c>
    </row>
    <row r="1251">
      <c r="A1251" s="1">
        <v>7268995.0</v>
      </c>
      <c r="B1251" s="1" t="s">
        <v>5108</v>
      </c>
      <c r="C1251" s="1" t="s">
        <v>5109</v>
      </c>
      <c r="D1251" s="1" t="s">
        <v>5110</v>
      </c>
      <c r="E1251" s="1" t="s">
        <v>3328</v>
      </c>
      <c r="F1251" s="2" t="str">
        <f>"1596434023"</f>
        <v>1596434023</v>
      </c>
      <c r="G1251" s="2" t="str">
        <f>"9781596434028"</f>
        <v>9781596434028</v>
      </c>
      <c r="H1251" s="1" t="s">
        <v>2712</v>
      </c>
      <c r="I1251" s="1" t="s">
        <v>31</v>
      </c>
      <c r="J1251" s="1">
        <v>32.0</v>
      </c>
      <c r="K1251" s="1">
        <v>2010.0</v>
      </c>
      <c r="L1251" s="1">
        <v>2010.0</v>
      </c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 t="s">
        <v>1317</v>
      </c>
      <c r="Y1251" s="1" t="s">
        <v>5111</v>
      </c>
    </row>
    <row r="1252">
      <c r="A1252" s="1">
        <v>860744.0</v>
      </c>
      <c r="B1252" s="1" t="s">
        <v>5112</v>
      </c>
      <c r="C1252" s="1" t="s">
        <v>5113</v>
      </c>
      <c r="D1252" s="1" t="s">
        <v>5114</v>
      </c>
      <c r="F1252" s="2" t="str">
        <f>"0062051571"</f>
        <v>0062051571</v>
      </c>
      <c r="G1252" s="2" t="str">
        <f>"9780062051578"</f>
        <v>9780062051578</v>
      </c>
      <c r="H1252" s="1" t="s">
        <v>290</v>
      </c>
      <c r="I1252" s="1" t="s">
        <v>31</v>
      </c>
      <c r="J1252" s="1">
        <v>32.0</v>
      </c>
      <c r="K1252" s="1">
        <v>1998.0</v>
      </c>
      <c r="L1252" s="1">
        <v>1998.0</v>
      </c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 t="s">
        <v>2298</v>
      </c>
      <c r="Y1252" s="1" t="s">
        <v>5115</v>
      </c>
    </row>
    <row r="1253">
      <c r="A1253" s="1">
        <v>457762.0</v>
      </c>
      <c r="B1253" s="1" t="s">
        <v>5116</v>
      </c>
      <c r="C1253" s="1" t="s">
        <v>5113</v>
      </c>
      <c r="D1253" s="1" t="s">
        <v>5114</v>
      </c>
      <c r="F1253" s="2" t="str">
        <f>"067166154X"</f>
        <v>067166154X</v>
      </c>
      <c r="G1253" s="2" t="str">
        <f>"9780671661540"</f>
        <v>9780671661540</v>
      </c>
      <c r="H1253" s="1" t="s">
        <v>4322</v>
      </c>
      <c r="I1253" s="1" t="s">
        <v>31</v>
      </c>
      <c r="J1253" s="1">
        <v>32.0</v>
      </c>
      <c r="K1253" s="1">
        <v>1988.0</v>
      </c>
      <c r="L1253" s="1">
        <v>1969.0</v>
      </c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 t="s">
        <v>2298</v>
      </c>
      <c r="Y1253" s="1" t="s">
        <v>5117</v>
      </c>
    </row>
    <row r="1254">
      <c r="A1254" s="1">
        <v>1585949.0</v>
      </c>
      <c r="B1254" s="1" t="s">
        <v>5118</v>
      </c>
      <c r="C1254" s="1" t="s">
        <v>5113</v>
      </c>
      <c r="D1254" s="1" t="s">
        <v>5114</v>
      </c>
      <c r="F1254" s="2" t="str">
        <f>"0062059270"</f>
        <v>0062059270</v>
      </c>
      <c r="G1254" s="2" t="str">
        <f>"9780062059277"</f>
        <v>9780062059277</v>
      </c>
      <c r="H1254" s="1" t="s">
        <v>290</v>
      </c>
      <c r="I1254" s="1" t="s">
        <v>36</v>
      </c>
      <c r="J1254" s="1">
        <v>32.0</v>
      </c>
      <c r="K1254" s="1">
        <v>1998.0</v>
      </c>
      <c r="L1254" s="1">
        <v>1996.0</v>
      </c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 t="s">
        <v>1235</v>
      </c>
      <c r="Y1254" s="1" t="s">
        <v>5119</v>
      </c>
    </row>
    <row r="1255">
      <c r="A1255" s="1">
        <v>1.3542859E7</v>
      </c>
      <c r="B1255" s="1" t="s">
        <v>5120</v>
      </c>
      <c r="C1255" s="1" t="s">
        <v>5121</v>
      </c>
      <c r="D1255" s="1" t="s">
        <v>5122</v>
      </c>
      <c r="E1255" s="1" t="s">
        <v>5123</v>
      </c>
      <c r="F1255" s="2" t="str">
        <f>"0448456249"</f>
        <v>0448456249</v>
      </c>
      <c r="G1255" s="2" t="str">
        <f>"9780448456249"</f>
        <v>9780448456249</v>
      </c>
      <c r="H1255" s="1" t="s">
        <v>2014</v>
      </c>
      <c r="I1255" s="1" t="s">
        <v>36</v>
      </c>
      <c r="J1255" s="1">
        <v>32.0</v>
      </c>
      <c r="K1255" s="1">
        <v>2012.0</v>
      </c>
      <c r="L1255" s="1">
        <v>2012.0</v>
      </c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 t="s">
        <v>1562</v>
      </c>
      <c r="Y1255" s="1" t="s">
        <v>5124</v>
      </c>
    </row>
    <row r="1256">
      <c r="A1256" s="1">
        <v>343402.0</v>
      </c>
      <c r="B1256" s="1" t="s">
        <v>5125</v>
      </c>
      <c r="C1256" s="1" t="s">
        <v>5126</v>
      </c>
      <c r="D1256" s="1" t="s">
        <v>5127</v>
      </c>
      <c r="F1256" s="2" t="str">
        <f>"0316713481"</f>
        <v>0316713481</v>
      </c>
      <c r="G1256" s="2" t="str">
        <f>"9780316713481"</f>
        <v>9780316713481</v>
      </c>
      <c r="H1256" s="1" t="s">
        <v>112</v>
      </c>
      <c r="I1256" s="1" t="s">
        <v>31</v>
      </c>
      <c r="J1256" s="1">
        <v>32.0</v>
      </c>
      <c r="K1256" s="1">
        <v>2003.0</v>
      </c>
      <c r="L1256" s="1">
        <v>1998.0</v>
      </c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 t="s">
        <v>1189</v>
      </c>
      <c r="Y1256" s="1" t="s">
        <v>5128</v>
      </c>
    </row>
    <row r="1257">
      <c r="A1257" s="1">
        <v>5.6355648E7</v>
      </c>
      <c r="B1257" s="1" t="s">
        <v>5129</v>
      </c>
      <c r="C1257" s="1" t="s">
        <v>5130</v>
      </c>
      <c r="D1257" s="1" t="s">
        <v>5131</v>
      </c>
      <c r="E1257" s="1" t="s">
        <v>1072</v>
      </c>
      <c r="F1257" s="2" t="str">
        <f>"0593305086"</f>
        <v>0593305086</v>
      </c>
      <c r="G1257" s="2" t="str">
        <f>"9780593305089"</f>
        <v>9780593305089</v>
      </c>
      <c r="H1257" s="1" t="s">
        <v>1565</v>
      </c>
      <c r="I1257" s="1" t="s">
        <v>36</v>
      </c>
      <c r="J1257" s="1">
        <v>32.0</v>
      </c>
      <c r="K1257" s="1">
        <v>2021.0</v>
      </c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 t="s">
        <v>83</v>
      </c>
      <c r="Y1257" s="1" t="s">
        <v>5132</v>
      </c>
    </row>
    <row r="1258">
      <c r="A1258" s="1">
        <v>845403.0</v>
      </c>
      <c r="B1258" s="1" t="s">
        <v>5133</v>
      </c>
      <c r="C1258" s="1" t="s">
        <v>5134</v>
      </c>
      <c r="D1258" s="1" t="s">
        <v>5135</v>
      </c>
      <c r="F1258" s="2" t="str">
        <f>"0688040454"</f>
        <v>0688040454</v>
      </c>
      <c r="G1258" s="2" t="str">
        <f>"9780688040451"</f>
        <v>9780688040451</v>
      </c>
      <c r="H1258" s="1" t="s">
        <v>2003</v>
      </c>
      <c r="I1258" s="1" t="s">
        <v>31</v>
      </c>
      <c r="J1258" s="1">
        <v>32.0</v>
      </c>
      <c r="K1258" s="1">
        <v>1987.0</v>
      </c>
      <c r="L1258" s="1">
        <v>1987.0</v>
      </c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 t="s">
        <v>742</v>
      </c>
      <c r="Y1258" s="1" t="s">
        <v>5136</v>
      </c>
    </row>
    <row r="1259">
      <c r="A1259" s="1">
        <v>265231.0</v>
      </c>
      <c r="B1259" s="1" t="s">
        <v>5137</v>
      </c>
      <c r="C1259" s="1" t="s">
        <v>5134</v>
      </c>
      <c r="D1259" s="1" t="s">
        <v>5135</v>
      </c>
      <c r="E1259" s="1" t="s">
        <v>5138</v>
      </c>
      <c r="F1259" s="2" t="str">
        <f>"0064434427"</f>
        <v>0064434427</v>
      </c>
      <c r="G1259" s="2" t="str">
        <f>"9780064434423"</f>
        <v>9780064434423</v>
      </c>
      <c r="H1259" s="1" t="s">
        <v>263</v>
      </c>
      <c r="I1259" s="1" t="s">
        <v>36</v>
      </c>
      <c r="J1259" s="1">
        <v>32.0</v>
      </c>
      <c r="K1259" s="1">
        <v>1996.0</v>
      </c>
      <c r="L1259" s="1">
        <v>1984.0</v>
      </c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 t="s">
        <v>61</v>
      </c>
      <c r="Y1259" s="1" t="s">
        <v>5139</v>
      </c>
    </row>
    <row r="1260">
      <c r="A1260" s="1">
        <v>8303624.0</v>
      </c>
      <c r="B1260" s="1" t="s">
        <v>5140</v>
      </c>
      <c r="C1260" s="1" t="s">
        <v>5141</v>
      </c>
      <c r="D1260" s="1" t="s">
        <v>5142</v>
      </c>
      <c r="F1260" s="2" t="str">
        <f>"1426306083"</f>
        <v>1426306083</v>
      </c>
      <c r="G1260" s="2" t="str">
        <f>"9781426306082"</f>
        <v>9781426306082</v>
      </c>
      <c r="H1260" s="1" t="s">
        <v>1490</v>
      </c>
      <c r="I1260" s="1" t="s">
        <v>36</v>
      </c>
      <c r="J1260" s="1">
        <v>32.0</v>
      </c>
      <c r="K1260" s="1">
        <v>2010.0</v>
      </c>
      <c r="L1260" s="1">
        <v>2010.0</v>
      </c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 t="s">
        <v>1372</v>
      </c>
      <c r="Y1260" s="1" t="s">
        <v>5143</v>
      </c>
    </row>
    <row r="1261">
      <c r="A1261" s="1">
        <v>970040.0</v>
      </c>
      <c r="B1261" s="1" t="s">
        <v>5144</v>
      </c>
      <c r="C1261" s="1" t="s">
        <v>5145</v>
      </c>
      <c r="D1261" s="1" t="s">
        <v>5146</v>
      </c>
      <c r="E1261" s="1" t="s">
        <v>5147</v>
      </c>
      <c r="F1261" s="2" t="str">
        <f>"0761450661"</f>
        <v>0761450661</v>
      </c>
      <c r="G1261" s="2" t="str">
        <f>"9780761450665"</f>
        <v>9780761450665</v>
      </c>
      <c r="H1261" s="1" t="s">
        <v>5148</v>
      </c>
      <c r="I1261" s="1" t="s">
        <v>31</v>
      </c>
      <c r="J1261" s="1">
        <v>32.0</v>
      </c>
      <c r="K1261" s="1">
        <v>2000.0</v>
      </c>
      <c r="L1261" s="1">
        <v>2000.0</v>
      </c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 t="s">
        <v>2298</v>
      </c>
      <c r="Y1261" s="1" t="s">
        <v>5149</v>
      </c>
    </row>
    <row r="1262">
      <c r="A1262" s="1">
        <v>3.4057267E7</v>
      </c>
      <c r="B1262" s="1" t="s">
        <v>5150</v>
      </c>
      <c r="C1262" s="1" t="s">
        <v>5151</v>
      </c>
      <c r="D1262" s="1" t="s">
        <v>5152</v>
      </c>
      <c r="F1262" s="2" t="str">
        <f>"152471867X"</f>
        <v>152471867X</v>
      </c>
      <c r="G1262" s="2" t="str">
        <f>"9781524718671"</f>
        <v>9781524718671</v>
      </c>
      <c r="H1262" s="1" t="s">
        <v>156</v>
      </c>
      <c r="I1262" s="1" t="s">
        <v>91</v>
      </c>
      <c r="J1262" s="1">
        <v>32.0</v>
      </c>
      <c r="K1262" s="1">
        <v>2017.0</v>
      </c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 t="s">
        <v>1372</v>
      </c>
      <c r="Y1262" s="1" t="s">
        <v>5153</v>
      </c>
    </row>
    <row r="1263">
      <c r="A1263" s="1">
        <v>6505679.0</v>
      </c>
      <c r="B1263" s="1" t="s">
        <v>5154</v>
      </c>
      <c r="C1263" s="1" t="s">
        <v>5155</v>
      </c>
      <c r="D1263" s="1" t="s">
        <v>5156</v>
      </c>
      <c r="F1263" s="2" t="str">
        <f>"1588651452"</f>
        <v>1588651452</v>
      </c>
      <c r="G1263" s="2" t="str">
        <f>"9781588651457"</f>
        <v>9781588651457</v>
      </c>
      <c r="H1263" s="1" t="s">
        <v>5157</v>
      </c>
      <c r="I1263" s="1" t="s">
        <v>36</v>
      </c>
      <c r="J1263" s="1">
        <v>32.0</v>
      </c>
      <c r="K1263" s="1">
        <v>2003.0</v>
      </c>
      <c r="L1263" s="1">
        <v>2003.0</v>
      </c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 t="s">
        <v>452</v>
      </c>
      <c r="Y1263" s="1" t="s">
        <v>5158</v>
      </c>
    </row>
    <row r="1264">
      <c r="A1264" s="1">
        <v>634457.0</v>
      </c>
      <c r="B1264" s="1" t="s">
        <v>5159</v>
      </c>
      <c r="C1264" s="1" t="s">
        <v>5160</v>
      </c>
      <c r="D1264" s="1" t="s">
        <v>5161</v>
      </c>
      <c r="F1264" s="2" t="str">
        <f>"0316522848"</f>
        <v>0316522848</v>
      </c>
      <c r="G1264" s="2" t="str">
        <f>"9780316522847"</f>
        <v>9780316522847</v>
      </c>
      <c r="H1264" s="1" t="s">
        <v>112</v>
      </c>
      <c r="I1264" s="1" t="s">
        <v>31</v>
      </c>
      <c r="J1264" s="1">
        <v>32.0</v>
      </c>
      <c r="K1264" s="1">
        <v>2002.0</v>
      </c>
      <c r="L1264" s="1">
        <v>2002.0</v>
      </c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 t="s">
        <v>742</v>
      </c>
      <c r="Y1264" s="1" t="s">
        <v>5162</v>
      </c>
    </row>
    <row r="1265">
      <c r="A1265" s="1">
        <v>7845044.0</v>
      </c>
      <c r="B1265" s="1" t="s">
        <v>5163</v>
      </c>
      <c r="C1265" s="1" t="s">
        <v>682</v>
      </c>
      <c r="D1265" s="1" t="s">
        <v>683</v>
      </c>
      <c r="F1265" s="2" t="str">
        <f>"0439915007"</f>
        <v>0439915007</v>
      </c>
      <c r="G1265" s="2" t="str">
        <f>"9780439915007"</f>
        <v>9780439915007</v>
      </c>
      <c r="H1265" s="1" t="s">
        <v>2397</v>
      </c>
      <c r="I1265" s="1" t="s">
        <v>31</v>
      </c>
      <c r="J1265" s="1">
        <v>32.0</v>
      </c>
      <c r="K1265" s="1">
        <v>2010.0</v>
      </c>
      <c r="L1265" s="1">
        <v>2010.0</v>
      </c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 t="s">
        <v>1352</v>
      </c>
      <c r="Y1265" s="1" t="s">
        <v>5164</v>
      </c>
    </row>
    <row r="1266">
      <c r="A1266" s="1">
        <v>1.3623946E7</v>
      </c>
      <c r="B1266" s="1" t="s">
        <v>5165</v>
      </c>
      <c r="C1266" s="1" t="s">
        <v>5166</v>
      </c>
      <c r="D1266" s="1" t="s">
        <v>5167</v>
      </c>
      <c r="E1266" s="1" t="s">
        <v>5168</v>
      </c>
      <c r="F1266" s="2" t="str">
        <f>"0062014455"</f>
        <v>0062014455</v>
      </c>
      <c r="G1266" s="2" t="str">
        <f>"9780062014450"</f>
        <v>9780062014450</v>
      </c>
      <c r="H1266" s="1" t="s">
        <v>290</v>
      </c>
      <c r="I1266" s="1" t="s">
        <v>31</v>
      </c>
      <c r="J1266" s="1">
        <v>32.0</v>
      </c>
      <c r="K1266" s="1">
        <v>2012.0</v>
      </c>
      <c r="L1266" s="1">
        <v>2012.0</v>
      </c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 t="s">
        <v>863</v>
      </c>
      <c r="Y1266" s="1" t="s">
        <v>5169</v>
      </c>
    </row>
    <row r="1267">
      <c r="A1267" s="1">
        <v>3041900.0</v>
      </c>
      <c r="B1267" s="1" t="s">
        <v>5170</v>
      </c>
      <c r="C1267" s="1" t="s">
        <v>5171</v>
      </c>
      <c r="D1267" s="1" t="s">
        <v>5172</v>
      </c>
      <c r="E1267" s="1" t="s">
        <v>5173</v>
      </c>
      <c r="F1267" s="2" t="str">
        <f>"0803726600"</f>
        <v>0803726600</v>
      </c>
      <c r="G1267" s="2" t="str">
        <f>"9780803726604"</f>
        <v>9780803726604</v>
      </c>
      <c r="H1267" s="1" t="s">
        <v>2869</v>
      </c>
      <c r="I1267" s="1" t="s">
        <v>31</v>
      </c>
      <c r="J1267" s="1">
        <v>32.0</v>
      </c>
      <c r="K1267" s="1">
        <v>2004.0</v>
      </c>
      <c r="L1267" s="1">
        <v>2004.0</v>
      </c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 t="s">
        <v>1225</v>
      </c>
      <c r="Y1267" s="1" t="s">
        <v>5174</v>
      </c>
    </row>
    <row r="1268">
      <c r="A1268" s="1">
        <v>948652.0</v>
      </c>
      <c r="B1268" s="1" t="s">
        <v>5175</v>
      </c>
      <c r="C1268" s="1" t="s">
        <v>2225</v>
      </c>
      <c r="D1268" s="1" t="s">
        <v>2226</v>
      </c>
      <c r="E1268" s="1" t="s">
        <v>5176</v>
      </c>
      <c r="F1268" s="2" t="str">
        <f>"0439557186"</f>
        <v>0439557186</v>
      </c>
      <c r="G1268" s="2" t="str">
        <f>"9780439557184"</f>
        <v>9780439557184</v>
      </c>
      <c r="H1268" s="1" t="s">
        <v>817</v>
      </c>
      <c r="I1268" s="1" t="s">
        <v>36</v>
      </c>
      <c r="J1268" s="1">
        <v>32.0</v>
      </c>
      <c r="K1268" s="1">
        <v>2003.0</v>
      </c>
      <c r="L1268" s="1">
        <v>2003.0</v>
      </c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 t="s">
        <v>1352</v>
      </c>
      <c r="Y1268" s="1" t="s">
        <v>5177</v>
      </c>
    </row>
    <row r="1269">
      <c r="A1269" s="1">
        <v>111002.0</v>
      </c>
      <c r="B1269" s="1" t="s">
        <v>5178</v>
      </c>
      <c r="C1269" s="1" t="s">
        <v>2225</v>
      </c>
      <c r="D1269" s="1" t="s">
        <v>2226</v>
      </c>
      <c r="E1269" s="1" t="s">
        <v>1697</v>
      </c>
      <c r="F1269" s="2" t="str">
        <f>"0590503111"</f>
        <v>0590503111</v>
      </c>
      <c r="G1269" s="2" t="str">
        <f>"9780590503112"</f>
        <v>9780590503112</v>
      </c>
      <c r="H1269" s="1" t="s">
        <v>50</v>
      </c>
      <c r="I1269" s="1" t="s">
        <v>36</v>
      </c>
      <c r="J1269" s="1">
        <v>32.0</v>
      </c>
      <c r="K1269" s="1">
        <v>1997.0</v>
      </c>
      <c r="L1269" s="1">
        <v>1997.0</v>
      </c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 t="s">
        <v>1352</v>
      </c>
      <c r="Y1269" s="1" t="s">
        <v>5179</v>
      </c>
    </row>
    <row r="1270">
      <c r="A1270" s="1">
        <v>178557.0</v>
      </c>
      <c r="B1270" s="1" t="s">
        <v>5180</v>
      </c>
      <c r="C1270" s="1" t="s">
        <v>2225</v>
      </c>
      <c r="D1270" s="1" t="s">
        <v>2226</v>
      </c>
      <c r="E1270" s="1" t="s">
        <v>5176</v>
      </c>
      <c r="F1270" s="2" t="str">
        <f>"0590504932"</f>
        <v>0590504932</v>
      </c>
      <c r="G1270" s="2" t="str">
        <f>"9780590504935"</f>
        <v>9780590504935</v>
      </c>
      <c r="H1270" s="1" t="s">
        <v>50</v>
      </c>
      <c r="I1270" s="1" t="s">
        <v>36</v>
      </c>
      <c r="J1270" s="1">
        <v>32.0</v>
      </c>
      <c r="K1270" s="1">
        <v>1998.0</v>
      </c>
      <c r="L1270" s="1">
        <v>1998.0</v>
      </c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 t="s">
        <v>863</v>
      </c>
      <c r="Y1270" s="1" t="s">
        <v>5181</v>
      </c>
    </row>
    <row r="1271">
      <c r="A1271" s="1">
        <v>1370534.0</v>
      </c>
      <c r="B1271" s="1" t="s">
        <v>5182</v>
      </c>
      <c r="C1271" s="1" t="s">
        <v>5183</v>
      </c>
      <c r="D1271" s="1" t="s">
        <v>5184</v>
      </c>
      <c r="E1271" s="1" t="s">
        <v>2966</v>
      </c>
      <c r="F1271" s="2" t="str">
        <f>"0064434397"</f>
        <v>0064434397</v>
      </c>
      <c r="G1271" s="2" t="str">
        <f>"9780064434393"</f>
        <v>9780064434393</v>
      </c>
      <c r="H1271" s="1" t="s">
        <v>290</v>
      </c>
      <c r="I1271" s="1" t="s">
        <v>36</v>
      </c>
      <c r="J1271" s="1">
        <v>32.0</v>
      </c>
      <c r="K1271" s="1">
        <v>1996.0</v>
      </c>
      <c r="L1271" s="1">
        <v>1993.0</v>
      </c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 t="s">
        <v>68</v>
      </c>
      <c r="Y1271" s="1" t="s">
        <v>5185</v>
      </c>
    </row>
    <row r="1272">
      <c r="A1272" s="1">
        <v>932978.0</v>
      </c>
      <c r="B1272" s="1" t="s">
        <v>5186</v>
      </c>
      <c r="C1272" s="1" t="s">
        <v>5187</v>
      </c>
      <c r="D1272" s="1" t="s">
        <v>5188</v>
      </c>
      <c r="E1272" s="1" t="s">
        <v>5189</v>
      </c>
      <c r="F1272" s="2" t="str">
        <f>"0764114611"</f>
        <v>0764114611</v>
      </c>
      <c r="G1272" s="2" t="str">
        <f>"9780764114618"</f>
        <v>9780764114618</v>
      </c>
      <c r="H1272" s="1" t="s">
        <v>5190</v>
      </c>
      <c r="I1272" s="1" t="s">
        <v>36</v>
      </c>
      <c r="J1272" s="1">
        <v>32.0</v>
      </c>
      <c r="K1272" s="1">
        <v>2000.0</v>
      </c>
      <c r="L1272" s="1">
        <v>2000.0</v>
      </c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 t="s">
        <v>1219</v>
      </c>
      <c r="Y1272" s="1" t="s">
        <v>5191</v>
      </c>
    </row>
    <row r="1273">
      <c r="A1273" s="1">
        <v>2.1817062E7</v>
      </c>
      <c r="B1273" s="1" t="s">
        <v>5192</v>
      </c>
      <c r="C1273" s="1" t="s">
        <v>5193</v>
      </c>
      <c r="D1273" s="1" t="s">
        <v>5194</v>
      </c>
      <c r="F1273" s="2" t="str">
        <f>"0545535395"</f>
        <v>0545535395</v>
      </c>
      <c r="G1273" s="2" t="str">
        <f>"9780545535397"</f>
        <v>9780545535397</v>
      </c>
      <c r="H1273" s="1" t="s">
        <v>296</v>
      </c>
      <c r="I1273" s="1" t="s">
        <v>31</v>
      </c>
      <c r="J1273" s="1">
        <v>32.0</v>
      </c>
      <c r="K1273" s="1">
        <v>2013.0</v>
      </c>
      <c r="L1273" s="1">
        <v>2013.0</v>
      </c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 t="s">
        <v>239</v>
      </c>
      <c r="Y1273" s="1" t="s">
        <v>5195</v>
      </c>
    </row>
    <row r="1274">
      <c r="A1274" s="1">
        <v>3.8533058E7</v>
      </c>
      <c r="B1274" s="1" t="s">
        <v>5196</v>
      </c>
      <c r="C1274" s="1" t="s">
        <v>5197</v>
      </c>
      <c r="D1274" s="1" t="s">
        <v>5198</v>
      </c>
      <c r="E1274" s="1" t="s">
        <v>5199</v>
      </c>
      <c r="F1274" s="2" t="str">
        <f>"1534421467"</f>
        <v>1534421467</v>
      </c>
      <c r="G1274" s="2" t="str">
        <f>"9781534421462"</f>
        <v>9781534421462</v>
      </c>
      <c r="H1274" s="1" t="s">
        <v>1371</v>
      </c>
      <c r="I1274" s="1" t="s">
        <v>36</v>
      </c>
      <c r="J1274" s="1">
        <v>32.0</v>
      </c>
      <c r="K1274" s="1">
        <v>2018.0</v>
      </c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 t="s">
        <v>51</v>
      </c>
      <c r="Y1274" s="1" t="s">
        <v>5200</v>
      </c>
    </row>
    <row r="1275">
      <c r="A1275" s="1">
        <v>638947.0</v>
      </c>
      <c r="B1275" s="1" t="s">
        <v>5201</v>
      </c>
      <c r="C1275" s="1" t="s">
        <v>696</v>
      </c>
      <c r="D1275" s="1" t="s">
        <v>697</v>
      </c>
      <c r="F1275" s="2" t="str">
        <f>"006054452X"</f>
        <v>006054452X</v>
      </c>
      <c r="G1275" s="2" t="str">
        <f>"9780060544522"</f>
        <v>9780060544522</v>
      </c>
      <c r="H1275" s="1" t="s">
        <v>290</v>
      </c>
      <c r="I1275" s="1" t="s">
        <v>36</v>
      </c>
      <c r="J1275" s="1">
        <v>32.0</v>
      </c>
      <c r="K1275" s="1">
        <v>2005.0</v>
      </c>
      <c r="L1275" s="1">
        <v>2004.0</v>
      </c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 t="s">
        <v>83</v>
      </c>
      <c r="Y1275" s="1" t="s">
        <v>5202</v>
      </c>
    </row>
    <row r="1276">
      <c r="A1276" s="1">
        <v>8079108.0</v>
      </c>
      <c r="B1276" s="1" t="s">
        <v>5203</v>
      </c>
      <c r="C1276" s="1" t="s">
        <v>5204</v>
      </c>
      <c r="D1276" s="1" t="s">
        <v>5205</v>
      </c>
      <c r="F1276" s="2" t="str">
        <f>"0312549660"</f>
        <v>0312549660</v>
      </c>
      <c r="G1276" s="2" t="str">
        <f>"9780312549664"</f>
        <v>9780312549664</v>
      </c>
      <c r="H1276" s="1" t="s">
        <v>2940</v>
      </c>
      <c r="I1276" s="1" t="s">
        <v>31</v>
      </c>
      <c r="J1276" s="1">
        <v>32.0</v>
      </c>
      <c r="K1276" s="1">
        <v>2010.0</v>
      </c>
      <c r="L1276" s="1">
        <v>2010.0</v>
      </c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 t="s">
        <v>1219</v>
      </c>
      <c r="Y1276" s="1" t="s">
        <v>5206</v>
      </c>
    </row>
    <row r="1277">
      <c r="A1277" s="1">
        <v>37377.0</v>
      </c>
      <c r="B1277" s="1" t="s">
        <v>5207</v>
      </c>
      <c r="C1277" s="1" t="s">
        <v>5204</v>
      </c>
      <c r="D1277" s="1" t="s">
        <v>5205</v>
      </c>
      <c r="F1277" s="2" t="str">
        <f>"0312346069"</f>
        <v>0312346069</v>
      </c>
      <c r="G1277" s="2" t="str">
        <f>"9780312346065"</f>
        <v>9780312346065</v>
      </c>
      <c r="H1277" s="1" t="s">
        <v>2940</v>
      </c>
      <c r="I1277" s="1" t="s">
        <v>31</v>
      </c>
      <c r="J1277" s="1">
        <v>32.0</v>
      </c>
      <c r="K1277" s="1">
        <v>2006.0</v>
      </c>
      <c r="L1277" s="1">
        <v>2005.0</v>
      </c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 t="s">
        <v>2730</v>
      </c>
      <c r="Y1277" s="1" t="s">
        <v>5208</v>
      </c>
    </row>
    <row r="1278">
      <c r="A1278" s="1">
        <v>8853965.0</v>
      </c>
      <c r="B1278" s="1" t="s">
        <v>5209</v>
      </c>
      <c r="C1278" s="1" t="s">
        <v>5210</v>
      </c>
      <c r="D1278" s="1" t="s">
        <v>5211</v>
      </c>
      <c r="E1278" s="1" t="s">
        <v>5212</v>
      </c>
      <c r="F1278" s="2" t="str">
        <f>"1426305397"</f>
        <v>1426305397</v>
      </c>
      <c r="G1278" s="2" t="str">
        <f>"9781426305399"</f>
        <v>9781426305399</v>
      </c>
      <c r="H1278" s="1" t="s">
        <v>1735</v>
      </c>
      <c r="I1278" s="1" t="s">
        <v>91</v>
      </c>
      <c r="J1278" s="1">
        <v>32.0</v>
      </c>
      <c r="K1278" s="1">
        <v>2010.0</v>
      </c>
      <c r="L1278" s="1">
        <v>2010.0</v>
      </c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 t="s">
        <v>116</v>
      </c>
      <c r="Y1278" s="1" t="s">
        <v>5213</v>
      </c>
    </row>
    <row r="1279">
      <c r="A1279" s="1">
        <v>4.2100578E7</v>
      </c>
      <c r="B1279" s="1" t="s">
        <v>5214</v>
      </c>
      <c r="C1279" s="1" t="s">
        <v>5215</v>
      </c>
      <c r="D1279" s="1" t="s">
        <v>5216</v>
      </c>
      <c r="F1279" s="2" t="str">
        <f>"1338190229"</f>
        <v>1338190229</v>
      </c>
      <c r="G1279" s="2" t="str">
        <f>"9781338190229"</f>
        <v>9781338190229</v>
      </c>
      <c r="H1279" s="1" t="s">
        <v>296</v>
      </c>
      <c r="I1279" s="1" t="s">
        <v>36</v>
      </c>
      <c r="J1279" s="1">
        <v>32.0</v>
      </c>
      <c r="K1279" s="1">
        <v>2017.0</v>
      </c>
      <c r="L1279" s="1">
        <v>2010.0</v>
      </c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 t="s">
        <v>61</v>
      </c>
      <c r="Y1279" s="1" t="s">
        <v>5217</v>
      </c>
    </row>
    <row r="1280">
      <c r="A1280" s="1">
        <v>5.1648117E7</v>
      </c>
      <c r="B1280" s="1" t="s">
        <v>5218</v>
      </c>
      <c r="C1280" s="1" t="s">
        <v>701</v>
      </c>
      <c r="D1280" s="1" t="s">
        <v>702</v>
      </c>
      <c r="E1280" s="1" t="s">
        <v>5219</v>
      </c>
      <c r="F1280" s="2" t="str">
        <f>"1478868678"</f>
        <v>1478868678</v>
      </c>
      <c r="G1280" s="2" t="str">
        <f>"9781478868675"</f>
        <v>9781478868675</v>
      </c>
      <c r="H1280" s="1" t="s">
        <v>5220</v>
      </c>
      <c r="I1280" s="1" t="s">
        <v>31</v>
      </c>
      <c r="J1280" s="1">
        <v>32.0</v>
      </c>
      <c r="K1280" s="1">
        <v>2019.0</v>
      </c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 t="s">
        <v>2254</v>
      </c>
      <c r="Y1280" s="1" t="s">
        <v>5221</v>
      </c>
    </row>
    <row r="1281">
      <c r="A1281" s="1">
        <v>1476629.0</v>
      </c>
      <c r="B1281" s="1" t="s">
        <v>5222</v>
      </c>
      <c r="C1281" s="1" t="s">
        <v>701</v>
      </c>
      <c r="D1281" s="1" t="s">
        <v>702</v>
      </c>
      <c r="F1281" s="2" t="str">
        <f>"0374464510"</f>
        <v>0374464510</v>
      </c>
      <c r="G1281" s="2" t="str">
        <f>"9780374464516"</f>
        <v>9780374464516</v>
      </c>
      <c r="H1281" s="1" t="s">
        <v>2211</v>
      </c>
      <c r="I1281" s="1" t="s">
        <v>36</v>
      </c>
      <c r="J1281" s="1">
        <v>32.0</v>
      </c>
      <c r="K1281" s="1">
        <v>1999.0</v>
      </c>
      <c r="L1281" s="1">
        <v>1995.0</v>
      </c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 t="s">
        <v>74</v>
      </c>
      <c r="Y1281" s="1" t="s">
        <v>5223</v>
      </c>
    </row>
    <row r="1282">
      <c r="A1282" s="1">
        <v>1114023.0</v>
      </c>
      <c r="B1282" s="1" t="s">
        <v>5224</v>
      </c>
      <c r="C1282" s="1" t="s">
        <v>4636</v>
      </c>
      <c r="D1282" s="1" t="s">
        <v>5225</v>
      </c>
      <c r="F1282" s="2" t="str">
        <f>"1580890768"</f>
        <v>1580890768</v>
      </c>
      <c r="G1282" s="2" t="str">
        <f>"9781580890762"</f>
        <v>9781580890762</v>
      </c>
      <c r="H1282" s="1" t="s">
        <v>2550</v>
      </c>
      <c r="I1282" s="1" t="s">
        <v>36</v>
      </c>
      <c r="J1282" s="1">
        <v>32.0</v>
      </c>
      <c r="K1282" s="1">
        <v>2007.0</v>
      </c>
      <c r="L1282" s="1">
        <v>2000.0</v>
      </c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 t="s">
        <v>323</v>
      </c>
      <c r="Y1282" s="1" t="s">
        <v>5226</v>
      </c>
    </row>
    <row r="1283">
      <c r="A1283" s="1">
        <v>141022.0</v>
      </c>
      <c r="B1283" s="1" t="s">
        <v>5227</v>
      </c>
      <c r="C1283" s="1" t="s">
        <v>5228</v>
      </c>
      <c r="D1283" s="1" t="s">
        <v>5229</v>
      </c>
      <c r="E1283" s="1" t="s">
        <v>5230</v>
      </c>
      <c r="F1283" s="2" t="str">
        <f t="shared" ref="F1283:G1283" si="93">""</f>
        <v/>
      </c>
      <c r="G1283" s="2" t="str">
        <f t="shared" si="93"/>
        <v/>
      </c>
      <c r="H1283" s="1" t="s">
        <v>290</v>
      </c>
      <c r="I1283" s="1" t="s">
        <v>36</v>
      </c>
      <c r="J1283" s="1">
        <v>32.0</v>
      </c>
      <c r="K1283" s="1">
        <v>1988.0</v>
      </c>
      <c r="L1283" s="1">
        <v>1947.0</v>
      </c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 t="s">
        <v>74</v>
      </c>
      <c r="Y1283" s="1" t="s">
        <v>5231</v>
      </c>
    </row>
    <row r="1284">
      <c r="A1284" s="1">
        <v>18008.0</v>
      </c>
      <c r="B1284" s="1" t="s">
        <v>5232</v>
      </c>
      <c r="C1284" s="1" t="s">
        <v>5233</v>
      </c>
      <c r="D1284" s="1" t="s">
        <v>5234</v>
      </c>
      <c r="E1284" s="1" t="s">
        <v>5235</v>
      </c>
      <c r="F1284" s="2" t="str">
        <f>"080751697X"</f>
        <v>080751697X</v>
      </c>
      <c r="G1284" s="2" t="str">
        <f>"9780807516973"</f>
        <v>9780807516973</v>
      </c>
      <c r="H1284" s="1" t="s">
        <v>1241</v>
      </c>
      <c r="I1284" s="1" t="s">
        <v>36</v>
      </c>
      <c r="J1284" s="1">
        <v>32.0</v>
      </c>
      <c r="K1284" s="1">
        <v>1997.0</v>
      </c>
      <c r="L1284" s="1">
        <v>1994.0</v>
      </c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 t="s">
        <v>5236</v>
      </c>
      <c r="Y1284" s="1" t="s">
        <v>5237</v>
      </c>
    </row>
    <row r="1285">
      <c r="A1285" s="1">
        <v>2.0549446E7</v>
      </c>
      <c r="B1285" s="1" t="s">
        <v>5238</v>
      </c>
      <c r="C1285" s="1" t="s">
        <v>5239</v>
      </c>
      <c r="D1285" s="1" t="s">
        <v>5240</v>
      </c>
      <c r="F1285" s="2" t="str">
        <f>"1452137358"</f>
        <v>1452137358</v>
      </c>
      <c r="G1285" s="2" t="str">
        <f>"9781452137353"</f>
        <v>9781452137353</v>
      </c>
      <c r="H1285" s="1" t="s">
        <v>1593</v>
      </c>
      <c r="I1285" s="1" t="s">
        <v>31</v>
      </c>
      <c r="J1285" s="1">
        <v>32.0</v>
      </c>
      <c r="K1285" s="1">
        <v>2014.0</v>
      </c>
      <c r="L1285" s="1">
        <v>2014.0</v>
      </c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 t="s">
        <v>897</v>
      </c>
      <c r="Y1285" s="1" t="s">
        <v>5241</v>
      </c>
    </row>
    <row r="1286">
      <c r="A1286" s="1">
        <v>1856052.0</v>
      </c>
      <c r="B1286" s="1" t="s">
        <v>5242</v>
      </c>
      <c r="C1286" s="1" t="s">
        <v>5243</v>
      </c>
      <c r="D1286" s="1" t="s">
        <v>5244</v>
      </c>
      <c r="E1286" s="1" t="s">
        <v>5245</v>
      </c>
      <c r="F1286" s="2" t="str">
        <f>"1558688986"</f>
        <v>1558688986</v>
      </c>
      <c r="G1286" s="2" t="str">
        <f>"9781558688988"</f>
        <v>9781558688988</v>
      </c>
      <c r="H1286" s="1" t="s">
        <v>5246</v>
      </c>
      <c r="I1286" s="1" t="s">
        <v>36</v>
      </c>
      <c r="J1286" s="1">
        <v>32.0</v>
      </c>
      <c r="K1286" s="1">
        <v>2005.0</v>
      </c>
      <c r="L1286" s="1">
        <v>2005.0</v>
      </c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 t="s">
        <v>1219</v>
      </c>
      <c r="Y1286" s="1" t="s">
        <v>5247</v>
      </c>
    </row>
    <row r="1287">
      <c r="A1287" s="1">
        <v>123886.0</v>
      </c>
      <c r="B1287" s="1" t="s">
        <v>5248</v>
      </c>
      <c r="C1287" s="1" t="s">
        <v>5249</v>
      </c>
      <c r="D1287" s="1" t="s">
        <v>5250</v>
      </c>
      <c r="E1287" s="1" t="s">
        <v>5040</v>
      </c>
      <c r="F1287" s="2" t="str">
        <f>"0060887087"</f>
        <v>0060887087</v>
      </c>
      <c r="G1287" s="2" t="str">
        <f>"9780060887087"</f>
        <v>9780060887087</v>
      </c>
      <c r="H1287" s="1" t="s">
        <v>2736</v>
      </c>
      <c r="I1287" s="1" t="s">
        <v>36</v>
      </c>
      <c r="J1287" s="1">
        <v>32.0</v>
      </c>
      <c r="K1287" s="1">
        <v>2006.0</v>
      </c>
      <c r="L1287" s="1">
        <v>1956.0</v>
      </c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 t="s">
        <v>109</v>
      </c>
      <c r="Y1287" s="1" t="s">
        <v>5251</v>
      </c>
    </row>
    <row r="1288">
      <c r="A1288" s="1">
        <v>1.2991349E7</v>
      </c>
      <c r="B1288" s="1" t="s">
        <v>5252</v>
      </c>
      <c r="C1288" s="1" t="s">
        <v>2573</v>
      </c>
      <c r="D1288" s="1" t="s">
        <v>5253</v>
      </c>
      <c r="E1288" s="1" t="s">
        <v>5254</v>
      </c>
      <c r="F1288" s="2" t="str">
        <f>"0061864404"</f>
        <v>0061864404</v>
      </c>
      <c r="G1288" s="2" t="str">
        <f>"9780061864407"</f>
        <v>9780061864407</v>
      </c>
      <c r="H1288" s="1" t="s">
        <v>290</v>
      </c>
      <c r="I1288" s="1" t="s">
        <v>31</v>
      </c>
      <c r="J1288" s="1">
        <v>32.0</v>
      </c>
      <c r="K1288" s="1">
        <v>2012.0</v>
      </c>
      <c r="L1288" s="1">
        <v>2012.0</v>
      </c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 t="s">
        <v>1372</v>
      </c>
      <c r="Y1288" s="1" t="s">
        <v>5255</v>
      </c>
    </row>
    <row r="1289">
      <c r="A1289" s="1">
        <v>1088585.0</v>
      </c>
      <c r="B1289" s="1" t="s">
        <v>5256</v>
      </c>
      <c r="C1289" s="1" t="s">
        <v>5257</v>
      </c>
      <c r="D1289" s="1" t="s">
        <v>5258</v>
      </c>
      <c r="E1289" s="1" t="s">
        <v>5259</v>
      </c>
      <c r="F1289" s="2" t="str">
        <f>"0811850587"</f>
        <v>0811850587</v>
      </c>
      <c r="G1289" s="2" t="str">
        <f>"9780811850582"</f>
        <v>9780811850582</v>
      </c>
      <c r="H1289" s="1" t="s">
        <v>1593</v>
      </c>
      <c r="I1289" s="1" t="s">
        <v>36</v>
      </c>
      <c r="J1289" s="1">
        <v>32.0</v>
      </c>
      <c r="K1289" s="1">
        <v>2006.0</v>
      </c>
      <c r="L1289" s="1">
        <v>2003.0</v>
      </c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 t="s">
        <v>109</v>
      </c>
      <c r="Y1289" s="1" t="s">
        <v>5260</v>
      </c>
    </row>
    <row r="1290">
      <c r="A1290" s="1">
        <v>3.9321346E7</v>
      </c>
      <c r="B1290" s="1" t="s">
        <v>5261</v>
      </c>
      <c r="C1290" s="1" t="s">
        <v>5262</v>
      </c>
      <c r="D1290" s="1" t="s">
        <v>5263</v>
      </c>
      <c r="E1290" s="1" t="s">
        <v>3367</v>
      </c>
      <c r="F1290" s="2" t="str">
        <f>"1743621833"</f>
        <v>1743621833</v>
      </c>
      <c r="G1290" s="2" t="str">
        <f>"9781743621837"</f>
        <v>9781743621837</v>
      </c>
      <c r="H1290" s="1" t="s">
        <v>5264</v>
      </c>
      <c r="I1290" s="1" t="s">
        <v>36</v>
      </c>
      <c r="J1290" s="1">
        <v>32.0</v>
      </c>
      <c r="K1290" s="1">
        <v>2017.0</v>
      </c>
      <c r="L1290" s="1">
        <v>1984.0</v>
      </c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 t="s">
        <v>1024</v>
      </c>
      <c r="Y1290" s="1" t="s">
        <v>5265</v>
      </c>
    </row>
    <row r="1291">
      <c r="A1291" s="1">
        <v>3.8243218E7</v>
      </c>
      <c r="B1291" s="1" t="s">
        <v>5266</v>
      </c>
      <c r="C1291" s="1" t="s">
        <v>5267</v>
      </c>
      <c r="D1291" s="1" t="s">
        <v>5268</v>
      </c>
      <c r="E1291" s="1" t="s">
        <v>2272</v>
      </c>
      <c r="F1291" s="2" t="str">
        <f>"1419731653"</f>
        <v>1419731653</v>
      </c>
      <c r="G1291" s="2" t="str">
        <f>"9781419731655"</f>
        <v>9781419731655</v>
      </c>
      <c r="H1291" s="1" t="s">
        <v>145</v>
      </c>
      <c r="I1291" s="1" t="s">
        <v>31</v>
      </c>
      <c r="J1291" s="1">
        <v>32.0</v>
      </c>
      <c r="K1291" s="1">
        <v>2018.0</v>
      </c>
      <c r="L1291" s="1">
        <v>2018.0</v>
      </c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 t="s">
        <v>113</v>
      </c>
      <c r="Y1291" s="1" t="s">
        <v>5269</v>
      </c>
    </row>
    <row r="1292">
      <c r="A1292" s="1">
        <v>4.3496493E7</v>
      </c>
      <c r="B1292" s="1" t="s">
        <v>5270</v>
      </c>
      <c r="C1292" s="1" t="s">
        <v>5267</v>
      </c>
      <c r="D1292" s="1" t="s">
        <v>5268</v>
      </c>
      <c r="E1292" s="1" t="s">
        <v>2272</v>
      </c>
      <c r="F1292" s="2" t="str">
        <f>"1419737260"</f>
        <v>1419737260</v>
      </c>
      <c r="G1292" s="2" t="str">
        <f>"9781419737268"</f>
        <v>9781419737268</v>
      </c>
      <c r="H1292" s="1" t="s">
        <v>145</v>
      </c>
      <c r="I1292" s="1" t="s">
        <v>31</v>
      </c>
      <c r="J1292" s="1">
        <v>32.0</v>
      </c>
      <c r="K1292" s="1">
        <v>2019.0</v>
      </c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 t="s">
        <v>113</v>
      </c>
      <c r="Y1292" s="1" t="s">
        <v>5271</v>
      </c>
    </row>
    <row r="1293">
      <c r="A1293" s="1">
        <v>2.2712981E7</v>
      </c>
      <c r="B1293" s="1" t="s">
        <v>5272</v>
      </c>
      <c r="C1293" s="1" t="s">
        <v>5273</v>
      </c>
      <c r="D1293" s="1" t="s">
        <v>5274</v>
      </c>
      <c r="F1293" s="2" t="str">
        <f>"0723286698"</f>
        <v>0723286698</v>
      </c>
      <c r="G1293" s="2" t="str">
        <f>"9780723286691"</f>
        <v>9780723286691</v>
      </c>
      <c r="H1293" s="1" t="s">
        <v>753</v>
      </c>
      <c r="I1293" s="1" t="s">
        <v>31</v>
      </c>
      <c r="J1293" s="1">
        <v>32.0</v>
      </c>
      <c r="K1293" s="1">
        <v>2014.0</v>
      </c>
      <c r="L1293" s="1">
        <v>2014.0</v>
      </c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 t="s">
        <v>1466</v>
      </c>
      <c r="Y1293" s="1" t="s">
        <v>5275</v>
      </c>
    </row>
    <row r="1294">
      <c r="A1294" s="1">
        <v>1.2897364E7</v>
      </c>
      <c r="B1294" s="1" t="s">
        <v>5276</v>
      </c>
      <c r="C1294" s="1" t="s">
        <v>5273</v>
      </c>
      <c r="D1294" s="1" t="s">
        <v>5274</v>
      </c>
      <c r="F1294" s="2" t="str">
        <f>"0141502398"</f>
        <v>0141502398</v>
      </c>
      <c r="G1294" s="2" t="str">
        <f>"9780141502397"</f>
        <v>9780141502397</v>
      </c>
      <c r="H1294" s="1" t="s">
        <v>44</v>
      </c>
      <c r="I1294" s="1" t="s">
        <v>36</v>
      </c>
      <c r="J1294" s="1">
        <v>32.0</v>
      </c>
      <c r="K1294" s="1">
        <v>2011.0</v>
      </c>
      <c r="L1294" s="1">
        <v>2011.0</v>
      </c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 t="s">
        <v>863</v>
      </c>
      <c r="Y1294" s="1" t="s">
        <v>5277</v>
      </c>
    </row>
    <row r="1295">
      <c r="A1295" s="1">
        <v>2.7800357E7</v>
      </c>
      <c r="B1295" s="1" t="s">
        <v>5278</v>
      </c>
      <c r="C1295" s="1" t="s">
        <v>5279</v>
      </c>
      <c r="D1295" s="1" t="s">
        <v>5280</v>
      </c>
      <c r="F1295" s="2" t="str">
        <f>"0981494048"</f>
        <v>0981494048</v>
      </c>
      <c r="G1295" s="2" t="str">
        <f>"9780981494043"</f>
        <v>9780981494043</v>
      </c>
      <c r="H1295" s="1" t="s">
        <v>5281</v>
      </c>
      <c r="I1295" s="1" t="s">
        <v>36</v>
      </c>
      <c r="J1295" s="1">
        <v>32.0</v>
      </c>
      <c r="K1295" s="1">
        <v>2015.0</v>
      </c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 t="s">
        <v>212</v>
      </c>
      <c r="Y1295" s="1" t="s">
        <v>5282</v>
      </c>
    </row>
    <row r="1296">
      <c r="A1296" s="1">
        <v>1.3817917E7</v>
      </c>
      <c r="B1296" s="1" t="s">
        <v>5283</v>
      </c>
      <c r="C1296" s="1" t="s">
        <v>5284</v>
      </c>
      <c r="D1296" s="1" t="s">
        <v>5285</v>
      </c>
      <c r="F1296" s="2" t="str">
        <f>"0955335981"</f>
        <v>0955335981</v>
      </c>
      <c r="G1296" s="2" t="str">
        <f>"9780955335983"</f>
        <v>9780955335983</v>
      </c>
      <c r="H1296" s="1" t="s">
        <v>5284</v>
      </c>
      <c r="I1296" s="1" t="s">
        <v>36</v>
      </c>
      <c r="J1296" s="1">
        <v>32.0</v>
      </c>
      <c r="K1296" s="1">
        <v>2011.0</v>
      </c>
      <c r="L1296" s="1">
        <v>2011.0</v>
      </c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 t="s">
        <v>323</v>
      </c>
      <c r="Y1296" s="1" t="s">
        <v>5286</v>
      </c>
    </row>
    <row r="1297">
      <c r="A1297" s="1">
        <v>1381892.0</v>
      </c>
      <c r="B1297" s="1" t="s">
        <v>5287</v>
      </c>
      <c r="C1297" s="1" t="s">
        <v>5288</v>
      </c>
      <c r="D1297" s="1" t="s">
        <v>5289</v>
      </c>
      <c r="E1297" s="1" t="s">
        <v>5290</v>
      </c>
      <c r="F1297" s="2" t="str">
        <f>"0833543164"</f>
        <v>0833543164</v>
      </c>
      <c r="G1297" s="2" t="str">
        <f>"9780833543165"</f>
        <v>9780833543165</v>
      </c>
      <c r="H1297" s="1" t="s">
        <v>477</v>
      </c>
      <c r="I1297" s="1" t="s">
        <v>91</v>
      </c>
      <c r="J1297" s="1">
        <v>32.0</v>
      </c>
      <c r="K1297" s="1">
        <v>1989.0</v>
      </c>
      <c r="L1297" s="1">
        <v>1972.0</v>
      </c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 t="s">
        <v>61</v>
      </c>
      <c r="Y1297" s="1" t="s">
        <v>5291</v>
      </c>
    </row>
    <row r="1298">
      <c r="A1298" s="1">
        <v>1086058.0</v>
      </c>
      <c r="B1298" s="1" t="s">
        <v>5292</v>
      </c>
      <c r="C1298" s="1" t="s">
        <v>5288</v>
      </c>
      <c r="D1298" s="1" t="s">
        <v>5289</v>
      </c>
      <c r="E1298" s="1" t="s">
        <v>2342</v>
      </c>
      <c r="F1298" s="2" t="str">
        <f>"0689713517"</f>
        <v>0689713517</v>
      </c>
      <c r="G1298" s="2" t="str">
        <f>"9780689713514"</f>
        <v>9780689713514</v>
      </c>
      <c r="H1298" s="1" t="s">
        <v>2537</v>
      </c>
      <c r="I1298" s="1" t="s">
        <v>36</v>
      </c>
      <c r="J1298" s="1">
        <v>32.0</v>
      </c>
      <c r="K1298" s="1">
        <v>1989.0</v>
      </c>
      <c r="L1298" s="1">
        <v>1978.0</v>
      </c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 t="s">
        <v>2158</v>
      </c>
      <c r="Y1298" s="1" t="s">
        <v>5293</v>
      </c>
    </row>
    <row r="1299">
      <c r="A1299" s="1">
        <v>6.1143427E7</v>
      </c>
      <c r="B1299" s="1" t="s">
        <v>5294</v>
      </c>
      <c r="C1299" s="1" t="s">
        <v>5295</v>
      </c>
      <c r="D1299" s="1" t="s">
        <v>5296</v>
      </c>
      <c r="E1299" s="1" t="s">
        <v>5297</v>
      </c>
      <c r="F1299" s="2" t="str">
        <f>"1743838530"</f>
        <v>1743838530</v>
      </c>
      <c r="G1299" s="2" t="str">
        <f>"9781743838532"</f>
        <v>9781743838532</v>
      </c>
      <c r="H1299" s="1" t="s">
        <v>50</v>
      </c>
      <c r="I1299" s="1" t="s">
        <v>36</v>
      </c>
      <c r="J1299" s="1">
        <v>32.0</v>
      </c>
      <c r="K1299" s="1">
        <v>2020.0</v>
      </c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 t="s">
        <v>1372</v>
      </c>
      <c r="Y1299" s="1" t="s">
        <v>5298</v>
      </c>
    </row>
    <row r="1300">
      <c r="A1300" s="1">
        <v>5146928.0</v>
      </c>
      <c r="B1300" s="1" t="s">
        <v>5299</v>
      </c>
      <c r="C1300" s="1" t="s">
        <v>5300</v>
      </c>
      <c r="D1300" s="1" t="s">
        <v>5301</v>
      </c>
      <c r="E1300" s="1" t="s">
        <v>5302</v>
      </c>
      <c r="F1300" s="2" t="str">
        <f>"0744548780"</f>
        <v>0744548780</v>
      </c>
      <c r="G1300" s="2" t="str">
        <f>"9780763604134"</f>
        <v>9780763604134</v>
      </c>
      <c r="H1300" s="1" t="s">
        <v>1454</v>
      </c>
      <c r="I1300" s="1" t="s">
        <v>36</v>
      </c>
      <c r="J1300" s="1">
        <v>32.0</v>
      </c>
      <c r="K1300" s="1">
        <v>1997.0</v>
      </c>
      <c r="L1300" s="1">
        <v>1997.0</v>
      </c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 t="s">
        <v>863</v>
      </c>
      <c r="Y1300" s="1" t="s">
        <v>5303</v>
      </c>
    </row>
    <row r="1301">
      <c r="A1301" s="1">
        <v>4.0597262E7</v>
      </c>
      <c r="B1301" s="1" t="s">
        <v>5304</v>
      </c>
      <c r="C1301" s="1" t="s">
        <v>5305</v>
      </c>
      <c r="D1301" s="1" t="s">
        <v>5306</v>
      </c>
      <c r="E1301" s="1" t="s">
        <v>5307</v>
      </c>
      <c r="F1301" s="2" t="str">
        <f>"1492669733"</f>
        <v>1492669733</v>
      </c>
      <c r="G1301" s="2" t="str">
        <f>"9781492669739"</f>
        <v>9781492669739</v>
      </c>
      <c r="H1301" s="1" t="s">
        <v>5032</v>
      </c>
      <c r="I1301" s="1" t="s">
        <v>31</v>
      </c>
      <c r="J1301" s="1">
        <v>32.0</v>
      </c>
      <c r="K1301" s="1">
        <v>2019.0</v>
      </c>
      <c r="L1301" s="1">
        <v>2019.0</v>
      </c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 t="s">
        <v>1105</v>
      </c>
      <c r="Y1301" s="1" t="s">
        <v>5308</v>
      </c>
    </row>
    <row r="1302">
      <c r="A1302" s="1">
        <v>3.0095483E7</v>
      </c>
      <c r="B1302" s="1" t="s">
        <v>5309</v>
      </c>
      <c r="C1302" s="1" t="s">
        <v>5305</v>
      </c>
      <c r="D1302" s="1" t="s">
        <v>5306</v>
      </c>
      <c r="E1302" s="1" t="s">
        <v>5307</v>
      </c>
      <c r="F1302" s="2" t="str">
        <f>"1492646318"</f>
        <v>1492646318</v>
      </c>
      <c r="G1302" s="2" t="str">
        <f>"9781492646310"</f>
        <v>9781492646310</v>
      </c>
      <c r="H1302" s="1" t="s">
        <v>5032</v>
      </c>
      <c r="I1302" s="1" t="s">
        <v>31</v>
      </c>
      <c r="J1302" s="1">
        <v>32.0</v>
      </c>
      <c r="K1302" s="1">
        <v>2016.0</v>
      </c>
      <c r="L1302" s="1">
        <v>2016.0</v>
      </c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 t="s">
        <v>863</v>
      </c>
      <c r="Y1302" s="1" t="s">
        <v>5310</v>
      </c>
    </row>
    <row r="1303">
      <c r="A1303" s="1">
        <v>1.8628674E7</v>
      </c>
      <c r="B1303" s="1" t="s">
        <v>5311</v>
      </c>
      <c r="C1303" s="1" t="s">
        <v>5312</v>
      </c>
      <c r="D1303" s="1" t="s">
        <v>5313</v>
      </c>
      <c r="E1303" s="1" t="s">
        <v>5314</v>
      </c>
      <c r="F1303" s="2" t="str">
        <f>"0007493991"</f>
        <v>0007493991</v>
      </c>
      <c r="G1303" s="2" t="str">
        <f>"9780007493999"</f>
        <v>9780007493999</v>
      </c>
      <c r="H1303" s="1" t="s">
        <v>5315</v>
      </c>
      <c r="I1303" s="1" t="s">
        <v>31</v>
      </c>
      <c r="J1303" s="1">
        <v>32.0</v>
      </c>
      <c r="K1303" s="1">
        <v>2013.0</v>
      </c>
      <c r="L1303" s="1">
        <v>2013.0</v>
      </c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 t="s">
        <v>412</v>
      </c>
      <c r="Y1303" s="1" t="s">
        <v>5316</v>
      </c>
    </row>
    <row r="1304">
      <c r="A1304" s="1">
        <v>6368191.0</v>
      </c>
      <c r="B1304" s="1" t="s">
        <v>5317</v>
      </c>
      <c r="C1304" s="1" t="s">
        <v>5318</v>
      </c>
      <c r="D1304" s="1" t="s">
        <v>5319</v>
      </c>
      <c r="F1304" s="2" t="str">
        <f>"0399251804"</f>
        <v>0399251804</v>
      </c>
      <c r="G1304" s="2" t="str">
        <f>"9780399251801"</f>
        <v>9780399251801</v>
      </c>
      <c r="H1304" s="1" t="s">
        <v>2418</v>
      </c>
      <c r="I1304" s="1" t="s">
        <v>31</v>
      </c>
      <c r="J1304" s="1">
        <v>32.0</v>
      </c>
      <c r="K1304" s="1">
        <v>2009.0</v>
      </c>
      <c r="L1304" s="1">
        <v>2009.0</v>
      </c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 t="s">
        <v>363</v>
      </c>
      <c r="Y1304" s="1" t="s">
        <v>5320</v>
      </c>
    </row>
    <row r="1305">
      <c r="A1305" s="1">
        <v>5564784.0</v>
      </c>
      <c r="B1305" s="1" t="s">
        <v>5321</v>
      </c>
      <c r="C1305" s="1" t="s">
        <v>5322</v>
      </c>
      <c r="D1305" s="1" t="s">
        <v>5323</v>
      </c>
      <c r="F1305" s="2" t="str">
        <f>""</f>
        <v/>
      </c>
      <c r="G1305" s="2" t="str">
        <f>"9781554532889"</f>
        <v>9781554532889</v>
      </c>
      <c r="H1305" s="1" t="s">
        <v>3071</v>
      </c>
      <c r="I1305" s="1" t="s">
        <v>31</v>
      </c>
      <c r="J1305" s="1">
        <v>32.0</v>
      </c>
      <c r="K1305" s="1">
        <v>2009.0</v>
      </c>
      <c r="L1305" s="1">
        <v>2009.0</v>
      </c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 t="s">
        <v>1219</v>
      </c>
      <c r="Y1305" s="1" t="s">
        <v>5324</v>
      </c>
    </row>
    <row r="1306">
      <c r="A1306" s="1">
        <v>8420432.0</v>
      </c>
      <c r="B1306" s="1" t="s">
        <v>5325</v>
      </c>
      <c r="C1306" s="1" t="s">
        <v>5326</v>
      </c>
      <c r="D1306" s="1" t="s">
        <v>5327</v>
      </c>
      <c r="E1306" s="1" t="s">
        <v>5328</v>
      </c>
      <c r="F1306" s="2" t="str">
        <f>"0735822867"</f>
        <v>0735822867</v>
      </c>
      <c r="G1306" s="2" t="str">
        <f>"9780735822863"</f>
        <v>9780735822863</v>
      </c>
      <c r="H1306" s="1" t="s">
        <v>5329</v>
      </c>
      <c r="I1306" s="1" t="s">
        <v>36</v>
      </c>
      <c r="J1306" s="1">
        <v>32.0</v>
      </c>
      <c r="K1306" s="1">
        <v>2010.0</v>
      </c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 t="s">
        <v>5330</v>
      </c>
      <c r="Y1306" s="1" t="s">
        <v>5331</v>
      </c>
    </row>
    <row r="1307">
      <c r="A1307" s="1">
        <v>1004012.0</v>
      </c>
      <c r="B1307" s="1" t="s">
        <v>5332</v>
      </c>
      <c r="C1307" s="1" t="s">
        <v>5333</v>
      </c>
      <c r="D1307" s="1" t="s">
        <v>5334</v>
      </c>
      <c r="E1307" s="1" t="s">
        <v>5335</v>
      </c>
      <c r="F1307" s="2" t="str">
        <f>"0803728603"</f>
        <v>0803728603</v>
      </c>
      <c r="G1307" s="2" t="str">
        <f>"9780803728608"</f>
        <v>9780803728608</v>
      </c>
      <c r="H1307" s="1" t="s">
        <v>2600</v>
      </c>
      <c r="I1307" s="1" t="s">
        <v>31</v>
      </c>
      <c r="J1307" s="1">
        <v>32.0</v>
      </c>
      <c r="K1307" s="1">
        <v>2004.0</v>
      </c>
      <c r="L1307" s="1">
        <v>2004.0</v>
      </c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 t="s">
        <v>742</v>
      </c>
      <c r="Y1307" s="1" t="s">
        <v>5336</v>
      </c>
    </row>
    <row r="1308">
      <c r="A1308" s="1">
        <v>4.0998789E7</v>
      </c>
      <c r="B1308" s="1" t="s">
        <v>5337</v>
      </c>
      <c r="C1308" s="1" t="s">
        <v>5338</v>
      </c>
      <c r="D1308" s="1" t="s">
        <v>5339</v>
      </c>
      <c r="E1308" s="1" t="s">
        <v>5340</v>
      </c>
      <c r="F1308" s="2" t="str">
        <f>"1506448720"</f>
        <v>1506448720</v>
      </c>
      <c r="G1308" s="2" t="str">
        <f>"9781506448725"</f>
        <v>9781506448725</v>
      </c>
      <c r="H1308" s="1" t="s">
        <v>3974</v>
      </c>
      <c r="I1308" s="1" t="s">
        <v>31</v>
      </c>
      <c r="J1308" s="1">
        <v>32.0</v>
      </c>
      <c r="K1308" s="1">
        <v>2019.0</v>
      </c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 t="s">
        <v>1084</v>
      </c>
      <c r="Y1308" s="1" t="s">
        <v>5341</v>
      </c>
    </row>
    <row r="1309">
      <c r="A1309" s="1">
        <v>491972.0</v>
      </c>
      <c r="B1309" s="1" t="s">
        <v>5342</v>
      </c>
      <c r="C1309" s="1" t="s">
        <v>5343</v>
      </c>
      <c r="D1309" s="1" t="s">
        <v>5344</v>
      </c>
      <c r="F1309" s="2" t="str">
        <f>"8426135331"</f>
        <v>8426135331</v>
      </c>
      <c r="G1309" s="2" t="str">
        <f>"9788426135339"</f>
        <v>9788426135339</v>
      </c>
      <c r="H1309" s="1" t="s">
        <v>5345</v>
      </c>
      <c r="I1309" s="1" t="s">
        <v>31</v>
      </c>
      <c r="J1309" s="1">
        <v>32.0</v>
      </c>
      <c r="K1309" s="1">
        <v>2006.0</v>
      </c>
      <c r="L1309" s="1">
        <v>1987.0</v>
      </c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 t="s">
        <v>92</v>
      </c>
      <c r="Y1309" s="1" t="s">
        <v>5346</v>
      </c>
    </row>
    <row r="1310">
      <c r="A1310" s="1">
        <v>3.0551062E7</v>
      </c>
      <c r="B1310" s="1" t="s">
        <v>5347</v>
      </c>
      <c r="C1310" s="1" t="s">
        <v>5348</v>
      </c>
      <c r="D1310" s="1" t="s">
        <v>5349</v>
      </c>
      <c r="F1310" s="2" t="str">
        <f>"1533677034"</f>
        <v>1533677034</v>
      </c>
      <c r="G1310" s="2" t="str">
        <f>"9781533677037"</f>
        <v>9781533677037</v>
      </c>
      <c r="H1310" s="1" t="s">
        <v>5350</v>
      </c>
      <c r="I1310" s="1" t="s">
        <v>36</v>
      </c>
      <c r="J1310" s="1">
        <v>32.0</v>
      </c>
      <c r="K1310" s="1">
        <v>2016.0</v>
      </c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 t="s">
        <v>1084</v>
      </c>
      <c r="Y1310" s="1" t="s">
        <v>5351</v>
      </c>
    </row>
    <row r="1311">
      <c r="A1311" s="1">
        <v>6705452.0</v>
      </c>
      <c r="B1311" s="1" t="s">
        <v>5352</v>
      </c>
      <c r="C1311" s="1" t="s">
        <v>5353</v>
      </c>
      <c r="D1311" s="1" t="s">
        <v>5354</v>
      </c>
      <c r="F1311" s="2" t="str">
        <f>"8426137326"</f>
        <v>8426137326</v>
      </c>
      <c r="G1311" s="2" t="str">
        <f>"9788426137326"</f>
        <v>9788426137326</v>
      </c>
      <c r="H1311" s="1" t="s">
        <v>5345</v>
      </c>
      <c r="I1311" s="1" t="s">
        <v>31</v>
      </c>
      <c r="J1311" s="1">
        <v>32.0</v>
      </c>
      <c r="K1311" s="1">
        <v>2009.0</v>
      </c>
      <c r="L1311" s="1">
        <v>2008.0</v>
      </c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 t="s">
        <v>92</v>
      </c>
      <c r="Y1311" s="1" t="s">
        <v>5355</v>
      </c>
    </row>
    <row r="1312">
      <c r="A1312" s="1">
        <v>3387152.0</v>
      </c>
      <c r="B1312" s="1" t="s">
        <v>5356</v>
      </c>
      <c r="C1312" s="1" t="s">
        <v>5357</v>
      </c>
      <c r="D1312" s="1" t="s">
        <v>5358</v>
      </c>
      <c r="E1312" s="1" t="s">
        <v>5359</v>
      </c>
      <c r="F1312" s="2" t="str">
        <f>"0545057833"</f>
        <v>0545057833</v>
      </c>
      <c r="G1312" s="2" t="str">
        <f>"9780545057837"</f>
        <v>9780545057837</v>
      </c>
      <c r="H1312" s="1" t="s">
        <v>857</v>
      </c>
      <c r="I1312" s="1" t="s">
        <v>31</v>
      </c>
      <c r="J1312" s="1">
        <v>32.0</v>
      </c>
      <c r="K1312" s="1">
        <v>2008.0</v>
      </c>
      <c r="L1312" s="1">
        <v>2007.0</v>
      </c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 t="s">
        <v>1356</v>
      </c>
      <c r="Y1312" s="1" t="s">
        <v>5360</v>
      </c>
    </row>
    <row r="1313">
      <c r="A1313" s="1">
        <v>1.6101011E7</v>
      </c>
      <c r="B1313" s="1" t="s">
        <v>5361</v>
      </c>
      <c r="C1313" s="1" t="s">
        <v>5362</v>
      </c>
      <c r="D1313" s="1" t="s">
        <v>5363</v>
      </c>
      <c r="F1313" s="2" t="str">
        <f>"0399257926"</f>
        <v>0399257926</v>
      </c>
      <c r="G1313" s="2" t="str">
        <f>"9780399257926"</f>
        <v>9780399257926</v>
      </c>
      <c r="H1313" s="1" t="s">
        <v>2418</v>
      </c>
      <c r="I1313" s="1" t="s">
        <v>31</v>
      </c>
      <c r="J1313" s="1">
        <v>32.0</v>
      </c>
      <c r="K1313" s="1">
        <v>2013.0</v>
      </c>
      <c r="L1313" s="1">
        <v>2013.0</v>
      </c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 t="s">
        <v>1317</v>
      </c>
      <c r="Y1313" s="1" t="s">
        <v>5364</v>
      </c>
    </row>
    <row r="1314">
      <c r="A1314" s="1">
        <v>8488555.0</v>
      </c>
      <c r="B1314" s="1" t="s">
        <v>5365</v>
      </c>
      <c r="C1314" s="1" t="s">
        <v>5366</v>
      </c>
      <c r="D1314" s="1" t="s">
        <v>5367</v>
      </c>
      <c r="F1314" s="2" t="str">
        <f>"0440846390"</f>
        <v>0440846390</v>
      </c>
      <c r="G1314" s="2" t="str">
        <f>"9780440846390"</f>
        <v>9780440846390</v>
      </c>
      <c r="H1314" s="1" t="s">
        <v>5368</v>
      </c>
      <c r="I1314" s="1" t="s">
        <v>31</v>
      </c>
      <c r="J1314" s="1">
        <v>32.0</v>
      </c>
      <c r="K1314" s="1">
        <v>1992.0</v>
      </c>
      <c r="L1314" s="1">
        <v>1991.0</v>
      </c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 t="s">
        <v>2254</v>
      </c>
      <c r="Y1314" s="1" t="s">
        <v>5369</v>
      </c>
    </row>
    <row r="1315">
      <c r="A1315" s="1">
        <v>363973.0</v>
      </c>
      <c r="B1315" s="1" t="s">
        <v>5370</v>
      </c>
      <c r="C1315" s="1" t="s">
        <v>5371</v>
      </c>
      <c r="D1315" s="1" t="s">
        <v>5372</v>
      </c>
      <c r="E1315" s="1" t="s">
        <v>4278</v>
      </c>
      <c r="F1315" s="2" t="str">
        <f>"0064431835"</f>
        <v>0064431835</v>
      </c>
      <c r="G1315" s="2" t="str">
        <f>"9780064431835"</f>
        <v>9780064431835</v>
      </c>
      <c r="H1315" s="1" t="s">
        <v>290</v>
      </c>
      <c r="I1315" s="1" t="s">
        <v>36</v>
      </c>
      <c r="J1315" s="1">
        <v>32.0</v>
      </c>
      <c r="K1315" s="1">
        <v>1988.0</v>
      </c>
      <c r="L1315" s="1">
        <v>1986.0</v>
      </c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 t="s">
        <v>212</v>
      </c>
      <c r="Y1315" s="1" t="s">
        <v>5373</v>
      </c>
    </row>
    <row r="1316">
      <c r="A1316" s="1">
        <v>835202.0</v>
      </c>
      <c r="B1316" s="1" t="s">
        <v>5374</v>
      </c>
      <c r="C1316" s="1" t="s">
        <v>5375</v>
      </c>
      <c r="D1316" s="1" t="s">
        <v>5376</v>
      </c>
      <c r="F1316" s="2" t="str">
        <f>"0688040748"</f>
        <v>0688040748</v>
      </c>
      <c r="G1316" s="2" t="str">
        <f>"9780688040741"</f>
        <v>9780688040741</v>
      </c>
      <c r="H1316" s="1" t="s">
        <v>1570</v>
      </c>
      <c r="I1316" s="1" t="s">
        <v>36</v>
      </c>
      <c r="J1316" s="1">
        <v>32.0</v>
      </c>
      <c r="K1316" s="1">
        <v>1984.0</v>
      </c>
      <c r="L1316" s="1">
        <v>1982.0</v>
      </c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 t="s">
        <v>5377</v>
      </c>
      <c r="Y1316" s="1" t="s">
        <v>5378</v>
      </c>
    </row>
    <row r="1317">
      <c r="A1317" s="1">
        <v>545249.0</v>
      </c>
      <c r="B1317" s="1" t="s">
        <v>5379</v>
      </c>
      <c r="C1317" s="1" t="s">
        <v>5375</v>
      </c>
      <c r="D1317" s="1" t="s">
        <v>5376</v>
      </c>
      <c r="F1317" s="2" t="str">
        <f>"0060887079"</f>
        <v>0060887079</v>
      </c>
      <c r="G1317" s="2" t="str">
        <f>"9780060887070"</f>
        <v>9780060887070</v>
      </c>
      <c r="H1317" s="1" t="s">
        <v>2736</v>
      </c>
      <c r="I1317" s="1" t="s">
        <v>36</v>
      </c>
      <c r="J1317" s="1">
        <v>32.0</v>
      </c>
      <c r="K1317" s="1">
        <v>2006.0</v>
      </c>
      <c r="L1317" s="1">
        <v>1983.0</v>
      </c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 t="s">
        <v>61</v>
      </c>
      <c r="Y1317" s="1" t="s">
        <v>5380</v>
      </c>
    </row>
    <row r="1318">
      <c r="A1318" s="1">
        <v>2.8588368E7</v>
      </c>
      <c r="B1318" s="1" t="s">
        <v>5381</v>
      </c>
      <c r="C1318" s="1" t="s">
        <v>5382</v>
      </c>
      <c r="D1318" s="1" t="s">
        <v>5383</v>
      </c>
      <c r="E1318" s="1" t="s">
        <v>5384</v>
      </c>
      <c r="F1318" s="2" t="str">
        <f>"0399539425"</f>
        <v>0399539425</v>
      </c>
      <c r="G1318" s="2" t="str">
        <f>"9780399539428"</f>
        <v>9780399539428</v>
      </c>
      <c r="H1318" s="1" t="s">
        <v>2014</v>
      </c>
      <c r="I1318" s="1" t="s">
        <v>36</v>
      </c>
      <c r="J1318" s="1">
        <v>32.0</v>
      </c>
      <c r="K1318" s="1">
        <v>2016.0</v>
      </c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 t="s">
        <v>1235</v>
      </c>
      <c r="Y1318" s="1" t="s">
        <v>5385</v>
      </c>
    </row>
    <row r="1319">
      <c r="A1319" s="1">
        <v>182510.0</v>
      </c>
      <c r="B1319" s="1" t="s">
        <v>5386</v>
      </c>
      <c r="C1319" s="1" t="s">
        <v>5382</v>
      </c>
      <c r="D1319" s="1" t="s">
        <v>5383</v>
      </c>
      <c r="E1319" s="1" t="s">
        <v>5387</v>
      </c>
      <c r="F1319" s="2" t="str">
        <f>"0448419653"</f>
        <v>0448419653</v>
      </c>
      <c r="G1319" s="2" t="str">
        <f>"9780448419657"</f>
        <v>9780448419657</v>
      </c>
      <c r="H1319" s="1" t="s">
        <v>2014</v>
      </c>
      <c r="I1319" s="1" t="s">
        <v>36</v>
      </c>
      <c r="J1319" s="1">
        <v>32.0</v>
      </c>
      <c r="K1319" s="1">
        <v>1999.0</v>
      </c>
      <c r="L1319" s="1">
        <v>1999.0</v>
      </c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 t="s">
        <v>863</v>
      </c>
      <c r="Y1319" s="1" t="s">
        <v>5388</v>
      </c>
    </row>
    <row r="1320">
      <c r="A1320" s="1">
        <v>4.5834051E7</v>
      </c>
      <c r="B1320" s="1" t="s">
        <v>5389</v>
      </c>
      <c r="C1320" s="1" t="s">
        <v>5382</v>
      </c>
      <c r="D1320" s="1" t="s">
        <v>5383</v>
      </c>
      <c r="E1320" s="1" t="s">
        <v>5384</v>
      </c>
      <c r="F1320" s="2" t="str">
        <f>"1524793256"</f>
        <v>1524793256</v>
      </c>
      <c r="G1320" s="2" t="str">
        <f>"9781524793258"</f>
        <v>9781524793258</v>
      </c>
      <c r="H1320" s="1" t="s">
        <v>2014</v>
      </c>
      <c r="I1320" s="1" t="s">
        <v>36</v>
      </c>
      <c r="J1320" s="1">
        <v>32.0</v>
      </c>
      <c r="K1320" s="1">
        <v>2019.0</v>
      </c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 t="s">
        <v>863</v>
      </c>
      <c r="Y1320" s="1" t="s">
        <v>5390</v>
      </c>
    </row>
    <row r="1321">
      <c r="A1321" s="1">
        <v>831386.0</v>
      </c>
      <c r="B1321" s="1" t="s">
        <v>5391</v>
      </c>
      <c r="C1321" s="1" t="s">
        <v>5382</v>
      </c>
      <c r="D1321" s="1" t="s">
        <v>5383</v>
      </c>
      <c r="E1321" s="1" t="s">
        <v>5392</v>
      </c>
      <c r="F1321" s="2" t="str">
        <f>"0448425009"</f>
        <v>0448425009</v>
      </c>
      <c r="G1321" s="2" t="str">
        <f>"9780448425009"</f>
        <v>9780448425009</v>
      </c>
      <c r="H1321" s="1" t="s">
        <v>2014</v>
      </c>
      <c r="I1321" s="1" t="s">
        <v>36</v>
      </c>
      <c r="J1321" s="1">
        <v>32.0</v>
      </c>
      <c r="K1321" s="1">
        <v>2001.0</v>
      </c>
      <c r="L1321" s="1">
        <v>2001.0</v>
      </c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 t="s">
        <v>3979</v>
      </c>
      <c r="Y1321" s="1" t="s">
        <v>5393</v>
      </c>
    </row>
    <row r="1322">
      <c r="A1322" s="1">
        <v>2792845.0</v>
      </c>
      <c r="B1322" s="1" t="s">
        <v>5394</v>
      </c>
      <c r="C1322" s="1" t="s">
        <v>5395</v>
      </c>
      <c r="D1322" s="1" t="s">
        <v>5396</v>
      </c>
      <c r="F1322" s="2" t="str">
        <f>"0836865839"</f>
        <v>0836865839</v>
      </c>
      <c r="G1322" s="2" t="str">
        <f>"9780836865837"</f>
        <v>9780836865837</v>
      </c>
      <c r="H1322" s="1" t="s">
        <v>1284</v>
      </c>
      <c r="I1322" s="1" t="s">
        <v>36</v>
      </c>
      <c r="J1322" s="1">
        <v>32.0</v>
      </c>
      <c r="K1322" s="1">
        <v>2006.0</v>
      </c>
      <c r="L1322" s="1">
        <v>2006.0</v>
      </c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 t="s">
        <v>61</v>
      </c>
      <c r="Y1322" s="1" t="s">
        <v>5397</v>
      </c>
    </row>
    <row r="1323">
      <c r="A1323" s="1">
        <v>1.1830763E7</v>
      </c>
      <c r="B1323" s="1" t="s">
        <v>5398</v>
      </c>
      <c r="C1323" s="1" t="s">
        <v>5399</v>
      </c>
      <c r="D1323" s="1" t="s">
        <v>5400</v>
      </c>
      <c r="E1323" s="1" t="s">
        <v>2416</v>
      </c>
      <c r="F1323" s="2" t="str">
        <f>"1846861748"</f>
        <v>1846861748</v>
      </c>
      <c r="G1323" s="2" t="str">
        <f>"9781846861741"</f>
        <v>9781846861741</v>
      </c>
      <c r="H1323" s="1" t="s">
        <v>5401</v>
      </c>
      <c r="I1323" s="1" t="s">
        <v>31</v>
      </c>
      <c r="J1323" s="1">
        <v>32.0</v>
      </c>
      <c r="K1323" s="1">
        <v>2011.0</v>
      </c>
      <c r="L1323" s="1">
        <v>2011.0</v>
      </c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 t="s">
        <v>61</v>
      </c>
      <c r="Y1323" s="1" t="s">
        <v>5402</v>
      </c>
    </row>
    <row r="1324">
      <c r="A1324" s="1">
        <v>832628.0</v>
      </c>
      <c r="B1324" s="1" t="s">
        <v>5403</v>
      </c>
      <c r="C1324" s="1" t="s">
        <v>5404</v>
      </c>
      <c r="D1324" s="1" t="s">
        <v>5405</v>
      </c>
      <c r="E1324" s="1" t="s">
        <v>5406</v>
      </c>
      <c r="F1324" s="2" t="str">
        <f>"0525472606"</f>
        <v>0525472606</v>
      </c>
      <c r="G1324" s="2" t="str">
        <f>"9780525472605"</f>
        <v>9780525472605</v>
      </c>
      <c r="H1324" s="1" t="s">
        <v>79</v>
      </c>
      <c r="I1324" s="1" t="s">
        <v>31</v>
      </c>
      <c r="J1324" s="1">
        <v>32.0</v>
      </c>
      <c r="K1324" s="1">
        <v>2005.0</v>
      </c>
      <c r="L1324" s="1">
        <v>2004.0</v>
      </c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 t="s">
        <v>863</v>
      </c>
      <c r="Y1324" s="1" t="s">
        <v>5407</v>
      </c>
    </row>
    <row r="1325">
      <c r="A1325" s="1">
        <v>285722.0</v>
      </c>
      <c r="B1325" s="1" t="s">
        <v>5408</v>
      </c>
      <c r="C1325" s="1" t="s">
        <v>1137</v>
      </c>
      <c r="D1325" s="1" t="s">
        <v>1138</v>
      </c>
      <c r="F1325" s="2" t="str">
        <f>"0859537161"</f>
        <v>0859537161</v>
      </c>
      <c r="G1325" s="2" t="str">
        <f>"9780859537162"</f>
        <v>9780859537162</v>
      </c>
      <c r="H1325" s="1" t="s">
        <v>5409</v>
      </c>
      <c r="I1325" s="1" t="s">
        <v>36</v>
      </c>
      <c r="J1325" s="1">
        <v>32.0</v>
      </c>
      <c r="K1325" s="1">
        <v>2003.0</v>
      </c>
      <c r="L1325" s="1">
        <v>1981.0</v>
      </c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 t="s">
        <v>3388</v>
      </c>
      <c r="Y1325" s="1" t="s">
        <v>5410</v>
      </c>
    </row>
    <row r="1326">
      <c r="A1326" s="1">
        <v>2691675.0</v>
      </c>
      <c r="B1326" s="1" t="s">
        <v>5411</v>
      </c>
      <c r="C1326" s="1" t="s">
        <v>5412</v>
      </c>
      <c r="D1326" s="1" t="s">
        <v>5413</v>
      </c>
      <c r="E1326" s="1" t="s">
        <v>5414</v>
      </c>
      <c r="F1326" s="2" t="str">
        <f>"0689805039"</f>
        <v>0689805039</v>
      </c>
      <c r="G1326" s="2" t="str">
        <f>"9780689805035"</f>
        <v>9780689805035</v>
      </c>
      <c r="H1326" s="1" t="s">
        <v>4322</v>
      </c>
      <c r="I1326" s="1" t="s">
        <v>31</v>
      </c>
      <c r="J1326" s="1">
        <v>32.0</v>
      </c>
      <c r="K1326" s="1">
        <v>1996.0</v>
      </c>
      <c r="L1326" s="1">
        <v>1996.0</v>
      </c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 t="s">
        <v>742</v>
      </c>
      <c r="Y1326" s="1" t="s">
        <v>5415</v>
      </c>
    </row>
    <row r="1327">
      <c r="A1327" s="1">
        <v>3.7506301E7</v>
      </c>
      <c r="B1327" s="1" t="s">
        <v>5416</v>
      </c>
      <c r="C1327" s="1" t="s">
        <v>5417</v>
      </c>
      <c r="D1327" s="1" t="s">
        <v>5418</v>
      </c>
      <c r="E1327" s="1" t="s">
        <v>4060</v>
      </c>
      <c r="F1327" s="2" t="str">
        <f>"0399246533"</f>
        <v>0399246533</v>
      </c>
      <c r="G1327" s="2" t="str">
        <f>"9780399246531"</f>
        <v>9780399246531</v>
      </c>
      <c r="H1327" s="1" t="s">
        <v>2418</v>
      </c>
      <c r="I1327" s="1" t="s">
        <v>31</v>
      </c>
      <c r="J1327" s="1">
        <v>32.0</v>
      </c>
      <c r="K1327" s="1">
        <v>2018.0</v>
      </c>
      <c r="L1327" s="1">
        <v>2018.0</v>
      </c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 t="s">
        <v>1024</v>
      </c>
      <c r="Y1327" s="1" t="s">
        <v>5419</v>
      </c>
    </row>
    <row r="1328">
      <c r="A1328" s="1">
        <v>1.8903012E7</v>
      </c>
      <c r="B1328" s="1" t="s">
        <v>5420</v>
      </c>
      <c r="C1328" s="1" t="s">
        <v>5421</v>
      </c>
      <c r="D1328" s="1" t="s">
        <v>5422</v>
      </c>
      <c r="E1328" s="1" t="s">
        <v>5423</v>
      </c>
      <c r="F1328" s="2" t="str">
        <f>"0307981215"</f>
        <v>0307981215</v>
      </c>
      <c r="G1328" s="2" t="str">
        <f>"9780307981219"</f>
        <v>9780307981219</v>
      </c>
      <c r="H1328" s="1" t="s">
        <v>156</v>
      </c>
      <c r="I1328" s="1" t="s">
        <v>238</v>
      </c>
      <c r="J1328" s="1">
        <v>32.0</v>
      </c>
      <c r="K1328" s="1">
        <v>2013.0</v>
      </c>
      <c r="L1328" s="1">
        <v>2013.0</v>
      </c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 t="s">
        <v>83</v>
      </c>
      <c r="Y1328" s="1" t="s">
        <v>5424</v>
      </c>
    </row>
    <row r="1329">
      <c r="A1329" s="1">
        <v>1.6127296E7</v>
      </c>
      <c r="B1329" s="1" t="s">
        <v>5425</v>
      </c>
      <c r="C1329" s="1" t="s">
        <v>5426</v>
      </c>
      <c r="D1329" s="1" t="s">
        <v>5427</v>
      </c>
      <c r="E1329" s="1" t="s">
        <v>5428</v>
      </c>
      <c r="F1329" s="2" t="str">
        <f>"1849395640"</f>
        <v>1849395640</v>
      </c>
      <c r="G1329" s="2" t="str">
        <f>"9781849395649"</f>
        <v>9781849395649</v>
      </c>
      <c r="H1329" s="1" t="s">
        <v>5429</v>
      </c>
      <c r="I1329" s="1" t="s">
        <v>31</v>
      </c>
      <c r="J1329" s="1">
        <v>32.0</v>
      </c>
      <c r="K1329" s="1">
        <v>2014.0</v>
      </c>
      <c r="L1329" s="1">
        <v>2013.0</v>
      </c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 t="s">
        <v>754</v>
      </c>
      <c r="Y1329" s="1" t="s">
        <v>5430</v>
      </c>
    </row>
    <row r="1330">
      <c r="A1330" s="1">
        <v>5.9806075E7</v>
      </c>
      <c r="B1330" s="1" t="s">
        <v>5431</v>
      </c>
      <c r="C1330" s="1" t="s">
        <v>5432</v>
      </c>
      <c r="D1330" s="1" t="s">
        <v>5433</v>
      </c>
      <c r="E1330" s="1" t="s">
        <v>5434</v>
      </c>
      <c r="F1330" s="2" t="str">
        <f>"1338781405"</f>
        <v>1338781405</v>
      </c>
      <c r="G1330" s="2" t="str">
        <f>"9781338781403"</f>
        <v>9781338781403</v>
      </c>
      <c r="H1330" s="1" t="s">
        <v>817</v>
      </c>
      <c r="I1330" s="1" t="s">
        <v>36</v>
      </c>
      <c r="J1330" s="1">
        <v>32.0</v>
      </c>
      <c r="K1330" s="1">
        <v>2022.0</v>
      </c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 t="s">
        <v>5435</v>
      </c>
      <c r="Y1330" s="1" t="s">
        <v>5436</v>
      </c>
    </row>
    <row r="1331">
      <c r="A1331" s="1">
        <v>228696.0</v>
      </c>
      <c r="B1331" s="1" t="s">
        <v>5437</v>
      </c>
      <c r="C1331" s="1" t="s">
        <v>2229</v>
      </c>
      <c r="D1331" s="1" t="s">
        <v>2230</v>
      </c>
      <c r="E1331" s="1" t="s">
        <v>5438</v>
      </c>
      <c r="F1331" s="2" t="str">
        <f>"0399214577"</f>
        <v>0399214577</v>
      </c>
      <c r="G1331" s="2" t="str">
        <f>"9780399214578"</f>
        <v>9780399214578</v>
      </c>
      <c r="H1331" s="1" t="s">
        <v>2253</v>
      </c>
      <c r="I1331" s="1" t="s">
        <v>31</v>
      </c>
      <c r="J1331" s="1">
        <v>32.0</v>
      </c>
      <c r="K1331" s="1">
        <v>1987.0</v>
      </c>
      <c r="L1331" s="1">
        <v>1987.0</v>
      </c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 t="s">
        <v>1317</v>
      </c>
      <c r="Y1331" s="1" t="s">
        <v>5439</v>
      </c>
    </row>
    <row r="1332">
      <c r="A1332" s="1">
        <v>345985.0</v>
      </c>
      <c r="B1332" s="1" t="s">
        <v>5440</v>
      </c>
      <c r="C1332" s="1" t="s">
        <v>2229</v>
      </c>
      <c r="D1332" s="1" t="s">
        <v>2230</v>
      </c>
      <c r="E1332" s="1" t="s">
        <v>5441</v>
      </c>
      <c r="F1332" s="2" t="str">
        <f>"0060285389"</f>
        <v>0060285389</v>
      </c>
      <c r="G1332" s="2" t="str">
        <f>"9780060285388"</f>
        <v>9780060285388</v>
      </c>
      <c r="H1332" s="1" t="s">
        <v>263</v>
      </c>
      <c r="I1332" s="1" t="s">
        <v>31</v>
      </c>
      <c r="J1332" s="1">
        <v>32.0</v>
      </c>
      <c r="K1332" s="1">
        <v>2002.0</v>
      </c>
      <c r="L1332" s="1">
        <v>2002.0</v>
      </c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 t="s">
        <v>412</v>
      </c>
      <c r="Y1332" s="1" t="s">
        <v>5442</v>
      </c>
    </row>
    <row r="1333">
      <c r="A1333" s="1">
        <v>1103109.0</v>
      </c>
      <c r="B1333" s="1" t="s">
        <v>5443</v>
      </c>
      <c r="C1333" s="1" t="s">
        <v>2229</v>
      </c>
      <c r="D1333" s="1" t="s">
        <v>2230</v>
      </c>
      <c r="E1333" s="1" t="s">
        <v>5444</v>
      </c>
      <c r="F1333" s="2" t="str">
        <f>"0060815604"</f>
        <v>0060815604</v>
      </c>
      <c r="G1333" s="2" t="str">
        <f>"9780060815608"</f>
        <v>9780060815608</v>
      </c>
      <c r="H1333" s="1" t="s">
        <v>290</v>
      </c>
      <c r="I1333" s="1" t="s">
        <v>31</v>
      </c>
      <c r="J1333" s="1">
        <v>32.0</v>
      </c>
      <c r="K1333" s="1">
        <v>2007.0</v>
      </c>
      <c r="L1333" s="1">
        <v>2007.0</v>
      </c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 t="s">
        <v>68</v>
      </c>
      <c r="Y1333" s="1" t="s">
        <v>5445</v>
      </c>
    </row>
    <row r="1334">
      <c r="A1334" s="1">
        <v>5.2539492E7</v>
      </c>
      <c r="B1334" s="1" t="s">
        <v>5446</v>
      </c>
      <c r="C1334" s="1" t="s">
        <v>5447</v>
      </c>
      <c r="D1334" s="1" t="s">
        <v>5448</v>
      </c>
      <c r="E1334" s="1" t="s">
        <v>5449</v>
      </c>
      <c r="F1334" s="2" t="str">
        <f>"168263129X"</f>
        <v>168263129X</v>
      </c>
      <c r="G1334" s="2" t="str">
        <f>"9781682631294"</f>
        <v>9781682631294</v>
      </c>
      <c r="H1334" s="1" t="s">
        <v>5450</v>
      </c>
      <c r="I1334" s="1" t="s">
        <v>31</v>
      </c>
      <c r="J1334" s="1">
        <v>32.0</v>
      </c>
      <c r="K1334" s="1">
        <v>2020.0</v>
      </c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 t="s">
        <v>742</v>
      </c>
      <c r="Y1334" s="1" t="s">
        <v>5451</v>
      </c>
    </row>
    <row r="1335">
      <c r="A1335" s="1">
        <v>4.5730161E7</v>
      </c>
      <c r="B1335" s="1" t="s">
        <v>5452</v>
      </c>
      <c r="C1335" s="1" t="s">
        <v>3730</v>
      </c>
      <c r="D1335" s="1" t="s">
        <v>3731</v>
      </c>
      <c r="E1335" s="1" t="s">
        <v>3736</v>
      </c>
      <c r="F1335" s="2" t="str">
        <f>"0062954520"</f>
        <v>0062954520</v>
      </c>
      <c r="G1335" s="2" t="str">
        <f>"9780062954527"</f>
        <v>9780062954527</v>
      </c>
      <c r="H1335" s="1" t="s">
        <v>290</v>
      </c>
      <c r="I1335" s="1" t="s">
        <v>31</v>
      </c>
      <c r="J1335" s="1">
        <v>33.0</v>
      </c>
      <c r="K1335" s="1">
        <v>2019.0</v>
      </c>
      <c r="L1335" s="1">
        <v>2019.0</v>
      </c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 t="s">
        <v>1466</v>
      </c>
      <c r="Y1335" s="1" t="s">
        <v>5453</v>
      </c>
    </row>
    <row r="1336">
      <c r="A1336" s="1">
        <v>1.8373754E7</v>
      </c>
      <c r="B1336" s="1" t="s">
        <v>5454</v>
      </c>
      <c r="C1336" s="1" t="s">
        <v>1719</v>
      </c>
      <c r="D1336" s="1" t="s">
        <v>1720</v>
      </c>
      <c r="F1336" s="2" t="str">
        <f t="shared" ref="F1336:G1336" si="94">""</f>
        <v/>
      </c>
      <c r="G1336" s="2" t="str">
        <f t="shared" si="94"/>
        <v/>
      </c>
      <c r="H1336" s="1" t="s">
        <v>5455</v>
      </c>
      <c r="I1336" s="1" t="s">
        <v>36</v>
      </c>
      <c r="J1336" s="1">
        <v>33.0</v>
      </c>
      <c r="K1336" s="1">
        <v>2009.0</v>
      </c>
      <c r="L1336" s="1">
        <v>2009.0</v>
      </c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 t="s">
        <v>1084</v>
      </c>
      <c r="Y1336" s="1" t="s">
        <v>5456</v>
      </c>
    </row>
    <row r="1337">
      <c r="A1337" s="1">
        <v>2.5562617E7</v>
      </c>
      <c r="B1337" s="1" t="s">
        <v>5457</v>
      </c>
      <c r="C1337" s="1" t="s">
        <v>1908</v>
      </c>
      <c r="D1337" s="1" t="s">
        <v>1909</v>
      </c>
      <c r="F1337" s="2" t="str">
        <f>"0316264865"</f>
        <v>0316264865</v>
      </c>
      <c r="G1337" s="2" t="str">
        <f>"9780316264860"</f>
        <v>9780316264860</v>
      </c>
      <c r="H1337" s="1" t="s">
        <v>5458</v>
      </c>
      <c r="I1337" s="1" t="s">
        <v>238</v>
      </c>
      <c r="J1337" s="1">
        <v>33.0</v>
      </c>
      <c r="K1337" s="1">
        <v>2015.0</v>
      </c>
      <c r="L1337" s="1">
        <v>2015.0</v>
      </c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 t="s">
        <v>83</v>
      </c>
      <c r="Y1337" s="1" t="s">
        <v>5459</v>
      </c>
    </row>
    <row r="1338">
      <c r="A1338" s="1">
        <v>5.0970153E7</v>
      </c>
      <c r="B1338" s="1" t="s">
        <v>5460</v>
      </c>
      <c r="C1338" s="1" t="s">
        <v>687</v>
      </c>
      <c r="D1338" s="1" t="s">
        <v>688</v>
      </c>
      <c r="E1338" s="1" t="s">
        <v>5461</v>
      </c>
      <c r="F1338" s="2" t="str">
        <f>"0977408450"</f>
        <v>0977408450</v>
      </c>
      <c r="G1338" s="2" t="str">
        <f>"9780977408450"</f>
        <v>9780977408450</v>
      </c>
      <c r="H1338" s="1" t="s">
        <v>627</v>
      </c>
      <c r="I1338" s="1" t="s">
        <v>31</v>
      </c>
      <c r="J1338" s="1">
        <v>33.0</v>
      </c>
      <c r="K1338" s="1">
        <v>2005.0</v>
      </c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 t="s">
        <v>629</v>
      </c>
      <c r="Y1338" s="1" t="s">
        <v>5462</v>
      </c>
    </row>
    <row r="1339">
      <c r="A1339" s="1">
        <v>833550.0</v>
      </c>
      <c r="B1339" s="1" t="s">
        <v>5463</v>
      </c>
      <c r="C1339" s="1" t="s">
        <v>2180</v>
      </c>
      <c r="D1339" s="1" t="s">
        <v>2181</v>
      </c>
      <c r="E1339" s="1" t="s">
        <v>2182</v>
      </c>
      <c r="F1339" s="2" t="str">
        <f>"067088278X"</f>
        <v>067088278X</v>
      </c>
      <c r="G1339" s="2" t="str">
        <f>"9780670882786"</f>
        <v>9780670882786</v>
      </c>
      <c r="H1339" s="1" t="s">
        <v>753</v>
      </c>
      <c r="I1339" s="1" t="s">
        <v>779</v>
      </c>
      <c r="J1339" s="1">
        <v>34.0</v>
      </c>
      <c r="K1339" s="1">
        <v>1999.0</v>
      </c>
      <c r="L1339" s="1">
        <v>1978.0</v>
      </c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 t="s">
        <v>1317</v>
      </c>
      <c r="Y1339" s="1" t="s">
        <v>5464</v>
      </c>
    </row>
    <row r="1340">
      <c r="A1340" s="1">
        <v>3.2181661E7</v>
      </c>
      <c r="B1340" s="1" t="s">
        <v>5465</v>
      </c>
      <c r="C1340" s="1" t="s">
        <v>5466</v>
      </c>
      <c r="D1340" s="1" t="s">
        <v>5467</v>
      </c>
      <c r="E1340" s="1" t="s">
        <v>5468</v>
      </c>
      <c r="F1340" s="2" t="str">
        <f>"148147250X"</f>
        <v>148147250X</v>
      </c>
      <c r="G1340" s="2" t="str">
        <f>"9781481472500"</f>
        <v>9781481472500</v>
      </c>
      <c r="H1340" s="1" t="s">
        <v>5469</v>
      </c>
      <c r="I1340" s="1" t="s">
        <v>31</v>
      </c>
      <c r="J1340" s="1">
        <v>34.0</v>
      </c>
      <c r="K1340" s="1">
        <v>2017.0</v>
      </c>
      <c r="L1340" s="1">
        <v>2017.0</v>
      </c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 t="s">
        <v>1235</v>
      </c>
      <c r="Y1340" s="1" t="s">
        <v>5470</v>
      </c>
    </row>
    <row r="1341">
      <c r="A1341" s="1">
        <v>364063.0</v>
      </c>
      <c r="B1341" s="1" t="s">
        <v>5471</v>
      </c>
      <c r="C1341" s="1" t="s">
        <v>1021</v>
      </c>
      <c r="D1341" s="1" t="s">
        <v>1022</v>
      </c>
      <c r="F1341" s="2" t="str">
        <f>"0007202423"</f>
        <v>0007202423</v>
      </c>
      <c r="G1341" s="2" t="str">
        <f>"9780007202423"</f>
        <v>9780007202423</v>
      </c>
      <c r="I1341" s="1" t="s">
        <v>31</v>
      </c>
      <c r="J1341" s="1">
        <v>34.0</v>
      </c>
      <c r="K1341" s="1">
        <v>2005.0</v>
      </c>
      <c r="L1341" s="1">
        <v>2005.0</v>
      </c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 t="s">
        <v>5472</v>
      </c>
      <c r="Y1341" s="1" t="s">
        <v>5473</v>
      </c>
    </row>
    <row r="1342">
      <c r="A1342" s="1">
        <v>1.9215495E7</v>
      </c>
      <c r="B1342" s="1" t="s">
        <v>5474</v>
      </c>
      <c r="C1342" s="1" t="s">
        <v>5475</v>
      </c>
      <c r="D1342" s="1" t="s">
        <v>5476</v>
      </c>
      <c r="E1342" s="1" t="s">
        <v>5477</v>
      </c>
      <c r="F1342" s="2" t="str">
        <f>"1401920748"</f>
        <v>1401920748</v>
      </c>
      <c r="G1342" s="2" t="str">
        <f>""</f>
        <v/>
      </c>
      <c r="H1342" s="1" t="s">
        <v>5478</v>
      </c>
      <c r="I1342" s="1" t="s">
        <v>238</v>
      </c>
      <c r="J1342" s="1">
        <v>34.0</v>
      </c>
      <c r="K1342" s="1">
        <v>2007.0</v>
      </c>
      <c r="L1342" s="1">
        <v>2005.0</v>
      </c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 t="s">
        <v>1466</v>
      </c>
      <c r="Y1342" s="1" t="s">
        <v>5479</v>
      </c>
    </row>
    <row r="1343">
      <c r="A1343" s="1">
        <v>349129.0</v>
      </c>
      <c r="B1343" s="1" t="s">
        <v>5480</v>
      </c>
      <c r="C1343" s="1" t="s">
        <v>5481</v>
      </c>
      <c r="D1343" s="1" t="s">
        <v>5482</v>
      </c>
      <c r="F1343" s="2" t="str">
        <f>"0439700418"</f>
        <v>0439700418</v>
      </c>
      <c r="G1343" s="2" t="str">
        <f>"9780439700412"</f>
        <v>9780439700412</v>
      </c>
      <c r="H1343" s="1" t="s">
        <v>817</v>
      </c>
      <c r="I1343" s="1" t="s">
        <v>31</v>
      </c>
      <c r="J1343" s="1">
        <v>34.0</v>
      </c>
      <c r="K1343" s="1">
        <v>2003.0</v>
      </c>
      <c r="L1343" s="1">
        <v>2003.0</v>
      </c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 t="s">
        <v>510</v>
      </c>
      <c r="Y1343" s="1" t="s">
        <v>5483</v>
      </c>
    </row>
    <row r="1344">
      <c r="A1344" s="1">
        <v>3.0618858E7</v>
      </c>
      <c r="B1344" s="1" t="s">
        <v>5484</v>
      </c>
      <c r="C1344" s="1" t="s">
        <v>5485</v>
      </c>
      <c r="D1344" s="1" t="s">
        <v>5486</v>
      </c>
      <c r="F1344" s="2" t="str">
        <f>"1683040910"</f>
        <v>1683040910</v>
      </c>
      <c r="G1344" s="2" t="str">
        <f>"9781683040910"</f>
        <v>9781683040910</v>
      </c>
      <c r="H1344" s="1" t="s">
        <v>5487</v>
      </c>
      <c r="I1344" s="1" t="s">
        <v>36</v>
      </c>
      <c r="J1344" s="1">
        <v>34.0</v>
      </c>
      <c r="K1344" s="1">
        <v>2016.0</v>
      </c>
      <c r="L1344" s="1">
        <v>1988.0</v>
      </c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 t="s">
        <v>61</v>
      </c>
      <c r="Y1344" s="1" t="s">
        <v>5488</v>
      </c>
    </row>
    <row r="1345">
      <c r="A1345" s="1">
        <v>5.3327864E7</v>
      </c>
      <c r="B1345" s="1" t="s">
        <v>5489</v>
      </c>
      <c r="C1345" s="1" t="s">
        <v>5490</v>
      </c>
      <c r="D1345" s="1" t="s">
        <v>5491</v>
      </c>
      <c r="E1345" s="1" t="s">
        <v>5492</v>
      </c>
      <c r="F1345" s="2" t="str">
        <f>"0062915622"</f>
        <v>0062915622</v>
      </c>
      <c r="G1345" s="2" t="str">
        <f>"9780062915627"</f>
        <v>9780062915627</v>
      </c>
      <c r="H1345" s="1" t="s">
        <v>290</v>
      </c>
      <c r="I1345" s="1" t="s">
        <v>31</v>
      </c>
      <c r="J1345" s="1">
        <v>34.0</v>
      </c>
      <c r="K1345" s="1">
        <v>2021.0</v>
      </c>
      <c r="L1345" s="1">
        <v>2021.0</v>
      </c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 t="s">
        <v>1024</v>
      </c>
      <c r="Y1345" s="1" t="s">
        <v>5493</v>
      </c>
    </row>
    <row r="1346">
      <c r="A1346" s="1">
        <v>859037.0</v>
      </c>
      <c r="B1346" s="1" t="s">
        <v>5494</v>
      </c>
      <c r="C1346" s="1" t="s">
        <v>5495</v>
      </c>
      <c r="D1346" s="1" t="s">
        <v>5496</v>
      </c>
      <c r="F1346" s="2" t="str">
        <f>"0811811212"</f>
        <v>0811811212</v>
      </c>
      <c r="G1346" s="2" t="str">
        <f>"9780811811217"</f>
        <v>9780811811217</v>
      </c>
      <c r="H1346" s="1" t="s">
        <v>1593</v>
      </c>
      <c r="I1346" s="1" t="s">
        <v>31</v>
      </c>
      <c r="J1346" s="1">
        <v>34.0</v>
      </c>
      <c r="K1346" s="1">
        <v>1998.0</v>
      </c>
      <c r="L1346" s="1">
        <v>1998.0</v>
      </c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 t="s">
        <v>510</v>
      </c>
      <c r="Y1346" s="1" t="s">
        <v>5497</v>
      </c>
    </row>
    <row r="1347">
      <c r="A1347" s="1">
        <v>1.3624074E7</v>
      </c>
      <c r="B1347" s="1" t="s">
        <v>5498</v>
      </c>
      <c r="C1347" s="1" t="s">
        <v>5499</v>
      </c>
      <c r="D1347" s="1" t="s">
        <v>5500</v>
      </c>
      <c r="E1347" s="1" t="s">
        <v>1059</v>
      </c>
      <c r="F1347" s="2" t="str">
        <f>"0062110632"</f>
        <v>0062110632</v>
      </c>
      <c r="G1347" s="2" t="str">
        <f>"9780062110633"</f>
        <v>9780062110633</v>
      </c>
      <c r="H1347" s="1" t="s">
        <v>5501</v>
      </c>
      <c r="I1347" s="1" t="s">
        <v>36</v>
      </c>
      <c r="J1347" s="1">
        <v>34.0</v>
      </c>
      <c r="K1347" s="1">
        <v>2012.0</v>
      </c>
      <c r="L1347" s="1">
        <v>2012.0</v>
      </c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 t="s">
        <v>863</v>
      </c>
      <c r="Y1347" s="1" t="s">
        <v>5502</v>
      </c>
    </row>
    <row r="1348">
      <c r="A1348" s="1">
        <v>4.1716685E7</v>
      </c>
      <c r="B1348" s="1" t="s">
        <v>5503</v>
      </c>
      <c r="C1348" s="1" t="s">
        <v>5504</v>
      </c>
      <c r="D1348" s="1" t="s">
        <v>5505</v>
      </c>
      <c r="E1348" s="1" t="s">
        <v>5506</v>
      </c>
      <c r="F1348" s="2" t="str">
        <f>"0062839934"</f>
        <v>0062839934</v>
      </c>
      <c r="G1348" s="2" t="str">
        <f>"9780062839930"</f>
        <v>9780062839930</v>
      </c>
      <c r="H1348" s="1" t="s">
        <v>290</v>
      </c>
      <c r="I1348" s="1" t="s">
        <v>31</v>
      </c>
      <c r="J1348" s="1">
        <v>34.0</v>
      </c>
      <c r="K1348" s="1">
        <v>2019.0</v>
      </c>
      <c r="L1348" s="1">
        <v>2019.0</v>
      </c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 t="s">
        <v>74</v>
      </c>
      <c r="Y1348" s="1" t="s">
        <v>5507</v>
      </c>
    </row>
    <row r="1349">
      <c r="A1349" s="1">
        <v>1232674.0</v>
      </c>
      <c r="B1349" s="1" t="s">
        <v>5508</v>
      </c>
      <c r="C1349" s="1" t="s">
        <v>5509</v>
      </c>
      <c r="D1349" s="1" t="s">
        <v>5510</v>
      </c>
      <c r="E1349" s="1" t="s">
        <v>5511</v>
      </c>
      <c r="F1349" s="2" t="str">
        <f>"8420430501"</f>
        <v>8420430501</v>
      </c>
      <c r="G1349" s="2" t="str">
        <f>"9788420430508"</f>
        <v>9788420430508</v>
      </c>
      <c r="H1349" s="1" t="s">
        <v>5512</v>
      </c>
      <c r="I1349" s="1" t="s">
        <v>36</v>
      </c>
      <c r="J1349" s="1">
        <v>34.0</v>
      </c>
      <c r="K1349" s="1">
        <v>1998.0</v>
      </c>
      <c r="L1349" s="1">
        <v>1968.0</v>
      </c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 t="s">
        <v>716</v>
      </c>
      <c r="Y1349" s="1" t="s">
        <v>5513</v>
      </c>
    </row>
    <row r="1350">
      <c r="A1350" s="1">
        <v>77397.0</v>
      </c>
      <c r="B1350" s="1" t="s">
        <v>4740</v>
      </c>
      <c r="C1350" s="1" t="s">
        <v>5514</v>
      </c>
      <c r="D1350" s="1" t="s">
        <v>5515</v>
      </c>
      <c r="E1350" s="1" t="s">
        <v>5516</v>
      </c>
      <c r="F1350" s="2" t="str">
        <f>"0060081600"</f>
        <v>0060081600</v>
      </c>
      <c r="G1350" s="2" t="str">
        <f>"9780060081607"</f>
        <v>9780060081607</v>
      </c>
      <c r="H1350" s="1" t="s">
        <v>290</v>
      </c>
      <c r="I1350" s="1" t="s">
        <v>31</v>
      </c>
      <c r="J1350" s="1">
        <v>34.0</v>
      </c>
      <c r="K1350" s="1">
        <v>2002.0</v>
      </c>
      <c r="L1350" s="1">
        <v>1823.0</v>
      </c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 t="s">
        <v>5517</v>
      </c>
      <c r="Y1350" s="1" t="s">
        <v>5518</v>
      </c>
    </row>
    <row r="1351">
      <c r="A1351" s="1">
        <v>103814.0</v>
      </c>
      <c r="B1351" s="1" t="s">
        <v>5519</v>
      </c>
      <c r="C1351" s="1" t="s">
        <v>5520</v>
      </c>
      <c r="D1351" s="1" t="s">
        <v>5521</v>
      </c>
      <c r="F1351" s="2" t="str">
        <f>"081182778X"</f>
        <v>081182778X</v>
      </c>
      <c r="G1351" s="2" t="str">
        <f>"9780811827782"</f>
        <v>9780811827782</v>
      </c>
      <c r="H1351" s="1" t="s">
        <v>1593</v>
      </c>
      <c r="I1351" s="1" t="s">
        <v>31</v>
      </c>
      <c r="J1351" s="1">
        <v>34.0</v>
      </c>
      <c r="K1351" s="1">
        <v>2000.0</v>
      </c>
      <c r="L1351" s="1">
        <v>2000.0</v>
      </c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 t="s">
        <v>5522</v>
      </c>
      <c r="Y1351" s="1" t="s">
        <v>5523</v>
      </c>
    </row>
    <row r="1352">
      <c r="A1352" s="1">
        <v>5.7770608E7</v>
      </c>
      <c r="B1352" s="1" t="s">
        <v>5524</v>
      </c>
      <c r="C1352" s="1" t="s">
        <v>5525</v>
      </c>
      <c r="D1352" s="1" t="s">
        <v>5526</v>
      </c>
      <c r="E1352" s="1" t="s">
        <v>5527</v>
      </c>
      <c r="F1352" s="2" t="str">
        <f>"1876965118"</f>
        <v>1876965118</v>
      </c>
      <c r="G1352" s="2" t="str">
        <f>"9781876965112"</f>
        <v>9781876965112</v>
      </c>
      <c r="H1352" s="1" t="s">
        <v>5528</v>
      </c>
      <c r="I1352" s="1" t="s">
        <v>36</v>
      </c>
      <c r="J1352" s="1">
        <v>34.0</v>
      </c>
      <c r="K1352" s="1">
        <v>2020.0</v>
      </c>
      <c r="L1352" s="1">
        <v>1991.0</v>
      </c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 t="s">
        <v>68</v>
      </c>
      <c r="Y1352" s="1" t="s">
        <v>5529</v>
      </c>
    </row>
    <row r="1353">
      <c r="A1353" s="1">
        <v>3.6959642E7</v>
      </c>
      <c r="B1353" s="1" t="s">
        <v>5530</v>
      </c>
      <c r="C1353" s="1" t="s">
        <v>5531</v>
      </c>
      <c r="D1353" s="1" t="s">
        <v>5532</v>
      </c>
      <c r="E1353" s="1" t="s">
        <v>5533</v>
      </c>
      <c r="F1353" s="2" t="str">
        <f>"0525579648"</f>
        <v>0525579648</v>
      </c>
      <c r="G1353" s="2" t="str">
        <f>"9780525579649"</f>
        <v>9780525579649</v>
      </c>
      <c r="H1353" s="1" t="s">
        <v>3211</v>
      </c>
      <c r="I1353" s="1" t="s">
        <v>31</v>
      </c>
      <c r="J1353" s="1">
        <v>34.0</v>
      </c>
      <c r="K1353" s="1">
        <v>2018.0</v>
      </c>
      <c r="L1353" s="1">
        <v>2018.0</v>
      </c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 t="s">
        <v>1024</v>
      </c>
      <c r="Y1353" s="1" t="s">
        <v>5534</v>
      </c>
    </row>
    <row r="1354">
      <c r="A1354" s="1">
        <v>2.5961891E7</v>
      </c>
      <c r="B1354" s="1" t="s">
        <v>5535</v>
      </c>
      <c r="C1354" s="1" t="s">
        <v>5536</v>
      </c>
      <c r="D1354" s="1" t="s">
        <v>5537</v>
      </c>
      <c r="E1354" s="1" t="s">
        <v>5538</v>
      </c>
      <c r="F1354" s="2" t="str">
        <f>"149140969X"</f>
        <v>149140969X</v>
      </c>
      <c r="G1354" s="2" t="str">
        <f>"9781491409695"</f>
        <v>9781491409695</v>
      </c>
      <c r="H1354" s="1" t="s">
        <v>1427</v>
      </c>
      <c r="I1354" s="1" t="s">
        <v>238</v>
      </c>
      <c r="J1354" s="1">
        <v>34.0</v>
      </c>
      <c r="K1354" s="1">
        <v>2014.0</v>
      </c>
      <c r="L1354" s="1">
        <v>2013.0</v>
      </c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 t="s">
        <v>2238</v>
      </c>
      <c r="Y1354" s="1" t="s">
        <v>5539</v>
      </c>
    </row>
    <row r="1355">
      <c r="A1355" s="1">
        <v>3.8401236E7</v>
      </c>
      <c r="B1355" s="1" t="s">
        <v>5540</v>
      </c>
      <c r="C1355" s="1" t="s">
        <v>5541</v>
      </c>
      <c r="D1355" s="1" t="s">
        <v>5542</v>
      </c>
      <c r="F1355" s="2" t="str">
        <f>"1545623732"</f>
        <v>1545623732</v>
      </c>
      <c r="G1355" s="2" t="str">
        <f>"9781545623732"</f>
        <v>9781545623732</v>
      </c>
      <c r="H1355" s="1" t="s">
        <v>5543</v>
      </c>
      <c r="I1355" s="1" t="s">
        <v>31</v>
      </c>
      <c r="J1355" s="1">
        <v>34.0</v>
      </c>
      <c r="K1355" s="1">
        <v>2018.0</v>
      </c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 t="s">
        <v>2279</v>
      </c>
      <c r="Y1355" s="1" t="s">
        <v>5544</v>
      </c>
    </row>
    <row r="1356">
      <c r="A1356" s="1">
        <v>858590.0</v>
      </c>
      <c r="B1356" s="1" t="s">
        <v>5545</v>
      </c>
      <c r="C1356" s="1" t="s">
        <v>5546</v>
      </c>
      <c r="D1356" s="1" t="s">
        <v>5547</v>
      </c>
      <c r="E1356" s="1" t="s">
        <v>5548</v>
      </c>
      <c r="F1356" s="2" t="str">
        <f>"0374325170"</f>
        <v>0374325170</v>
      </c>
      <c r="G1356" s="2" t="str">
        <f>"9780374325176"</f>
        <v>9780374325176</v>
      </c>
      <c r="H1356" s="1" t="s">
        <v>5549</v>
      </c>
      <c r="I1356" s="1" t="s">
        <v>31</v>
      </c>
      <c r="J1356" s="1">
        <v>34.0</v>
      </c>
      <c r="K1356" s="1">
        <v>1997.0</v>
      </c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 t="s">
        <v>412</v>
      </c>
      <c r="Y1356" s="1" t="s">
        <v>5550</v>
      </c>
    </row>
    <row r="1357">
      <c r="A1357" s="1">
        <v>4.0537334E7</v>
      </c>
      <c r="B1357" s="1" t="s">
        <v>5551</v>
      </c>
      <c r="C1357" s="1" t="s">
        <v>5552</v>
      </c>
      <c r="D1357" s="1" t="s">
        <v>5553</v>
      </c>
      <c r="E1357" s="1" t="s">
        <v>5554</v>
      </c>
      <c r="F1357" s="2" t="str">
        <f>"1452167915"</f>
        <v>1452167915</v>
      </c>
      <c r="G1357" s="2" t="str">
        <f>"9781452167916"</f>
        <v>9781452167916</v>
      </c>
      <c r="H1357" s="1" t="s">
        <v>1593</v>
      </c>
      <c r="I1357" s="1" t="s">
        <v>31</v>
      </c>
      <c r="J1357" s="1">
        <v>36.0</v>
      </c>
      <c r="K1357" s="1">
        <v>2019.0</v>
      </c>
      <c r="L1357" s="1">
        <v>2019.0</v>
      </c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 t="s">
        <v>1024</v>
      </c>
      <c r="Y1357" s="1" t="s">
        <v>5555</v>
      </c>
    </row>
    <row r="1358">
      <c r="A1358" s="1">
        <v>516851.0</v>
      </c>
      <c r="B1358" s="1" t="s">
        <v>5556</v>
      </c>
      <c r="C1358" s="1" t="s">
        <v>5557</v>
      </c>
      <c r="D1358" s="1" t="s">
        <v>5558</v>
      </c>
      <c r="E1358" s="1" t="s">
        <v>5559</v>
      </c>
      <c r="F1358" s="2" t="str">
        <f>"0967468132"</f>
        <v>0967468132</v>
      </c>
      <c r="G1358" s="2" t="str">
        <f>"9780967468136"</f>
        <v>9780967468136</v>
      </c>
      <c r="H1358" s="1" t="s">
        <v>5560</v>
      </c>
      <c r="I1358" s="1" t="s">
        <v>31</v>
      </c>
      <c r="J1358" s="1">
        <v>36.0</v>
      </c>
      <c r="K1358" s="1">
        <v>2003.0</v>
      </c>
      <c r="L1358" s="1">
        <v>2003.0</v>
      </c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 t="s">
        <v>863</v>
      </c>
      <c r="Y1358" s="1" t="s">
        <v>5561</v>
      </c>
    </row>
    <row r="1359">
      <c r="A1359" s="1">
        <v>900067.0</v>
      </c>
      <c r="B1359" s="1" t="s">
        <v>5562</v>
      </c>
      <c r="C1359" s="1" t="s">
        <v>2614</v>
      </c>
      <c r="D1359" s="1" t="s">
        <v>2615</v>
      </c>
      <c r="E1359" s="1" t="s">
        <v>2606</v>
      </c>
      <c r="F1359" s="2" t="str">
        <f>"0394822862"</f>
        <v>0394822862</v>
      </c>
      <c r="G1359" s="2" t="str">
        <f>"9780394822860"</f>
        <v>9780394822860</v>
      </c>
      <c r="H1359" s="1" t="s">
        <v>156</v>
      </c>
      <c r="I1359" s="1" t="s">
        <v>31</v>
      </c>
      <c r="J1359" s="1">
        <v>36.0</v>
      </c>
      <c r="K1359" s="1">
        <v>1971.0</v>
      </c>
      <c r="L1359" s="1">
        <v>1971.0</v>
      </c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 t="s">
        <v>5563</v>
      </c>
      <c r="Y1359" s="1" t="s">
        <v>5564</v>
      </c>
    </row>
    <row r="1360">
      <c r="A1360" s="1">
        <v>71790.0</v>
      </c>
      <c r="B1360" s="1" t="s">
        <v>5565</v>
      </c>
      <c r="C1360" s="1" t="s">
        <v>5566</v>
      </c>
      <c r="D1360" s="1" t="s">
        <v>5567</v>
      </c>
      <c r="E1360" s="1" t="s">
        <v>5568</v>
      </c>
      <c r="F1360" s="2" t="str">
        <f>"0670060739"</f>
        <v>0670060739</v>
      </c>
      <c r="G1360" s="2" t="str">
        <f>"9780670060733"</f>
        <v>9780670060733</v>
      </c>
      <c r="H1360" s="1" t="s">
        <v>2916</v>
      </c>
      <c r="I1360" s="1" t="s">
        <v>31</v>
      </c>
      <c r="J1360" s="1">
        <v>36.0</v>
      </c>
      <c r="K1360" s="1">
        <v>2006.0</v>
      </c>
      <c r="L1360" s="1">
        <v>2006.0</v>
      </c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 t="s">
        <v>1317</v>
      </c>
      <c r="Y1360" s="1" t="s">
        <v>5569</v>
      </c>
    </row>
    <row r="1361">
      <c r="A1361" s="1">
        <v>1.3071808E7</v>
      </c>
      <c r="B1361" s="1" t="s">
        <v>5570</v>
      </c>
      <c r="C1361" s="1" t="s">
        <v>5571</v>
      </c>
      <c r="D1361" s="1" t="s">
        <v>5572</v>
      </c>
      <c r="F1361" s="2" t="str">
        <f>"1419701517"</f>
        <v>1419701517</v>
      </c>
      <c r="G1361" s="2" t="str">
        <f>"9781419701511"</f>
        <v>9781419701511</v>
      </c>
      <c r="H1361" s="1" t="s">
        <v>145</v>
      </c>
      <c r="I1361" s="1" t="s">
        <v>67</v>
      </c>
      <c r="J1361" s="1">
        <v>36.0</v>
      </c>
      <c r="K1361" s="1">
        <v>2012.0</v>
      </c>
      <c r="L1361" s="1">
        <v>2010.0</v>
      </c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 t="s">
        <v>897</v>
      </c>
      <c r="Y1361" s="1" t="s">
        <v>5573</v>
      </c>
    </row>
    <row r="1362">
      <c r="A1362" s="1">
        <v>1.8687736E7</v>
      </c>
      <c r="B1362" s="1" t="s">
        <v>5574</v>
      </c>
      <c r="C1362" s="1" t="s">
        <v>849</v>
      </c>
      <c r="D1362" s="1" t="s">
        <v>850</v>
      </c>
      <c r="F1362" s="2" t="str">
        <f>"1423181360"</f>
        <v>1423181360</v>
      </c>
      <c r="G1362" s="2" t="str">
        <f>""</f>
        <v/>
      </c>
      <c r="H1362" s="1" t="s">
        <v>5575</v>
      </c>
      <c r="I1362" s="1" t="s">
        <v>238</v>
      </c>
      <c r="J1362" s="1">
        <v>36.0</v>
      </c>
      <c r="K1362" s="1">
        <v>2013.0</v>
      </c>
      <c r="L1362" s="1">
        <v>2013.0</v>
      </c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 t="s">
        <v>74</v>
      </c>
      <c r="Y1362" s="1" t="s">
        <v>5576</v>
      </c>
    </row>
    <row r="1363">
      <c r="A1363" s="1">
        <v>1.8891219E7</v>
      </c>
      <c r="B1363" s="1" t="s">
        <v>5577</v>
      </c>
      <c r="C1363" s="1" t="s">
        <v>5578</v>
      </c>
      <c r="D1363" s="1" t="s">
        <v>5579</v>
      </c>
      <c r="F1363" s="2" t="str">
        <f>"1423174593"</f>
        <v>1423174593</v>
      </c>
      <c r="G1363" s="2" t="str">
        <f>"9781423174592"</f>
        <v>9781423174592</v>
      </c>
      <c r="H1363" s="1" t="s">
        <v>5580</v>
      </c>
      <c r="I1363" s="1" t="s">
        <v>238</v>
      </c>
      <c r="J1363" s="1">
        <v>36.0</v>
      </c>
      <c r="K1363" s="1">
        <v>2012.0</v>
      </c>
      <c r="L1363" s="1">
        <v>2012.0</v>
      </c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 t="s">
        <v>5581</v>
      </c>
      <c r="Y1363" s="1" t="s">
        <v>5582</v>
      </c>
    </row>
    <row r="1364">
      <c r="A1364" s="1">
        <v>2.6102488E7</v>
      </c>
      <c r="B1364" s="1" t="s">
        <v>5583</v>
      </c>
      <c r="C1364" s="1" t="s">
        <v>225</v>
      </c>
      <c r="D1364" s="1" t="s">
        <v>226</v>
      </c>
      <c r="E1364" s="1" t="s">
        <v>5584</v>
      </c>
      <c r="F1364" s="2" t="str">
        <f t="shared" ref="F1364:G1364" si="95">""</f>
        <v/>
      </c>
      <c r="G1364" s="2" t="str">
        <f t="shared" si="95"/>
        <v/>
      </c>
      <c r="H1364" s="1" t="s">
        <v>1454</v>
      </c>
      <c r="I1364" s="1" t="s">
        <v>1278</v>
      </c>
      <c r="J1364" s="1">
        <v>36.0</v>
      </c>
      <c r="L1364" s="1">
        <v>2018.0</v>
      </c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 t="s">
        <v>1225</v>
      </c>
      <c r="Y1364" s="1" t="s">
        <v>5585</v>
      </c>
    </row>
    <row r="1365">
      <c r="A1365" s="1">
        <v>2.7760775E7</v>
      </c>
      <c r="B1365" s="1" t="s">
        <v>5586</v>
      </c>
      <c r="C1365" s="1" t="s">
        <v>5587</v>
      </c>
      <c r="D1365" s="1" t="s">
        <v>5588</v>
      </c>
      <c r="E1365" s="1" t="s">
        <v>5589</v>
      </c>
      <c r="F1365" s="2" t="str">
        <f>"1939775124"</f>
        <v>1939775124</v>
      </c>
      <c r="G1365" s="2" t="str">
        <f>"9781939775122"</f>
        <v>9781939775122</v>
      </c>
      <c r="H1365" s="1" t="s">
        <v>5590</v>
      </c>
      <c r="I1365" s="1" t="s">
        <v>31</v>
      </c>
      <c r="J1365" s="1">
        <v>36.0</v>
      </c>
      <c r="K1365" s="1">
        <v>2016.0</v>
      </c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 t="s">
        <v>1195</v>
      </c>
      <c r="Y1365" s="1" t="s">
        <v>5591</v>
      </c>
    </row>
    <row r="1366">
      <c r="A1366" s="1">
        <v>1153709.0</v>
      </c>
      <c r="B1366" s="1" t="s">
        <v>5592</v>
      </c>
      <c r="C1366" s="1" t="s">
        <v>3179</v>
      </c>
      <c r="D1366" s="1" t="s">
        <v>3180</v>
      </c>
      <c r="F1366" s="2" t="str">
        <f>"0670913502"</f>
        <v>0670913502</v>
      </c>
      <c r="G1366" s="2" t="str">
        <f>"9780670913503"</f>
        <v>9780670913503</v>
      </c>
      <c r="H1366" s="1" t="s">
        <v>753</v>
      </c>
      <c r="I1366" s="1" t="s">
        <v>779</v>
      </c>
      <c r="J1366" s="1">
        <v>36.0</v>
      </c>
      <c r="K1366" s="1">
        <v>2002.0</v>
      </c>
      <c r="L1366" s="1">
        <v>1983.0</v>
      </c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 t="s">
        <v>1225</v>
      </c>
      <c r="Y1366" s="1" t="s">
        <v>5593</v>
      </c>
    </row>
    <row r="1367">
      <c r="A1367" s="1">
        <v>1217987.0</v>
      </c>
      <c r="B1367" s="1" t="s">
        <v>5594</v>
      </c>
      <c r="C1367" s="1" t="s">
        <v>1463</v>
      </c>
      <c r="D1367" s="1" t="s">
        <v>1464</v>
      </c>
      <c r="F1367" s="2" t="str">
        <f>"0971440301"</f>
        <v>0971440301</v>
      </c>
      <c r="G1367" s="2" t="str">
        <f>"9780971440302"</f>
        <v>9780971440302</v>
      </c>
      <c r="H1367" s="1" t="s">
        <v>5595</v>
      </c>
      <c r="I1367" s="1" t="s">
        <v>31</v>
      </c>
      <c r="J1367" s="1">
        <v>36.0</v>
      </c>
      <c r="K1367" s="1">
        <v>2001.0</v>
      </c>
      <c r="L1367" s="1">
        <v>2001.0</v>
      </c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 t="s">
        <v>2173</v>
      </c>
      <c r="Y1367" s="1" t="s">
        <v>5596</v>
      </c>
    </row>
    <row r="1368">
      <c r="A1368" s="1">
        <v>934117.0</v>
      </c>
      <c r="B1368" s="1" t="s">
        <v>5597</v>
      </c>
      <c r="C1368" s="1" t="s">
        <v>5598</v>
      </c>
      <c r="D1368" s="1" t="s">
        <v>5599</v>
      </c>
      <c r="E1368" s="1" t="s">
        <v>3229</v>
      </c>
      <c r="F1368" s="2" t="str">
        <f>"0394826922"</f>
        <v>0394826922</v>
      </c>
      <c r="G1368" s="2" t="str">
        <f>"9780394826929"</f>
        <v>9780394826929</v>
      </c>
      <c r="H1368" s="1" t="s">
        <v>156</v>
      </c>
      <c r="I1368" s="1" t="s">
        <v>31</v>
      </c>
      <c r="J1368" s="1">
        <v>36.0</v>
      </c>
      <c r="K1368" s="1">
        <v>1973.0</v>
      </c>
      <c r="L1368" s="1">
        <v>1973.0</v>
      </c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 t="s">
        <v>1326</v>
      </c>
      <c r="Y1368" s="1" t="s">
        <v>5600</v>
      </c>
    </row>
    <row r="1369">
      <c r="A1369" s="1">
        <v>2.2632295E7</v>
      </c>
      <c r="B1369" s="1" t="s">
        <v>5601</v>
      </c>
      <c r="C1369" s="1" t="s">
        <v>5602</v>
      </c>
      <c r="D1369" s="1" t="s">
        <v>5603</v>
      </c>
      <c r="E1369" s="1" t="s">
        <v>5604</v>
      </c>
      <c r="F1369" s="2" t="str">
        <f>"162203466X"</f>
        <v>162203466X</v>
      </c>
      <c r="G1369" s="2" t="str">
        <f>"9781622034666"</f>
        <v>9781622034666</v>
      </c>
      <c r="H1369" s="1" t="s">
        <v>5605</v>
      </c>
      <c r="I1369" s="1" t="s">
        <v>31</v>
      </c>
      <c r="J1369" s="1">
        <v>36.0</v>
      </c>
      <c r="K1369" s="1">
        <v>2015.0</v>
      </c>
      <c r="L1369" s="1">
        <v>2015.0</v>
      </c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 t="s">
        <v>113</v>
      </c>
      <c r="Y1369" s="1" t="s">
        <v>5606</v>
      </c>
    </row>
    <row r="1370">
      <c r="A1370" s="1">
        <v>1.8063789E7</v>
      </c>
      <c r="B1370" s="1" t="s">
        <v>5607</v>
      </c>
      <c r="C1370" s="1" t="s">
        <v>5608</v>
      </c>
      <c r="D1370" s="1" t="s">
        <v>5609</v>
      </c>
      <c r="E1370" s="1" t="s">
        <v>5610</v>
      </c>
      <c r="F1370" s="2" t="str">
        <f>"1626363455"</f>
        <v>1626363455</v>
      </c>
      <c r="G1370" s="2" t="str">
        <f>"9781626363458"</f>
        <v>9781626363458</v>
      </c>
      <c r="H1370" s="1" t="s">
        <v>5611</v>
      </c>
      <c r="I1370" s="1" t="s">
        <v>31</v>
      </c>
      <c r="J1370" s="1">
        <v>36.0</v>
      </c>
      <c r="K1370" s="1">
        <v>2014.0</v>
      </c>
      <c r="L1370" s="1">
        <v>1994.0</v>
      </c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 t="s">
        <v>113</v>
      </c>
      <c r="Y1370" s="1" t="s">
        <v>5612</v>
      </c>
    </row>
    <row r="1371">
      <c r="A1371" s="1">
        <v>7725387.0</v>
      </c>
      <c r="B1371" s="1" t="s">
        <v>5613</v>
      </c>
      <c r="C1371" s="1" t="s">
        <v>5614</v>
      </c>
      <c r="D1371" s="1" t="s">
        <v>5615</v>
      </c>
      <c r="E1371" s="1" t="s">
        <v>5616</v>
      </c>
      <c r="F1371" s="2" t="str">
        <f t="shared" ref="F1371:G1371" si="96">""</f>
        <v/>
      </c>
      <c r="G1371" s="2" t="str">
        <f t="shared" si="96"/>
        <v/>
      </c>
      <c r="H1371" s="1" t="s">
        <v>5617</v>
      </c>
      <c r="I1371" s="1" t="s">
        <v>31</v>
      </c>
      <c r="J1371" s="1">
        <v>36.0</v>
      </c>
      <c r="K1371" s="1">
        <v>2005.0</v>
      </c>
      <c r="L1371" s="1">
        <v>2005.0</v>
      </c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 t="s">
        <v>863</v>
      </c>
      <c r="Y1371" s="1" t="s">
        <v>5618</v>
      </c>
    </row>
    <row r="1372">
      <c r="A1372" s="1">
        <v>3.4708315E7</v>
      </c>
      <c r="B1372" s="1" t="s">
        <v>5619</v>
      </c>
      <c r="C1372" s="1" t="s">
        <v>5620</v>
      </c>
      <c r="D1372" s="1" t="s">
        <v>5621</v>
      </c>
      <c r="F1372" s="2" t="str">
        <f>"1542876699"</f>
        <v>1542876699</v>
      </c>
      <c r="G1372" s="2" t="str">
        <f>"9781542876698"</f>
        <v>9781542876698</v>
      </c>
      <c r="H1372" s="1" t="s">
        <v>5350</v>
      </c>
      <c r="I1372" s="1" t="s">
        <v>36</v>
      </c>
      <c r="J1372" s="1">
        <v>36.0</v>
      </c>
      <c r="K1372" s="1">
        <v>2017.0</v>
      </c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 t="s">
        <v>1219</v>
      </c>
      <c r="Y1372" s="1" t="s">
        <v>5622</v>
      </c>
    </row>
    <row r="1373">
      <c r="A1373" s="1">
        <v>4.0221498E7</v>
      </c>
      <c r="B1373" s="1" t="s">
        <v>5623</v>
      </c>
      <c r="C1373" s="1" t="s">
        <v>3730</v>
      </c>
      <c r="D1373" s="1" t="s">
        <v>3731</v>
      </c>
      <c r="E1373" s="1" t="s">
        <v>3736</v>
      </c>
      <c r="F1373" s="2" t="str">
        <f>"0062866001"</f>
        <v>0062866001</v>
      </c>
      <c r="G1373" s="2" t="str">
        <f>"9780062866004"</f>
        <v>9780062866004</v>
      </c>
      <c r="H1373" s="1" t="s">
        <v>290</v>
      </c>
      <c r="I1373" s="1" t="s">
        <v>31</v>
      </c>
      <c r="J1373" s="1">
        <v>36.0</v>
      </c>
      <c r="K1373" s="1">
        <v>2019.0</v>
      </c>
      <c r="L1373" s="1">
        <v>2019.0</v>
      </c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 t="s">
        <v>1466</v>
      </c>
      <c r="Y1373" s="1" t="s">
        <v>5624</v>
      </c>
    </row>
    <row r="1374">
      <c r="A1374" s="1">
        <v>1727572.0</v>
      </c>
      <c r="B1374" s="1" t="s">
        <v>5625</v>
      </c>
      <c r="C1374" s="1" t="s">
        <v>4088</v>
      </c>
      <c r="D1374" s="1" t="s">
        <v>4089</v>
      </c>
      <c r="E1374" s="1" t="s">
        <v>5626</v>
      </c>
      <c r="F1374" s="2" t="str">
        <f>"0888998635"</f>
        <v>0888998635</v>
      </c>
      <c r="G1374" s="2" t="str">
        <f>"9780888998637"</f>
        <v>9780888998637</v>
      </c>
      <c r="H1374" s="1" t="s">
        <v>2427</v>
      </c>
      <c r="I1374" s="1" t="s">
        <v>31</v>
      </c>
      <c r="J1374" s="1">
        <v>36.0</v>
      </c>
      <c r="K1374" s="1">
        <v>2008.0</v>
      </c>
      <c r="L1374" s="1">
        <v>2008.0</v>
      </c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 t="s">
        <v>61</v>
      </c>
      <c r="Y1374" s="1" t="s">
        <v>5627</v>
      </c>
    </row>
    <row r="1375">
      <c r="A1375" s="1">
        <v>2.9441136E7</v>
      </c>
      <c r="B1375" s="1" t="s">
        <v>5628</v>
      </c>
      <c r="C1375" s="1" t="s">
        <v>5629</v>
      </c>
      <c r="D1375" s="1" t="s">
        <v>5630</v>
      </c>
      <c r="E1375" s="1" t="s">
        <v>5631</v>
      </c>
      <c r="F1375" s="2" t="str">
        <f>"0811879224"</f>
        <v>0811879224</v>
      </c>
      <c r="G1375" s="2" t="str">
        <f>"9780811879224"</f>
        <v>9780811879224</v>
      </c>
      <c r="H1375" s="1" t="s">
        <v>1593</v>
      </c>
      <c r="I1375" s="1" t="s">
        <v>31</v>
      </c>
      <c r="J1375" s="1">
        <v>36.0</v>
      </c>
      <c r="K1375" s="1">
        <v>2017.0</v>
      </c>
      <c r="L1375" s="1">
        <v>2017.0</v>
      </c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 t="s">
        <v>323</v>
      </c>
      <c r="Y1375" s="1" t="s">
        <v>5632</v>
      </c>
    </row>
    <row r="1376">
      <c r="A1376" s="1">
        <v>2.3742842E7</v>
      </c>
      <c r="B1376" s="1" t="s">
        <v>5633</v>
      </c>
      <c r="C1376" s="1" t="s">
        <v>5634</v>
      </c>
      <c r="D1376" s="1" t="s">
        <v>5635</v>
      </c>
      <c r="F1376" s="2" t="str">
        <f>"0385376715"</f>
        <v>0385376715</v>
      </c>
      <c r="G1376" s="2" t="str">
        <f>"9780385376716"</f>
        <v>9780385376716</v>
      </c>
      <c r="H1376" s="1" t="s">
        <v>156</v>
      </c>
      <c r="I1376" s="1" t="s">
        <v>31</v>
      </c>
      <c r="J1376" s="1">
        <v>36.0</v>
      </c>
      <c r="K1376" s="1">
        <v>2015.0</v>
      </c>
      <c r="L1376" s="1">
        <v>2015.0</v>
      </c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 t="s">
        <v>1084</v>
      </c>
      <c r="Y1376" s="1" t="s">
        <v>5636</v>
      </c>
    </row>
    <row r="1377">
      <c r="A1377" s="1">
        <v>2530619.0</v>
      </c>
      <c r="B1377" s="1" t="s">
        <v>5637</v>
      </c>
      <c r="C1377" s="1" t="s">
        <v>5638</v>
      </c>
      <c r="D1377" s="1" t="s">
        <v>5639</v>
      </c>
      <c r="F1377" s="2" t="str">
        <f>"0140543643"</f>
        <v>0140543643</v>
      </c>
      <c r="G1377" s="2" t="str">
        <f>"9780140543643"</f>
        <v>9780140543643</v>
      </c>
      <c r="H1377" s="1" t="s">
        <v>753</v>
      </c>
      <c r="I1377" s="1" t="s">
        <v>36</v>
      </c>
      <c r="J1377" s="1">
        <v>36.0</v>
      </c>
      <c r="K1377" s="1">
        <v>1991.0</v>
      </c>
      <c r="L1377" s="1">
        <v>1974.0</v>
      </c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 t="s">
        <v>92</v>
      </c>
      <c r="Y1377" s="1" t="s">
        <v>5640</v>
      </c>
    </row>
    <row r="1378">
      <c r="A1378" s="1">
        <v>3.4642482E7</v>
      </c>
      <c r="B1378" s="1" t="s">
        <v>5641</v>
      </c>
      <c r="C1378" s="1" t="s">
        <v>5642</v>
      </c>
      <c r="D1378" s="1" t="s">
        <v>5643</v>
      </c>
      <c r="F1378" s="2" t="str">
        <f>"0316431249"</f>
        <v>0316431249</v>
      </c>
      <c r="G1378" s="2" t="str">
        <f>"9780316431248"</f>
        <v>9780316431248</v>
      </c>
      <c r="H1378" s="1" t="s">
        <v>5644</v>
      </c>
      <c r="I1378" s="1" t="s">
        <v>31</v>
      </c>
      <c r="J1378" s="1">
        <v>36.0</v>
      </c>
      <c r="K1378" s="1">
        <v>2018.0</v>
      </c>
      <c r="L1378" s="1">
        <v>2018.0</v>
      </c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 t="s">
        <v>1024</v>
      </c>
      <c r="Y1378" s="1" t="s">
        <v>5645</v>
      </c>
    </row>
    <row r="1379">
      <c r="A1379" s="1">
        <v>1660305.0</v>
      </c>
      <c r="B1379" s="1" t="s">
        <v>5646</v>
      </c>
      <c r="C1379" s="1" t="s">
        <v>4315</v>
      </c>
      <c r="D1379" s="1" t="s">
        <v>4328</v>
      </c>
      <c r="F1379" s="2" t="str">
        <f>"0811837580"</f>
        <v>0811837580</v>
      </c>
      <c r="G1379" s="2" t="str">
        <f>"9780811837583"</f>
        <v>9780811837583</v>
      </c>
      <c r="H1379" s="1" t="s">
        <v>1593</v>
      </c>
      <c r="I1379" s="1" t="s">
        <v>31</v>
      </c>
      <c r="J1379" s="1">
        <v>36.0</v>
      </c>
      <c r="K1379" s="1">
        <v>2003.0</v>
      </c>
      <c r="L1379" s="1">
        <v>2003.0</v>
      </c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 t="s">
        <v>116</v>
      </c>
      <c r="Y1379" s="1" t="s">
        <v>5647</v>
      </c>
    </row>
    <row r="1380">
      <c r="A1380" s="1">
        <v>4.385321E7</v>
      </c>
      <c r="B1380" s="1" t="s">
        <v>5648</v>
      </c>
      <c r="C1380" s="1" t="s">
        <v>5649</v>
      </c>
      <c r="D1380" s="1" t="s">
        <v>5650</v>
      </c>
      <c r="E1380" s="1" t="s">
        <v>5651</v>
      </c>
      <c r="F1380" s="2" t="str">
        <f>"0316519006"</f>
        <v>0316519006</v>
      </c>
      <c r="G1380" s="2" t="str">
        <f>"9780316519007"</f>
        <v>9780316519007</v>
      </c>
      <c r="H1380" s="1" t="s">
        <v>112</v>
      </c>
      <c r="I1380" s="1" t="s">
        <v>31</v>
      </c>
      <c r="J1380" s="1">
        <v>36.0</v>
      </c>
      <c r="K1380" s="1">
        <v>2019.0</v>
      </c>
      <c r="L1380" s="1">
        <v>2019.0</v>
      </c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 t="s">
        <v>1024</v>
      </c>
      <c r="Y1380" s="1" t="s">
        <v>5652</v>
      </c>
    </row>
    <row r="1381">
      <c r="A1381" s="1">
        <v>3.3110891E7</v>
      </c>
      <c r="B1381" s="1" t="s">
        <v>5653</v>
      </c>
      <c r="C1381" s="1" t="s">
        <v>5654</v>
      </c>
      <c r="D1381" s="1" t="s">
        <v>5655</v>
      </c>
      <c r="E1381" s="1" t="s">
        <v>5656</v>
      </c>
      <c r="F1381" s="2" t="str">
        <f t="shared" ref="F1381:G1381" si="97">""</f>
        <v/>
      </c>
      <c r="G1381" s="2" t="str">
        <f t="shared" si="97"/>
        <v/>
      </c>
      <c r="I1381" s="1" t="s">
        <v>108</v>
      </c>
      <c r="J1381" s="1">
        <v>36.0</v>
      </c>
      <c r="K1381" s="1">
        <v>2018.0</v>
      </c>
      <c r="L1381" s="1">
        <v>2018.0</v>
      </c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 t="s">
        <v>74</v>
      </c>
      <c r="Y1381" s="1" t="s">
        <v>5657</v>
      </c>
    </row>
    <row r="1382">
      <c r="A1382" s="1">
        <v>3.624497E7</v>
      </c>
      <c r="B1382" s="1" t="s">
        <v>5658</v>
      </c>
      <c r="C1382" s="1" t="s">
        <v>5659</v>
      </c>
      <c r="D1382" s="1" t="s">
        <v>5660</v>
      </c>
      <c r="E1382" s="1" t="s">
        <v>5661</v>
      </c>
      <c r="F1382" s="2" t="str">
        <f>"1338275305"</f>
        <v>1338275305</v>
      </c>
      <c r="G1382" s="2" t="str">
        <f>"9781338275308"</f>
        <v>9781338275308</v>
      </c>
      <c r="H1382" s="1" t="s">
        <v>1575</v>
      </c>
      <c r="I1382" s="1" t="s">
        <v>238</v>
      </c>
      <c r="J1382" s="1">
        <v>36.0</v>
      </c>
      <c r="K1382" s="1">
        <v>2018.0</v>
      </c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 t="s">
        <v>61</v>
      </c>
      <c r="Y1382" s="1" t="s">
        <v>5662</v>
      </c>
    </row>
    <row r="1383">
      <c r="A1383" s="1">
        <v>259920.0</v>
      </c>
      <c r="B1383" s="1" t="s">
        <v>5663</v>
      </c>
      <c r="C1383" s="1" t="s">
        <v>1182</v>
      </c>
      <c r="D1383" s="1" t="s">
        <v>1183</v>
      </c>
      <c r="F1383" s="2" t="str">
        <f>"0007169892"</f>
        <v>0007169892</v>
      </c>
      <c r="G1383" s="2" t="str">
        <f>"9780007169894"</f>
        <v>9780007169894</v>
      </c>
      <c r="H1383" s="1" t="s">
        <v>1072</v>
      </c>
      <c r="I1383" s="1" t="s">
        <v>36</v>
      </c>
      <c r="J1383" s="1">
        <v>36.0</v>
      </c>
      <c r="K1383" s="1">
        <v>2003.0</v>
      </c>
      <c r="L1383" s="1">
        <v>1971.0</v>
      </c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 t="s">
        <v>1326</v>
      </c>
      <c r="Y1383" s="1" t="s">
        <v>5664</v>
      </c>
    </row>
    <row r="1384">
      <c r="A1384" s="1">
        <v>3.6876309E7</v>
      </c>
      <c r="B1384" s="1" t="s">
        <v>5665</v>
      </c>
      <c r="C1384" s="1" t="s">
        <v>5666</v>
      </c>
      <c r="D1384" s="1" t="s">
        <v>5667</v>
      </c>
      <c r="E1384" s="1" t="s">
        <v>5668</v>
      </c>
      <c r="F1384" s="2" t="str">
        <f>"1948074001"</f>
        <v>1948074001</v>
      </c>
      <c r="G1384" s="2" t="str">
        <f>"9781948074001"</f>
        <v>9781948074001</v>
      </c>
      <c r="H1384" s="1" t="s">
        <v>5669</v>
      </c>
      <c r="I1384" s="1" t="s">
        <v>31</v>
      </c>
      <c r="J1384" s="1">
        <v>36.0</v>
      </c>
      <c r="K1384" s="1">
        <v>2017.0</v>
      </c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 t="s">
        <v>68</v>
      </c>
      <c r="Y1384" s="1" t="s">
        <v>5670</v>
      </c>
    </row>
    <row r="1385">
      <c r="A1385" s="1">
        <v>3.9094751E7</v>
      </c>
      <c r="B1385" s="1" t="s">
        <v>5665</v>
      </c>
      <c r="C1385" s="1" t="s">
        <v>5666</v>
      </c>
      <c r="D1385" s="1" t="s">
        <v>5667</v>
      </c>
      <c r="E1385" s="1" t="s">
        <v>5668</v>
      </c>
      <c r="F1385" s="2" t="str">
        <f>"194807401X"</f>
        <v>194807401X</v>
      </c>
      <c r="G1385" s="2" t="str">
        <f>"9781948074018"</f>
        <v>9781948074018</v>
      </c>
      <c r="H1385" s="1" t="s">
        <v>5669</v>
      </c>
      <c r="I1385" s="1" t="s">
        <v>238</v>
      </c>
      <c r="J1385" s="1">
        <v>36.0</v>
      </c>
      <c r="K1385" s="1">
        <v>2017.0</v>
      </c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 t="s">
        <v>2242</v>
      </c>
      <c r="Y1385" s="1" t="s">
        <v>5671</v>
      </c>
    </row>
    <row r="1386">
      <c r="A1386" s="1">
        <v>4.3218317E7</v>
      </c>
      <c r="B1386" s="1" t="s">
        <v>5672</v>
      </c>
      <c r="C1386" s="1" t="s">
        <v>5673</v>
      </c>
      <c r="D1386" s="1" t="s">
        <v>5674</v>
      </c>
      <c r="E1386" s="1" t="s">
        <v>5675</v>
      </c>
      <c r="F1386" s="2" t="str">
        <f>"1611804698"</f>
        <v>1611804698</v>
      </c>
      <c r="G1386" s="2" t="str">
        <f>"9781611804690"</f>
        <v>9781611804690</v>
      </c>
      <c r="H1386" s="1" t="s">
        <v>5676</v>
      </c>
      <c r="I1386" s="1" t="s">
        <v>31</v>
      </c>
      <c r="J1386" s="1">
        <v>36.0</v>
      </c>
      <c r="K1386" s="1">
        <v>2019.0</v>
      </c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 t="s">
        <v>113</v>
      </c>
      <c r="Y1386" s="1" t="s">
        <v>5677</v>
      </c>
    </row>
    <row r="1387">
      <c r="A1387" s="1">
        <v>1.8799839E7</v>
      </c>
      <c r="B1387" s="1" t="s">
        <v>5678</v>
      </c>
      <c r="C1387" s="1" t="s">
        <v>5679</v>
      </c>
      <c r="D1387" s="1" t="s">
        <v>5680</v>
      </c>
      <c r="E1387" s="1" t="s">
        <v>5681</v>
      </c>
      <c r="F1387" s="2" t="str">
        <f>"1477860347"</f>
        <v>1477860347</v>
      </c>
      <c r="G1387" s="2" t="str">
        <f>"9781477860342"</f>
        <v>9781477860342</v>
      </c>
      <c r="H1387" s="1" t="s">
        <v>2654</v>
      </c>
      <c r="I1387" s="1" t="s">
        <v>238</v>
      </c>
      <c r="J1387" s="1">
        <v>36.0</v>
      </c>
      <c r="K1387" s="1">
        <v>2012.0</v>
      </c>
      <c r="L1387" s="1">
        <v>2010.0</v>
      </c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 t="s">
        <v>1562</v>
      </c>
      <c r="Y1387" s="1" t="s">
        <v>5682</v>
      </c>
    </row>
    <row r="1388">
      <c r="A1388" s="1">
        <v>2.8863341E7</v>
      </c>
      <c r="B1388" s="1" t="s">
        <v>5683</v>
      </c>
      <c r="C1388" s="1" t="s">
        <v>5684</v>
      </c>
      <c r="D1388" s="1" t="s">
        <v>5685</v>
      </c>
      <c r="E1388" s="1" t="s">
        <v>5686</v>
      </c>
      <c r="F1388" s="2" t="str">
        <f>"1943200009"</f>
        <v>1943200009</v>
      </c>
      <c r="G1388" s="2" t="str">
        <f>"9781943200009"</f>
        <v>9781943200009</v>
      </c>
      <c r="H1388" s="1" t="s">
        <v>5687</v>
      </c>
      <c r="I1388" s="1" t="s">
        <v>31</v>
      </c>
      <c r="J1388" s="1">
        <v>36.0</v>
      </c>
      <c r="K1388" s="1">
        <v>2016.0</v>
      </c>
      <c r="L1388" s="1">
        <v>2016.0</v>
      </c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 t="s">
        <v>1219</v>
      </c>
      <c r="Y1388" s="1" t="s">
        <v>5688</v>
      </c>
    </row>
    <row r="1389">
      <c r="A1389" s="1">
        <v>3.9989257E7</v>
      </c>
      <c r="B1389" s="1" t="s">
        <v>5689</v>
      </c>
      <c r="C1389" s="1" t="s">
        <v>5690</v>
      </c>
      <c r="D1389" s="1" t="s">
        <v>5691</v>
      </c>
      <c r="F1389" s="2" t="str">
        <f>"1980571686"</f>
        <v>1980571686</v>
      </c>
      <c r="G1389" s="2" t="str">
        <f>"9781980571681"</f>
        <v>9781980571681</v>
      </c>
      <c r="H1389" s="1" t="s">
        <v>5692</v>
      </c>
      <c r="I1389" s="1" t="s">
        <v>36</v>
      </c>
      <c r="J1389" s="1">
        <v>37.0</v>
      </c>
      <c r="K1389" s="1">
        <v>2018.0</v>
      </c>
      <c r="L1389" s="1">
        <v>2018.0</v>
      </c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 t="s">
        <v>96</v>
      </c>
      <c r="Y1389" s="1" t="s">
        <v>5693</v>
      </c>
    </row>
    <row r="1390">
      <c r="A1390" s="1">
        <v>2.2377848E7</v>
      </c>
      <c r="B1390" s="1" t="s">
        <v>5694</v>
      </c>
      <c r="C1390" s="1" t="s">
        <v>2110</v>
      </c>
      <c r="D1390" s="1" t="s">
        <v>2111</v>
      </c>
      <c r="F1390" s="2" t="str">
        <f>"0545537835"</f>
        <v>0545537835</v>
      </c>
      <c r="G1390" s="2" t="str">
        <f>"9780545537834"</f>
        <v>9780545537834</v>
      </c>
      <c r="H1390" s="1" t="s">
        <v>1575</v>
      </c>
      <c r="I1390" s="1" t="s">
        <v>238</v>
      </c>
      <c r="J1390" s="1">
        <v>37.0</v>
      </c>
      <c r="K1390" s="1">
        <v>2013.0</v>
      </c>
      <c r="L1390" s="1">
        <v>1988.0</v>
      </c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 t="s">
        <v>1839</v>
      </c>
      <c r="Y1390" s="1" t="s">
        <v>5695</v>
      </c>
    </row>
    <row r="1391">
      <c r="A1391" s="1">
        <v>3.528963E7</v>
      </c>
      <c r="B1391" s="1" t="s">
        <v>5696</v>
      </c>
      <c r="C1391" s="1" t="s">
        <v>5697</v>
      </c>
      <c r="D1391" s="1" t="s">
        <v>5698</v>
      </c>
      <c r="E1391" s="1" t="s">
        <v>5699</v>
      </c>
      <c r="F1391" s="2" t="str">
        <f t="shared" ref="F1391:G1391" si="98">""</f>
        <v/>
      </c>
      <c r="G1391" s="2" t="str">
        <f t="shared" si="98"/>
        <v/>
      </c>
      <c r="H1391" s="1" t="s">
        <v>5700</v>
      </c>
      <c r="I1391" s="1" t="s">
        <v>36</v>
      </c>
      <c r="J1391" s="1">
        <v>37.0</v>
      </c>
      <c r="K1391" s="1">
        <v>2017.0</v>
      </c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 t="s">
        <v>363</v>
      </c>
      <c r="Y1391" s="1" t="s">
        <v>5701</v>
      </c>
    </row>
    <row r="1392">
      <c r="A1392" s="1">
        <v>1194550.0</v>
      </c>
      <c r="B1392" s="1" t="s">
        <v>5702</v>
      </c>
      <c r="C1392" s="1" t="s">
        <v>2327</v>
      </c>
      <c r="D1392" s="1" t="s">
        <v>2328</v>
      </c>
      <c r="E1392" s="1" t="s">
        <v>5703</v>
      </c>
      <c r="F1392" s="2" t="str">
        <f>"0590458469"</f>
        <v>0590458469</v>
      </c>
      <c r="G1392" s="2" t="str">
        <f>"9780590458467"</f>
        <v>9780590458467</v>
      </c>
      <c r="H1392" s="1" t="s">
        <v>86</v>
      </c>
      <c r="I1392" s="1" t="s">
        <v>31</v>
      </c>
      <c r="J1392" s="1">
        <v>37.0</v>
      </c>
      <c r="K1392" s="1">
        <v>1992.0</v>
      </c>
      <c r="L1392" s="1">
        <v>1992.0</v>
      </c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 t="s">
        <v>452</v>
      </c>
      <c r="Y1392" s="1" t="s">
        <v>5704</v>
      </c>
    </row>
    <row r="1393">
      <c r="A1393" s="1">
        <v>1609645.0</v>
      </c>
      <c r="B1393" s="1" t="s">
        <v>5705</v>
      </c>
      <c r="C1393" s="1" t="s">
        <v>2327</v>
      </c>
      <c r="D1393" s="1" t="s">
        <v>2328</v>
      </c>
      <c r="E1393" s="1" t="s">
        <v>2329</v>
      </c>
      <c r="F1393" s="2" t="str">
        <f>"0590462946"</f>
        <v>0590462946</v>
      </c>
      <c r="G1393" s="2" t="str">
        <f>"9780590462945"</f>
        <v>9780590462945</v>
      </c>
      <c r="H1393" s="1" t="s">
        <v>86</v>
      </c>
      <c r="I1393" s="1" t="s">
        <v>31</v>
      </c>
      <c r="J1393" s="1">
        <v>37.0</v>
      </c>
      <c r="K1393" s="1">
        <v>1993.0</v>
      </c>
      <c r="L1393" s="1">
        <v>1993.0</v>
      </c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 t="s">
        <v>452</v>
      </c>
      <c r="Y1393" s="1" t="s">
        <v>5706</v>
      </c>
    </row>
    <row r="1394">
      <c r="A1394" s="1">
        <v>921976.0</v>
      </c>
      <c r="B1394" s="1" t="s">
        <v>5707</v>
      </c>
      <c r="C1394" s="1" t="s">
        <v>2327</v>
      </c>
      <c r="D1394" s="1" t="s">
        <v>2328</v>
      </c>
      <c r="E1394" s="1" t="s">
        <v>2329</v>
      </c>
      <c r="F1394" s="2" t="str">
        <f>"0590481355"</f>
        <v>0590481355</v>
      </c>
      <c r="G1394" s="2" t="str">
        <f>"9780590481359"</f>
        <v>9780590481359</v>
      </c>
      <c r="H1394" s="1" t="s">
        <v>86</v>
      </c>
      <c r="I1394" s="1" t="s">
        <v>36</v>
      </c>
      <c r="J1394" s="1">
        <v>37.0</v>
      </c>
      <c r="K1394" s="1">
        <v>1995.0</v>
      </c>
      <c r="L1394" s="1">
        <v>1995.0</v>
      </c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 t="s">
        <v>452</v>
      </c>
      <c r="Y1394" s="1" t="s">
        <v>5708</v>
      </c>
    </row>
    <row r="1395">
      <c r="A1395" s="1">
        <v>3.0900127E7</v>
      </c>
      <c r="B1395" s="1" t="s">
        <v>5709</v>
      </c>
      <c r="C1395" s="1" t="s">
        <v>1021</v>
      </c>
      <c r="D1395" s="1" t="s">
        <v>1022</v>
      </c>
      <c r="F1395" s="2" t="str">
        <f>"0399176888"</f>
        <v>0399176888</v>
      </c>
      <c r="G1395" s="2" t="str">
        <f>"9780399176883"</f>
        <v>9780399176883</v>
      </c>
      <c r="H1395" s="1" t="s">
        <v>1023</v>
      </c>
      <c r="I1395" s="1" t="s">
        <v>67</v>
      </c>
      <c r="J1395" s="1">
        <v>38.0</v>
      </c>
      <c r="K1395" s="1">
        <v>2017.0</v>
      </c>
      <c r="L1395" s="1">
        <v>2015.0</v>
      </c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 t="s">
        <v>1024</v>
      </c>
      <c r="Y1395" s="1" t="s">
        <v>5710</v>
      </c>
    </row>
    <row r="1396">
      <c r="A1396" s="1">
        <v>277235.0</v>
      </c>
      <c r="B1396" s="1" t="s">
        <v>5711</v>
      </c>
      <c r="C1396" s="1" t="s">
        <v>5712</v>
      </c>
      <c r="D1396" s="1" t="s">
        <v>5713</v>
      </c>
      <c r="F1396" s="2" t="str">
        <f>"0756784336"</f>
        <v>0756784336</v>
      </c>
      <c r="G1396" s="2" t="str">
        <f>"9780756784331"</f>
        <v>9780756784331</v>
      </c>
      <c r="H1396" s="1" t="s">
        <v>5714</v>
      </c>
      <c r="I1396" s="1" t="s">
        <v>36</v>
      </c>
      <c r="J1396" s="1">
        <v>38.0</v>
      </c>
      <c r="K1396" s="1">
        <v>1998.0</v>
      </c>
      <c r="L1396" s="1">
        <v>1998.0</v>
      </c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 t="s">
        <v>37</v>
      </c>
      <c r="Y1396" s="1" t="s">
        <v>5715</v>
      </c>
    </row>
    <row r="1397">
      <c r="A1397" s="1">
        <v>2.3846038E7</v>
      </c>
      <c r="B1397" s="1" t="s">
        <v>5716</v>
      </c>
      <c r="C1397" s="1" t="s">
        <v>3500</v>
      </c>
      <c r="D1397" s="1" t="s">
        <v>4057</v>
      </c>
      <c r="F1397" s="2" t="str">
        <f>"0399163972"</f>
        <v>0399163972</v>
      </c>
      <c r="G1397" s="2" t="str">
        <f>"9780399163975"</f>
        <v>9780399163975</v>
      </c>
      <c r="H1397" s="1" t="s">
        <v>2253</v>
      </c>
      <c r="I1397" s="1" t="s">
        <v>31</v>
      </c>
      <c r="J1397" s="1">
        <v>38.0</v>
      </c>
      <c r="K1397" s="1">
        <v>2015.0</v>
      </c>
      <c r="L1397" s="1">
        <v>2015.0</v>
      </c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 t="s">
        <v>2254</v>
      </c>
      <c r="Y1397" s="1" t="s">
        <v>5717</v>
      </c>
    </row>
    <row r="1398">
      <c r="A1398" s="1">
        <v>19543.0</v>
      </c>
      <c r="B1398" s="1" t="s">
        <v>5718</v>
      </c>
      <c r="C1398" s="1" t="s">
        <v>1619</v>
      </c>
      <c r="D1398" s="1" t="s">
        <v>5719</v>
      </c>
      <c r="F1398" s="2" t="str">
        <f>"0099408392"</f>
        <v>0099408392</v>
      </c>
      <c r="G1398" s="2" t="str">
        <f>"9780099408390"</f>
        <v>9780099408390</v>
      </c>
      <c r="H1398" s="1" t="s">
        <v>5720</v>
      </c>
      <c r="I1398" s="1" t="s">
        <v>36</v>
      </c>
      <c r="J1398" s="1">
        <v>38.0</v>
      </c>
      <c r="K1398" s="1">
        <v>2000.0</v>
      </c>
      <c r="L1398" s="1">
        <v>1963.0</v>
      </c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 t="s">
        <v>74</v>
      </c>
      <c r="Y1398" s="1" t="s">
        <v>5721</v>
      </c>
    </row>
    <row r="1399">
      <c r="A1399" s="1">
        <v>3.607031E7</v>
      </c>
      <c r="B1399" s="1" t="s">
        <v>5722</v>
      </c>
      <c r="C1399" s="1" t="s">
        <v>5684</v>
      </c>
      <c r="D1399" s="1" t="s">
        <v>5685</v>
      </c>
      <c r="E1399" s="1" t="s">
        <v>5686</v>
      </c>
      <c r="F1399" s="2" t="str">
        <f>"1943200734"</f>
        <v>1943200734</v>
      </c>
      <c r="G1399" s="2" t="str">
        <f>"9781943200733"</f>
        <v>9781943200733</v>
      </c>
      <c r="H1399" s="1" t="s">
        <v>5687</v>
      </c>
      <c r="I1399" s="1" t="s">
        <v>31</v>
      </c>
      <c r="J1399" s="1">
        <v>38.0</v>
      </c>
      <c r="K1399" s="1">
        <v>2018.0</v>
      </c>
      <c r="L1399" s="1">
        <v>2017.0</v>
      </c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 t="s">
        <v>1219</v>
      </c>
      <c r="Y1399" s="1" t="s">
        <v>5723</v>
      </c>
    </row>
    <row r="1400">
      <c r="A1400" s="1">
        <v>2.2348312E7</v>
      </c>
      <c r="B1400" s="1" t="s">
        <v>5724</v>
      </c>
      <c r="C1400" s="1" t="s">
        <v>687</v>
      </c>
      <c r="D1400" s="1" t="s">
        <v>688</v>
      </c>
      <c r="E1400" s="1" t="s">
        <v>5725</v>
      </c>
      <c r="F1400" s="2" t="str">
        <f>"1933758023"</f>
        <v>1933758023</v>
      </c>
      <c r="G1400" s="2" t="str">
        <f>"9781933758022"</f>
        <v>9781933758022</v>
      </c>
      <c r="H1400" s="1" t="s">
        <v>627</v>
      </c>
      <c r="I1400" s="1" t="s">
        <v>36</v>
      </c>
      <c r="J1400" s="1">
        <v>39.0</v>
      </c>
      <c r="K1400" s="1">
        <v>2005.0</v>
      </c>
      <c r="L1400" s="1">
        <v>2005.0</v>
      </c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 t="s">
        <v>629</v>
      </c>
      <c r="Y1400" s="1" t="s">
        <v>5726</v>
      </c>
    </row>
    <row r="1401">
      <c r="A1401" s="1">
        <v>1.500586E7</v>
      </c>
      <c r="B1401" s="1" t="s">
        <v>5727</v>
      </c>
      <c r="C1401" s="1" t="s">
        <v>5728</v>
      </c>
      <c r="D1401" s="1" t="s">
        <v>5729</v>
      </c>
      <c r="F1401" s="2" t="str">
        <f>"0977408434"</f>
        <v>0977408434</v>
      </c>
      <c r="G1401" s="2" t="str">
        <f>"9780977408436"</f>
        <v>9780977408436</v>
      </c>
      <c r="H1401" s="1" t="s">
        <v>5730</v>
      </c>
      <c r="I1401" s="1" t="s">
        <v>31</v>
      </c>
      <c r="J1401" s="1">
        <v>39.0</v>
      </c>
      <c r="K1401" s="1">
        <v>2006.0</v>
      </c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 t="s">
        <v>629</v>
      </c>
      <c r="Y1401" s="1" t="s">
        <v>5731</v>
      </c>
    </row>
    <row r="1402">
      <c r="A1402" s="1">
        <v>5.6633279E7</v>
      </c>
      <c r="B1402" s="1" t="s">
        <v>5732</v>
      </c>
      <c r="C1402" s="1" t="s">
        <v>5733</v>
      </c>
      <c r="D1402" s="1" t="s">
        <v>5734</v>
      </c>
      <c r="E1402" s="1" t="s">
        <v>5735</v>
      </c>
      <c r="F1402" s="2" t="str">
        <f>"1534110631"</f>
        <v>1534110631</v>
      </c>
      <c r="G1402" s="2" t="str">
        <f>"9781534110632"</f>
        <v>9781534110632</v>
      </c>
      <c r="H1402" s="1" t="s">
        <v>4966</v>
      </c>
      <c r="I1402" s="1" t="s">
        <v>31</v>
      </c>
      <c r="J1402" s="1">
        <v>40.0</v>
      </c>
      <c r="K1402" s="1">
        <v>2021.0</v>
      </c>
      <c r="L1402" s="1">
        <v>2021.0</v>
      </c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 t="s">
        <v>1024</v>
      </c>
      <c r="Y1402" s="1" t="s">
        <v>5736</v>
      </c>
    </row>
    <row r="1403">
      <c r="A1403" s="1">
        <v>2.624491E7</v>
      </c>
      <c r="B1403" s="1" t="s">
        <v>5737</v>
      </c>
      <c r="C1403" s="1" t="s">
        <v>5738</v>
      </c>
      <c r="D1403" s="1" t="s">
        <v>5739</v>
      </c>
      <c r="E1403" s="1" t="s">
        <v>4315</v>
      </c>
      <c r="F1403" s="2" t="str">
        <f>"0316013722"</f>
        <v>0316013722</v>
      </c>
      <c r="G1403" s="2" t="str">
        <f>"9780316013727"</f>
        <v>9780316013727</v>
      </c>
      <c r="H1403" s="1" t="s">
        <v>112</v>
      </c>
      <c r="I1403" s="1" t="s">
        <v>31</v>
      </c>
      <c r="J1403" s="1">
        <v>40.0</v>
      </c>
      <c r="K1403" s="1">
        <v>2016.0</v>
      </c>
      <c r="L1403" s="1">
        <v>2016.0</v>
      </c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 t="s">
        <v>1024</v>
      </c>
      <c r="Y1403" s="1" t="s">
        <v>5740</v>
      </c>
    </row>
    <row r="1404">
      <c r="A1404" s="1">
        <v>2.3531316E7</v>
      </c>
      <c r="B1404" s="1" t="s">
        <v>5741</v>
      </c>
      <c r="C1404" s="1" t="s">
        <v>5742</v>
      </c>
      <c r="D1404" s="1" t="s">
        <v>5743</v>
      </c>
      <c r="E1404" s="1" t="s">
        <v>5744</v>
      </c>
      <c r="F1404" s="2" t="str">
        <f>"1419716506"</f>
        <v>1419716506</v>
      </c>
      <c r="G1404" s="2" t="str">
        <f>"9781419716508"</f>
        <v>9781419716508</v>
      </c>
      <c r="H1404" s="1" t="s">
        <v>2568</v>
      </c>
      <c r="I1404" s="1" t="s">
        <v>31</v>
      </c>
      <c r="J1404" s="1">
        <v>40.0</v>
      </c>
      <c r="K1404" s="1">
        <v>2015.0</v>
      </c>
      <c r="L1404" s="1">
        <v>2015.0</v>
      </c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 t="s">
        <v>412</v>
      </c>
      <c r="Y1404" s="1" t="s">
        <v>5745</v>
      </c>
    </row>
    <row r="1405">
      <c r="A1405" s="1">
        <v>5.7563659E7</v>
      </c>
      <c r="B1405" s="1" t="s">
        <v>5746</v>
      </c>
      <c r="C1405" s="1" t="s">
        <v>5747</v>
      </c>
      <c r="D1405" s="1" t="s">
        <v>5748</v>
      </c>
      <c r="E1405" s="1" t="s">
        <v>5749</v>
      </c>
      <c r="F1405" s="2" t="str">
        <f>"1646862821"</f>
        <v>1646862821</v>
      </c>
      <c r="G1405" s="2" t="str">
        <f>"9781646862825"</f>
        <v>9781646862825</v>
      </c>
      <c r="H1405" s="1" t="s">
        <v>5401</v>
      </c>
      <c r="I1405" s="1" t="s">
        <v>36</v>
      </c>
      <c r="J1405" s="1">
        <v>40.0</v>
      </c>
      <c r="K1405" s="1">
        <v>2021.0</v>
      </c>
      <c r="L1405" s="1">
        <v>2021.0</v>
      </c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 t="s">
        <v>1024</v>
      </c>
      <c r="Y1405" s="1" t="s">
        <v>5750</v>
      </c>
    </row>
    <row r="1406">
      <c r="A1406" s="1">
        <v>1.21919059E8</v>
      </c>
      <c r="B1406" s="1" t="s">
        <v>5751</v>
      </c>
      <c r="C1406" s="1" t="s">
        <v>5752</v>
      </c>
      <c r="D1406" s="1" t="s">
        <v>5753</v>
      </c>
      <c r="E1406" s="1" t="s">
        <v>5754</v>
      </c>
      <c r="F1406" s="2" t="str">
        <f t="shared" ref="F1406:G1406" si="99">""</f>
        <v/>
      </c>
      <c r="G1406" s="2" t="str">
        <f t="shared" si="99"/>
        <v/>
      </c>
      <c r="H1406" s="1" t="s">
        <v>5755</v>
      </c>
      <c r="I1406" s="1" t="s">
        <v>31</v>
      </c>
      <c r="J1406" s="1">
        <v>40.0</v>
      </c>
      <c r="K1406" s="1">
        <v>2023.0</v>
      </c>
      <c r="L1406" s="1">
        <v>2023.0</v>
      </c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 t="s">
        <v>1024</v>
      </c>
      <c r="Y1406" s="1" t="s">
        <v>5756</v>
      </c>
    </row>
    <row r="1407">
      <c r="A1407" s="1">
        <v>1.08871587E8</v>
      </c>
      <c r="B1407" s="1" t="s">
        <v>5757</v>
      </c>
      <c r="C1407" s="1" t="s">
        <v>1313</v>
      </c>
      <c r="D1407" s="1" t="s">
        <v>1314</v>
      </c>
      <c r="F1407" s="2" t="str">
        <f>"9587586247"</f>
        <v>9587586247</v>
      </c>
      <c r="G1407" s="2" t="str">
        <f>"9789587586244"</f>
        <v>9789587586244</v>
      </c>
      <c r="H1407" s="1" t="s">
        <v>60</v>
      </c>
      <c r="I1407" s="1" t="s">
        <v>36</v>
      </c>
      <c r="J1407" s="1">
        <v>40.0</v>
      </c>
      <c r="K1407" s="1">
        <v>2013.0</v>
      </c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 t="s">
        <v>32</v>
      </c>
      <c r="Y1407" s="1" t="s">
        <v>5758</v>
      </c>
    </row>
    <row r="1408">
      <c r="A1408" s="1">
        <v>9676975.0</v>
      </c>
      <c r="B1408" s="1" t="s">
        <v>5759</v>
      </c>
      <c r="C1408" s="1" t="s">
        <v>5760</v>
      </c>
      <c r="D1408" s="1" t="s">
        <v>5761</v>
      </c>
      <c r="E1408" s="1" t="s">
        <v>3272</v>
      </c>
      <c r="F1408" s="2" t="str">
        <f>"0811864790"</f>
        <v>0811864790</v>
      </c>
      <c r="G1408" s="2" t="str">
        <f>"9780811864794"</f>
        <v>9780811864794</v>
      </c>
      <c r="H1408" s="1" t="s">
        <v>1593</v>
      </c>
      <c r="I1408" s="1" t="s">
        <v>31</v>
      </c>
      <c r="J1408" s="1">
        <v>40.0</v>
      </c>
      <c r="K1408" s="1">
        <v>2011.0</v>
      </c>
      <c r="L1408" s="1">
        <v>2011.0</v>
      </c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 t="s">
        <v>131</v>
      </c>
      <c r="Y1408" s="1" t="s">
        <v>5762</v>
      </c>
    </row>
    <row r="1409">
      <c r="A1409" s="1">
        <v>25184.0</v>
      </c>
      <c r="B1409" s="1" t="s">
        <v>5763</v>
      </c>
      <c r="C1409" s="1" t="s">
        <v>5764</v>
      </c>
      <c r="D1409" s="1" t="s">
        <v>5765</v>
      </c>
      <c r="E1409" s="1" t="s">
        <v>5766</v>
      </c>
      <c r="F1409" s="2" t="str">
        <f>"0689822529"</f>
        <v>0689822529</v>
      </c>
      <c r="G1409" s="2" t="str">
        <f>"9780689822520"</f>
        <v>9780689822520</v>
      </c>
      <c r="H1409" s="1" t="s">
        <v>2496</v>
      </c>
      <c r="I1409" s="1" t="s">
        <v>36</v>
      </c>
      <c r="J1409" s="1">
        <v>40.0</v>
      </c>
      <c r="K1409" s="1">
        <v>1998.0</v>
      </c>
      <c r="L1409" s="1">
        <v>1996.0</v>
      </c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 t="s">
        <v>116</v>
      </c>
      <c r="Y1409" s="1" t="s">
        <v>5767</v>
      </c>
    </row>
    <row r="1410">
      <c r="A1410" s="1">
        <v>181598.0</v>
      </c>
      <c r="B1410" s="1" t="s">
        <v>5768</v>
      </c>
      <c r="C1410" s="1" t="s">
        <v>5764</v>
      </c>
      <c r="D1410" s="1" t="s">
        <v>5765</v>
      </c>
      <c r="E1410" s="1" t="s">
        <v>5766</v>
      </c>
      <c r="F1410" s="2" t="str">
        <f>"0689812191"</f>
        <v>0689812191</v>
      </c>
      <c r="G1410" s="2" t="str">
        <f>"9780689812194"</f>
        <v>9780689812194</v>
      </c>
      <c r="H1410" s="1" t="s">
        <v>2496</v>
      </c>
      <c r="I1410" s="1" t="s">
        <v>36</v>
      </c>
      <c r="J1410" s="1">
        <v>40.0</v>
      </c>
      <c r="K1410" s="1">
        <v>1997.0</v>
      </c>
      <c r="L1410" s="1">
        <v>1994.0</v>
      </c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 t="s">
        <v>116</v>
      </c>
      <c r="Y1410" s="1" t="s">
        <v>5769</v>
      </c>
    </row>
    <row r="1411">
      <c r="A1411" s="1">
        <v>2.0708761E7</v>
      </c>
      <c r="B1411" s="1" t="s">
        <v>5770</v>
      </c>
      <c r="C1411" s="1" t="s">
        <v>5771</v>
      </c>
      <c r="D1411" s="1" t="s">
        <v>5772</v>
      </c>
      <c r="E1411" s="1" t="s">
        <v>5076</v>
      </c>
      <c r="F1411" s="2" t="str">
        <f>"0763662291"</f>
        <v>0763662291</v>
      </c>
      <c r="G1411" s="2" t="str">
        <f>"9780763662295"</f>
        <v>9780763662295</v>
      </c>
      <c r="H1411" s="1" t="s">
        <v>945</v>
      </c>
      <c r="I1411" s="1" t="s">
        <v>31</v>
      </c>
      <c r="J1411" s="1">
        <v>40.0</v>
      </c>
      <c r="K1411" s="1">
        <v>2014.0</v>
      </c>
      <c r="L1411" s="1">
        <v>2014.0</v>
      </c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 t="s">
        <v>2298</v>
      </c>
      <c r="Y1411" s="1" t="s">
        <v>5773</v>
      </c>
    </row>
    <row r="1412">
      <c r="A1412" s="1">
        <v>4.3822045E7</v>
      </c>
      <c r="B1412" s="1" t="s">
        <v>5774</v>
      </c>
      <c r="C1412" s="1" t="s">
        <v>5775</v>
      </c>
      <c r="D1412" s="1" t="s">
        <v>5776</v>
      </c>
      <c r="E1412" s="1" t="s">
        <v>5777</v>
      </c>
      <c r="F1412" s="2" t="str">
        <f>"1481487590"</f>
        <v>1481487590</v>
      </c>
      <c r="G1412" s="2" t="str">
        <f>"9781481487597"</f>
        <v>9781481487597</v>
      </c>
      <c r="H1412" s="1" t="s">
        <v>3782</v>
      </c>
      <c r="I1412" s="1" t="s">
        <v>31</v>
      </c>
      <c r="J1412" s="1">
        <v>40.0</v>
      </c>
      <c r="K1412" s="1">
        <v>2019.0</v>
      </c>
      <c r="L1412" s="1">
        <v>2019.0</v>
      </c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 t="s">
        <v>1195</v>
      </c>
      <c r="Y1412" s="1" t="s">
        <v>5778</v>
      </c>
    </row>
    <row r="1413">
      <c r="A1413" s="1">
        <v>316418.0</v>
      </c>
      <c r="B1413" s="1" t="s">
        <v>5779</v>
      </c>
      <c r="C1413" s="1" t="s">
        <v>206</v>
      </c>
      <c r="D1413" s="1" t="s">
        <v>5780</v>
      </c>
      <c r="F1413" s="2" t="str">
        <f>"0805079173"</f>
        <v>0805079173</v>
      </c>
      <c r="G1413" s="2" t="str">
        <f>"9780805079173"</f>
        <v>9780805079173</v>
      </c>
      <c r="H1413" s="1" t="s">
        <v>4316</v>
      </c>
      <c r="I1413" s="1" t="s">
        <v>31</v>
      </c>
      <c r="J1413" s="1">
        <v>40.0</v>
      </c>
      <c r="K1413" s="1">
        <v>2006.0</v>
      </c>
      <c r="L1413" s="1">
        <v>2006.0</v>
      </c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 t="s">
        <v>5330</v>
      </c>
      <c r="Y1413" s="1" t="s">
        <v>5781</v>
      </c>
    </row>
    <row r="1414">
      <c r="A1414" s="1">
        <v>2.1920954E7</v>
      </c>
      <c r="B1414" s="1" t="s">
        <v>5782</v>
      </c>
      <c r="C1414" s="1" t="s">
        <v>5783</v>
      </c>
      <c r="D1414" s="1" t="s">
        <v>5784</v>
      </c>
      <c r="E1414" s="1" t="s">
        <v>5785</v>
      </c>
      <c r="F1414" s="2" t="str">
        <f>"0316376388"</f>
        <v>0316376388</v>
      </c>
      <c r="G1414" s="2" t="str">
        <f>"9780316376389"</f>
        <v>9780316376389</v>
      </c>
      <c r="H1414" s="1" t="s">
        <v>112</v>
      </c>
      <c r="I1414" s="1" t="s">
        <v>31</v>
      </c>
      <c r="J1414" s="1">
        <v>40.0</v>
      </c>
      <c r="K1414" s="1">
        <v>2014.0</v>
      </c>
      <c r="L1414" s="1">
        <v>2014.0</v>
      </c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 t="s">
        <v>863</v>
      </c>
      <c r="Y1414" s="1" t="s">
        <v>5786</v>
      </c>
    </row>
    <row r="1415">
      <c r="A1415" s="1">
        <v>1.6074959E7</v>
      </c>
      <c r="B1415" s="1" t="s">
        <v>5787</v>
      </c>
      <c r="C1415" s="1" t="s">
        <v>5788</v>
      </c>
      <c r="D1415" s="1" t="s">
        <v>5789</v>
      </c>
      <c r="E1415" s="1" t="s">
        <v>5790</v>
      </c>
      <c r="F1415" s="2" t="str">
        <f>"1416997636"</f>
        <v>1416997636</v>
      </c>
      <c r="G1415" s="2" t="str">
        <f>"9781416997634"</f>
        <v>9781416997634</v>
      </c>
      <c r="H1415" s="1" t="s">
        <v>3030</v>
      </c>
      <c r="I1415" s="1" t="s">
        <v>31</v>
      </c>
      <c r="J1415" s="1">
        <v>40.0</v>
      </c>
      <c r="K1415" s="1">
        <v>2013.0</v>
      </c>
      <c r="L1415" s="1">
        <v>2013.0</v>
      </c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 t="s">
        <v>1317</v>
      </c>
      <c r="Y1415" s="1" t="s">
        <v>5791</v>
      </c>
    </row>
    <row r="1416">
      <c r="A1416" s="1">
        <v>455427.0</v>
      </c>
      <c r="B1416" s="1" t="s">
        <v>5792</v>
      </c>
      <c r="C1416" s="1" t="s">
        <v>5793</v>
      </c>
      <c r="D1416" s="1" t="s">
        <v>5794</v>
      </c>
      <c r="E1416" s="1" t="s">
        <v>5795</v>
      </c>
      <c r="F1416" s="2" t="str">
        <f>"0374368821"</f>
        <v>0374368821</v>
      </c>
      <c r="G1416" s="2" t="str">
        <f>"9780374368821"</f>
        <v>9780374368821</v>
      </c>
      <c r="H1416" s="1" t="s">
        <v>5549</v>
      </c>
      <c r="I1416" s="1" t="s">
        <v>31</v>
      </c>
      <c r="J1416" s="1">
        <v>40.0</v>
      </c>
      <c r="K1416" s="1">
        <v>2001.0</v>
      </c>
      <c r="L1416" s="1">
        <v>2001.0</v>
      </c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 t="s">
        <v>1219</v>
      </c>
      <c r="Y1416" s="1" t="s">
        <v>5796</v>
      </c>
    </row>
    <row r="1417">
      <c r="A1417" s="1">
        <v>2275830.0</v>
      </c>
      <c r="B1417" s="1" t="s">
        <v>5797</v>
      </c>
      <c r="C1417" s="1" t="s">
        <v>5798</v>
      </c>
      <c r="D1417" s="1" t="s">
        <v>5799</v>
      </c>
      <c r="E1417" s="1" t="s">
        <v>5800</v>
      </c>
      <c r="F1417" s="2" t="str">
        <f>"9580480427"</f>
        <v>9580480427</v>
      </c>
      <c r="G1417" s="2" t="str">
        <f>"9789580480426"</f>
        <v>9789580480426</v>
      </c>
      <c r="H1417" s="1" t="s">
        <v>5801</v>
      </c>
      <c r="I1417" s="1" t="s">
        <v>36</v>
      </c>
      <c r="J1417" s="1">
        <v>40.0</v>
      </c>
      <c r="K1417" s="1">
        <v>2005.0</v>
      </c>
      <c r="L1417" s="1">
        <v>2005.0</v>
      </c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 t="s">
        <v>109</v>
      </c>
      <c r="Y1417" s="1" t="s">
        <v>5802</v>
      </c>
    </row>
    <row r="1418">
      <c r="A1418" s="1">
        <v>1.0779345E7</v>
      </c>
      <c r="B1418" s="1" t="s">
        <v>5803</v>
      </c>
      <c r="C1418" s="1" t="s">
        <v>5804</v>
      </c>
      <c r="D1418" s="1" t="s">
        <v>5805</v>
      </c>
      <c r="F1418" s="2" t="str">
        <f t="shared" ref="F1418:G1418" si="100">""</f>
        <v/>
      </c>
      <c r="G1418" s="2" t="str">
        <f t="shared" si="100"/>
        <v/>
      </c>
      <c r="I1418" s="1" t="s">
        <v>238</v>
      </c>
      <c r="J1418" s="1">
        <v>40.0</v>
      </c>
      <c r="L1418" s="1">
        <v>2011.0</v>
      </c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 t="s">
        <v>3263</v>
      </c>
      <c r="Y1418" s="1" t="s">
        <v>5806</v>
      </c>
    </row>
    <row r="1419">
      <c r="A1419" s="1">
        <v>2369506.0</v>
      </c>
      <c r="B1419" s="1" t="s">
        <v>5807</v>
      </c>
      <c r="C1419" s="1" t="s">
        <v>5808</v>
      </c>
      <c r="D1419" s="1" t="s">
        <v>5809</v>
      </c>
      <c r="F1419" s="2" t="str">
        <f>"0803731256"</f>
        <v>0803731256</v>
      </c>
      <c r="G1419" s="2" t="str">
        <f>"9780803731257"</f>
        <v>9780803731257</v>
      </c>
      <c r="H1419" s="1" t="s">
        <v>2600</v>
      </c>
      <c r="I1419" s="1" t="s">
        <v>31</v>
      </c>
      <c r="J1419" s="1">
        <v>40.0</v>
      </c>
      <c r="K1419" s="1">
        <v>2008.0</v>
      </c>
      <c r="L1419" s="1">
        <v>2008.0</v>
      </c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 t="s">
        <v>1195</v>
      </c>
      <c r="Y1419" s="1" t="s">
        <v>5810</v>
      </c>
    </row>
    <row r="1420">
      <c r="A1420" s="1">
        <v>2604884.0</v>
      </c>
      <c r="B1420" s="1" t="s">
        <v>5811</v>
      </c>
      <c r="C1420" s="1" t="s">
        <v>2701</v>
      </c>
      <c r="D1420" s="1" t="s">
        <v>2702</v>
      </c>
      <c r="F1420" s="2" t="str">
        <f>"069820641X"</f>
        <v>069820641X</v>
      </c>
      <c r="G1420" s="2" t="str">
        <f>"9780698206410"</f>
        <v>9780698206410</v>
      </c>
      <c r="H1420" s="1" t="s">
        <v>2525</v>
      </c>
      <c r="I1420" s="1" t="s">
        <v>31</v>
      </c>
      <c r="J1420" s="1">
        <v>40.0</v>
      </c>
      <c r="K1420" s="1">
        <v>1989.0</v>
      </c>
      <c r="L1420" s="1">
        <v>1970.0</v>
      </c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 t="s">
        <v>116</v>
      </c>
      <c r="Y1420" s="1" t="s">
        <v>5812</v>
      </c>
    </row>
    <row r="1421">
      <c r="A1421" s="1">
        <v>3.4077603E7</v>
      </c>
      <c r="B1421" s="1" t="s">
        <v>5813</v>
      </c>
      <c r="C1421" s="1" t="s">
        <v>5814</v>
      </c>
      <c r="D1421" s="1" t="s">
        <v>5815</v>
      </c>
      <c r="E1421" s="1" t="s">
        <v>5816</v>
      </c>
      <c r="F1421" s="2" t="str">
        <f>"1338053140"</f>
        <v>1338053140</v>
      </c>
      <c r="G1421" s="2" t="str">
        <f>"9781338053142"</f>
        <v>9781338053142</v>
      </c>
      <c r="H1421" s="1" t="s">
        <v>857</v>
      </c>
      <c r="I1421" s="1" t="s">
        <v>31</v>
      </c>
      <c r="J1421" s="1">
        <v>40.0</v>
      </c>
      <c r="K1421" s="1">
        <v>2017.0</v>
      </c>
      <c r="L1421" s="1">
        <v>2017.0</v>
      </c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 t="s">
        <v>1024</v>
      </c>
      <c r="Y1421" s="1" t="s">
        <v>5817</v>
      </c>
    </row>
    <row r="1422">
      <c r="A1422" s="1">
        <v>4.2283336E7</v>
      </c>
      <c r="B1422" s="1" t="s">
        <v>5818</v>
      </c>
      <c r="C1422" s="1" t="s">
        <v>5819</v>
      </c>
      <c r="D1422" s="1" t="s">
        <v>5820</v>
      </c>
      <c r="F1422" s="2" t="str">
        <f>"0316559326"</f>
        <v>0316559326</v>
      </c>
      <c r="G1422" s="2" t="str">
        <f>"9780316559324"</f>
        <v>9780316559324</v>
      </c>
      <c r="H1422" s="1" t="s">
        <v>112</v>
      </c>
      <c r="I1422" s="1" t="s">
        <v>31</v>
      </c>
      <c r="J1422" s="1">
        <v>40.0</v>
      </c>
      <c r="K1422" s="1">
        <v>2019.0</v>
      </c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 t="s">
        <v>1219</v>
      </c>
      <c r="Y1422" s="1" t="s">
        <v>5821</v>
      </c>
    </row>
    <row r="1423">
      <c r="A1423" s="1">
        <v>1.7333265E7</v>
      </c>
      <c r="B1423" s="1" t="s">
        <v>5822</v>
      </c>
      <c r="C1423" s="1" t="s">
        <v>4762</v>
      </c>
      <c r="D1423" s="1" t="s">
        <v>5823</v>
      </c>
      <c r="F1423" s="2" t="str">
        <f>"0316200638"</f>
        <v>0316200638</v>
      </c>
      <c r="G1423" s="2" t="str">
        <f>"9780316200639"</f>
        <v>9780316200639</v>
      </c>
      <c r="H1423" s="1" t="s">
        <v>5824</v>
      </c>
      <c r="I1423" s="1" t="s">
        <v>31</v>
      </c>
      <c r="J1423" s="1">
        <v>40.0</v>
      </c>
      <c r="K1423" s="1">
        <v>2013.0</v>
      </c>
      <c r="L1423" s="1">
        <v>2013.0</v>
      </c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 t="s">
        <v>1390</v>
      </c>
      <c r="Y1423" s="1" t="s">
        <v>5825</v>
      </c>
    </row>
    <row r="1424">
      <c r="A1424" s="1">
        <v>502386.0</v>
      </c>
      <c r="B1424" s="1" t="s">
        <v>5826</v>
      </c>
      <c r="C1424" s="1" t="s">
        <v>5827</v>
      </c>
      <c r="D1424" s="1" t="s">
        <v>5828</v>
      </c>
      <c r="F1424" s="2" t="str">
        <f>"0810942445"</f>
        <v>0810942445</v>
      </c>
      <c r="G1424" s="2" t="str">
        <f>"9780810942448"</f>
        <v>9780810942448</v>
      </c>
      <c r="H1424" s="1" t="s">
        <v>145</v>
      </c>
      <c r="I1424" s="1" t="s">
        <v>31</v>
      </c>
      <c r="J1424" s="1">
        <v>40.0</v>
      </c>
      <c r="K1424" s="1">
        <v>2003.0</v>
      </c>
      <c r="L1424" s="1">
        <v>1972.0</v>
      </c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 t="s">
        <v>412</v>
      </c>
      <c r="Y1424" s="1" t="s">
        <v>5829</v>
      </c>
    </row>
    <row r="1425">
      <c r="A1425" s="1">
        <v>616833.0</v>
      </c>
      <c r="B1425" s="1" t="s">
        <v>5830</v>
      </c>
      <c r="C1425" s="1" t="s">
        <v>5831</v>
      </c>
      <c r="D1425" s="1" t="s">
        <v>5832</v>
      </c>
      <c r="E1425" s="1" t="s">
        <v>4504</v>
      </c>
      <c r="F1425" s="2" t="str">
        <f>"0152018840"</f>
        <v>0152018840</v>
      </c>
      <c r="G1425" s="2" t="str">
        <f>"9780152018849"</f>
        <v>9780152018849</v>
      </c>
      <c r="H1425" s="1" t="s">
        <v>1710</v>
      </c>
      <c r="I1425" s="1" t="s">
        <v>36</v>
      </c>
      <c r="J1425" s="1">
        <v>40.0</v>
      </c>
      <c r="K1425" s="1">
        <v>1999.0</v>
      </c>
      <c r="L1425" s="1">
        <v>1994.0</v>
      </c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 t="s">
        <v>742</v>
      </c>
      <c r="Y1425" s="1" t="s">
        <v>5833</v>
      </c>
    </row>
    <row r="1426">
      <c r="A1426" s="1">
        <v>5.7415326E7</v>
      </c>
      <c r="B1426" s="1" t="s">
        <v>5834</v>
      </c>
      <c r="C1426" s="1" t="s">
        <v>5835</v>
      </c>
      <c r="D1426" s="1" t="s">
        <v>5836</v>
      </c>
      <c r="E1426" s="1" t="s">
        <v>5837</v>
      </c>
      <c r="F1426" s="2" t="str">
        <f>"1636550002"</f>
        <v>1636550002</v>
      </c>
      <c r="G1426" s="2" t="str">
        <f>"9781636550008"</f>
        <v>9781636550008</v>
      </c>
      <c r="H1426" s="1" t="s">
        <v>5838</v>
      </c>
      <c r="I1426" s="1" t="s">
        <v>31</v>
      </c>
      <c r="J1426" s="1">
        <v>40.0</v>
      </c>
      <c r="K1426" s="1">
        <v>2021.0</v>
      </c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 t="s">
        <v>1084</v>
      </c>
      <c r="Y1426" s="1" t="s">
        <v>5839</v>
      </c>
    </row>
    <row r="1427">
      <c r="A1427" s="1">
        <v>233700.0</v>
      </c>
      <c r="B1427" s="1" t="s">
        <v>5840</v>
      </c>
      <c r="C1427" s="1" t="s">
        <v>5841</v>
      </c>
      <c r="D1427" s="1" t="s">
        <v>5842</v>
      </c>
      <c r="E1427" s="1" t="s">
        <v>5843</v>
      </c>
      <c r="F1427" s="2" t="str">
        <f>"1585361526"</f>
        <v>1585361526</v>
      </c>
      <c r="G1427" s="2" t="str">
        <f>"9781585361526"</f>
        <v>9781585361526</v>
      </c>
      <c r="H1427" s="1" t="s">
        <v>4966</v>
      </c>
      <c r="I1427" s="1" t="s">
        <v>31</v>
      </c>
      <c r="J1427" s="1">
        <v>40.0</v>
      </c>
      <c r="K1427" s="1">
        <v>2004.0</v>
      </c>
      <c r="L1427" s="1">
        <v>2004.0</v>
      </c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 t="s">
        <v>1317</v>
      </c>
      <c r="Y1427" s="1" t="s">
        <v>5844</v>
      </c>
    </row>
    <row r="1428">
      <c r="A1428" s="1">
        <v>2.8665602E7</v>
      </c>
      <c r="B1428" s="1" t="s">
        <v>5845</v>
      </c>
      <c r="C1428" s="1" t="s">
        <v>5846</v>
      </c>
      <c r="D1428" s="1" t="s">
        <v>5847</v>
      </c>
      <c r="E1428" s="1" t="s">
        <v>5848</v>
      </c>
      <c r="F1428" s="2" t="str">
        <f>"1771386215"</f>
        <v>1771386215</v>
      </c>
      <c r="G1428" s="2" t="str">
        <f>"9781771386210"</f>
        <v>9781771386210</v>
      </c>
      <c r="H1428" s="1" t="s">
        <v>3071</v>
      </c>
      <c r="I1428" s="1" t="s">
        <v>31</v>
      </c>
      <c r="J1428" s="1">
        <v>40.0</v>
      </c>
      <c r="K1428" s="1">
        <v>2016.0</v>
      </c>
      <c r="L1428" s="1">
        <v>2015.0</v>
      </c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 t="s">
        <v>1084</v>
      </c>
      <c r="Y1428" s="1" t="s">
        <v>5849</v>
      </c>
    </row>
    <row r="1429">
      <c r="A1429" s="1">
        <v>4.9090441E7</v>
      </c>
      <c r="B1429" s="1" t="s">
        <v>5850</v>
      </c>
      <c r="C1429" s="1" t="s">
        <v>5851</v>
      </c>
      <c r="D1429" s="1" t="s">
        <v>5852</v>
      </c>
      <c r="E1429" s="1" t="s">
        <v>5853</v>
      </c>
      <c r="F1429" s="2" t="str">
        <f>"133857485X"</f>
        <v>133857485X</v>
      </c>
      <c r="G1429" s="2" t="str">
        <f>"9781338574852"</f>
        <v>9781338574852</v>
      </c>
      <c r="H1429" s="1" t="s">
        <v>2397</v>
      </c>
      <c r="I1429" s="1" t="s">
        <v>31</v>
      </c>
      <c r="J1429" s="1">
        <v>40.0</v>
      </c>
      <c r="K1429" s="1">
        <v>2020.0</v>
      </c>
      <c r="L1429" s="1">
        <v>2020.0</v>
      </c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 t="s">
        <v>1084</v>
      </c>
      <c r="Y1429" s="1" t="s">
        <v>5854</v>
      </c>
    </row>
    <row r="1430">
      <c r="A1430" s="1">
        <v>5.545261E7</v>
      </c>
      <c r="B1430" s="1" t="s">
        <v>5855</v>
      </c>
      <c r="C1430" s="1" t="s">
        <v>5856</v>
      </c>
      <c r="D1430" s="1" t="s">
        <v>5857</v>
      </c>
      <c r="F1430" s="2" t="str">
        <f>"0152026142"</f>
        <v>0152026142</v>
      </c>
      <c r="G1430" s="2" t="str">
        <f>"9780152026141"</f>
        <v>9780152026141</v>
      </c>
      <c r="H1430" s="1" t="s">
        <v>389</v>
      </c>
      <c r="I1430" s="1" t="s">
        <v>36</v>
      </c>
      <c r="J1430" s="1">
        <v>40.0</v>
      </c>
      <c r="K1430" s="1">
        <v>2020.0</v>
      </c>
      <c r="L1430" s="1">
        <v>1990.0</v>
      </c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 t="s">
        <v>92</v>
      </c>
      <c r="Y1430" s="1" t="s">
        <v>5858</v>
      </c>
    </row>
    <row r="1431">
      <c r="A1431" s="1">
        <v>4130149.0</v>
      </c>
      <c r="B1431" s="1" t="s">
        <v>5859</v>
      </c>
      <c r="C1431" s="1" t="s">
        <v>5860</v>
      </c>
      <c r="D1431" s="1" t="s">
        <v>5861</v>
      </c>
      <c r="F1431" s="2" t="str">
        <f>"0896104788"</f>
        <v>0896104788</v>
      </c>
      <c r="G1431" s="2" t="str">
        <f>"9780896104785"</f>
        <v>9780896104785</v>
      </c>
      <c r="H1431" s="1" t="s">
        <v>5862</v>
      </c>
      <c r="I1431" s="1" t="s">
        <v>31</v>
      </c>
      <c r="J1431" s="1">
        <v>40.0</v>
      </c>
      <c r="K1431" s="1">
        <v>2004.0</v>
      </c>
      <c r="L1431" s="1">
        <v>2002.0</v>
      </c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 t="s">
        <v>4231</v>
      </c>
      <c r="Y1431" s="1" t="s">
        <v>5863</v>
      </c>
    </row>
    <row r="1432">
      <c r="A1432" s="1">
        <v>814357.0</v>
      </c>
      <c r="B1432" s="1" t="s">
        <v>5864</v>
      </c>
      <c r="C1432" s="1" t="s">
        <v>5865</v>
      </c>
      <c r="D1432" s="1" t="s">
        <v>5866</v>
      </c>
      <c r="F1432" s="2" t="str">
        <f>"0440417996"</f>
        <v>0440417996</v>
      </c>
      <c r="G1432" s="2" t="str">
        <f>"9780440417996"</f>
        <v>9780440417996</v>
      </c>
      <c r="H1432" s="1" t="s">
        <v>2751</v>
      </c>
      <c r="I1432" s="1" t="s">
        <v>36</v>
      </c>
      <c r="J1432" s="1">
        <v>40.0</v>
      </c>
      <c r="K1432" s="1">
        <v>2003.0</v>
      </c>
      <c r="L1432" s="1">
        <v>2001.0</v>
      </c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 t="s">
        <v>1024</v>
      </c>
      <c r="Y1432" s="1" t="s">
        <v>5867</v>
      </c>
    </row>
    <row r="1433">
      <c r="A1433" s="1">
        <v>1236968.0</v>
      </c>
      <c r="B1433" s="1" t="s">
        <v>5868</v>
      </c>
      <c r="C1433" s="1" t="s">
        <v>747</v>
      </c>
      <c r="D1433" s="1" t="s">
        <v>748</v>
      </c>
      <c r="E1433" s="1" t="s">
        <v>5869</v>
      </c>
      <c r="F1433" s="2" t="str">
        <f>"059046342X"</f>
        <v>059046342X</v>
      </c>
      <c r="G1433" s="2" t="str">
        <f>"9780590463423"</f>
        <v>9780590463423</v>
      </c>
      <c r="H1433" s="1" t="s">
        <v>504</v>
      </c>
      <c r="I1433" s="1" t="s">
        <v>36</v>
      </c>
      <c r="J1433" s="1">
        <v>40.0</v>
      </c>
      <c r="K1433" s="1">
        <v>1993.0</v>
      </c>
      <c r="L1433" s="1">
        <v>1987.0</v>
      </c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 t="s">
        <v>74</v>
      </c>
      <c r="Y1433" s="1" t="s">
        <v>5870</v>
      </c>
    </row>
    <row r="1434">
      <c r="A1434" s="1">
        <v>21315.0</v>
      </c>
      <c r="B1434" s="1" t="s">
        <v>5871</v>
      </c>
      <c r="C1434" s="1" t="s">
        <v>3000</v>
      </c>
      <c r="D1434" s="1" t="s">
        <v>3001</v>
      </c>
      <c r="E1434" s="1" t="s">
        <v>5584</v>
      </c>
      <c r="F1434" s="2" t="str">
        <f>"0060001534"</f>
        <v>0060001534</v>
      </c>
      <c r="G1434" s="2" t="str">
        <f>"9780060001537"</f>
        <v>9780060001537</v>
      </c>
      <c r="H1434" s="1" t="s">
        <v>290</v>
      </c>
      <c r="I1434" s="1" t="s">
        <v>31</v>
      </c>
      <c r="J1434" s="1">
        <v>40.0</v>
      </c>
      <c r="K1434" s="1">
        <v>2005.0</v>
      </c>
      <c r="L1434" s="1">
        <v>1996.0</v>
      </c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 t="s">
        <v>1494</v>
      </c>
      <c r="Y1434" s="1" t="s">
        <v>5872</v>
      </c>
    </row>
    <row r="1435">
      <c r="A1435" s="1">
        <v>99296.0</v>
      </c>
      <c r="B1435" s="1" t="s">
        <v>5873</v>
      </c>
      <c r="C1435" s="1" t="s">
        <v>3000</v>
      </c>
      <c r="D1435" s="1" t="s">
        <v>3001</v>
      </c>
      <c r="E1435" s="1" t="s">
        <v>5584</v>
      </c>
      <c r="F1435" s="2" t="str">
        <f>"006000150X"</f>
        <v>006000150X</v>
      </c>
      <c r="G1435" s="2" t="str">
        <f>"9780060001506"</f>
        <v>9780060001506</v>
      </c>
      <c r="H1435" s="1" t="s">
        <v>290</v>
      </c>
      <c r="I1435" s="1" t="s">
        <v>31</v>
      </c>
      <c r="J1435" s="1">
        <v>40.0</v>
      </c>
      <c r="K1435" s="1">
        <v>2003.0</v>
      </c>
      <c r="L1435" s="1">
        <v>2003.0</v>
      </c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 t="s">
        <v>1494</v>
      </c>
      <c r="Y1435" s="1" t="s">
        <v>5874</v>
      </c>
    </row>
    <row r="1436">
      <c r="A1436" s="1">
        <v>1.7334103E7</v>
      </c>
      <c r="B1436" s="1" t="s">
        <v>5875</v>
      </c>
      <c r="C1436" s="1" t="s">
        <v>3000</v>
      </c>
      <c r="D1436" s="1" t="s">
        <v>3001</v>
      </c>
      <c r="E1436" s="1" t="s">
        <v>3002</v>
      </c>
      <c r="F1436" s="2" t="str">
        <f>"1442465549"</f>
        <v>1442465549</v>
      </c>
      <c r="G1436" s="2" t="str">
        <f>"9781442465541"</f>
        <v>9781442465541</v>
      </c>
      <c r="H1436" s="1" t="s">
        <v>2537</v>
      </c>
      <c r="I1436" s="1" t="s">
        <v>238</v>
      </c>
      <c r="J1436" s="1">
        <v>40.0</v>
      </c>
      <c r="K1436" s="1">
        <v>2013.0</v>
      </c>
      <c r="L1436" s="1">
        <v>2013.0</v>
      </c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 t="s">
        <v>863</v>
      </c>
      <c r="Y1436" s="1" t="s">
        <v>5876</v>
      </c>
    </row>
    <row r="1437">
      <c r="A1437" s="1">
        <v>108423.0</v>
      </c>
      <c r="B1437" s="1" t="s">
        <v>5877</v>
      </c>
      <c r="C1437" s="1" t="s">
        <v>3022</v>
      </c>
      <c r="D1437" s="1" t="s">
        <v>3023</v>
      </c>
      <c r="E1437" s="1" t="s">
        <v>3024</v>
      </c>
      <c r="F1437" s="2" t="str">
        <f>"0060753463"</f>
        <v>0060753463</v>
      </c>
      <c r="G1437" s="2" t="str">
        <f>"9780060753467"</f>
        <v>9780060753467</v>
      </c>
      <c r="H1437" s="1" t="s">
        <v>290</v>
      </c>
      <c r="I1437" s="1" t="s">
        <v>31</v>
      </c>
      <c r="J1437" s="1">
        <v>40.0</v>
      </c>
      <c r="K1437" s="1">
        <v>2006.0</v>
      </c>
      <c r="L1437" s="1">
        <v>2006.0</v>
      </c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 t="s">
        <v>1219</v>
      </c>
      <c r="Y1437" s="1" t="s">
        <v>5878</v>
      </c>
    </row>
    <row r="1438">
      <c r="A1438" s="1">
        <v>8768.0</v>
      </c>
      <c r="B1438" s="1" t="s">
        <v>5879</v>
      </c>
      <c r="C1438" s="1" t="s">
        <v>3022</v>
      </c>
      <c r="D1438" s="1" t="s">
        <v>3023</v>
      </c>
      <c r="E1438" s="1" t="s">
        <v>3024</v>
      </c>
      <c r="F1438" s="2" t="str">
        <f>"0060245603"</f>
        <v>0060245603</v>
      </c>
      <c r="G1438" s="2" t="str">
        <f>"9780060245603"</f>
        <v>9780060245603</v>
      </c>
      <c r="H1438" s="1" t="s">
        <v>290</v>
      </c>
      <c r="I1438" s="1" t="s">
        <v>31</v>
      </c>
      <c r="J1438" s="1">
        <v>40.0</v>
      </c>
      <c r="K1438" s="1">
        <v>1998.0</v>
      </c>
      <c r="L1438" s="1">
        <v>1998.0</v>
      </c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 t="s">
        <v>1219</v>
      </c>
      <c r="Y1438" s="1" t="s">
        <v>5880</v>
      </c>
    </row>
    <row r="1439">
      <c r="A1439" s="1">
        <v>158176.0</v>
      </c>
      <c r="B1439" s="1" t="s">
        <v>5881</v>
      </c>
      <c r="C1439" s="1" t="s">
        <v>3022</v>
      </c>
      <c r="D1439" s="1" t="s">
        <v>3023</v>
      </c>
      <c r="E1439" s="1" t="s">
        <v>3024</v>
      </c>
      <c r="F1439" s="2" t="str">
        <f>"0060287616"</f>
        <v>0060287616</v>
      </c>
      <c r="G1439" s="2" t="str">
        <f>"9780060287610"</f>
        <v>9780060287610</v>
      </c>
      <c r="H1439" s="1" t="s">
        <v>290</v>
      </c>
      <c r="I1439" s="1" t="s">
        <v>31</v>
      </c>
      <c r="J1439" s="1">
        <v>40.0</v>
      </c>
      <c r="K1439" s="1">
        <v>2002.0</v>
      </c>
      <c r="L1439" s="1">
        <v>2002.0</v>
      </c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 t="s">
        <v>1084</v>
      </c>
      <c r="Y1439" s="1" t="s">
        <v>5882</v>
      </c>
    </row>
    <row r="1440">
      <c r="A1440" s="1">
        <v>158179.0</v>
      </c>
      <c r="B1440" s="1" t="s">
        <v>5883</v>
      </c>
      <c r="C1440" s="1" t="s">
        <v>3022</v>
      </c>
      <c r="D1440" s="1" t="s">
        <v>3023</v>
      </c>
      <c r="E1440" s="1" t="s">
        <v>3024</v>
      </c>
      <c r="F1440" s="2" t="str">
        <f>"0064435814"</f>
        <v>0064435814</v>
      </c>
      <c r="G1440" s="2" t="str">
        <f>"9780064435819"</f>
        <v>9780064435819</v>
      </c>
      <c r="H1440" s="1" t="s">
        <v>290</v>
      </c>
      <c r="I1440" s="1" t="s">
        <v>36</v>
      </c>
      <c r="J1440" s="1">
        <v>40.0</v>
      </c>
      <c r="K1440" s="1">
        <v>2000.0</v>
      </c>
      <c r="L1440" s="1">
        <v>1996.0</v>
      </c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 t="s">
        <v>1084</v>
      </c>
      <c r="Y1440" s="1" t="s">
        <v>5884</v>
      </c>
    </row>
    <row r="1441">
      <c r="A1441" s="1">
        <v>2.0675002E7</v>
      </c>
      <c r="B1441" s="1" t="s">
        <v>5885</v>
      </c>
      <c r="C1441" s="1" t="s">
        <v>5886</v>
      </c>
      <c r="D1441" s="1" t="s">
        <v>5887</v>
      </c>
      <c r="E1441" s="1" t="s">
        <v>5888</v>
      </c>
      <c r="F1441" s="2" t="str">
        <f>"1848192282"</f>
        <v>1848192282</v>
      </c>
      <c r="G1441" s="2" t="str">
        <f>"9781848192287"</f>
        <v>9781848192287</v>
      </c>
      <c r="H1441" s="1" t="s">
        <v>5889</v>
      </c>
      <c r="I1441" s="1" t="s">
        <v>31</v>
      </c>
      <c r="J1441" s="1">
        <v>40.0</v>
      </c>
      <c r="K1441" s="1">
        <v>2014.0</v>
      </c>
      <c r="L1441" s="1">
        <v>2014.0</v>
      </c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 t="s">
        <v>113</v>
      </c>
      <c r="Y1441" s="1" t="s">
        <v>5890</v>
      </c>
    </row>
    <row r="1442">
      <c r="A1442" s="1">
        <v>5.589379E7</v>
      </c>
      <c r="B1442" s="1" t="s">
        <v>5891</v>
      </c>
      <c r="C1442" s="1" t="s">
        <v>5892</v>
      </c>
      <c r="D1442" s="1" t="s">
        <v>5893</v>
      </c>
      <c r="E1442" s="1" t="s">
        <v>5894</v>
      </c>
      <c r="F1442" s="2" t="str">
        <f>"0062979663"</f>
        <v>0062979663</v>
      </c>
      <c r="G1442" s="2" t="str">
        <f>"9780062979667"</f>
        <v>9780062979667</v>
      </c>
      <c r="H1442" s="1" t="s">
        <v>290</v>
      </c>
      <c r="I1442" s="1" t="s">
        <v>31</v>
      </c>
      <c r="J1442" s="1">
        <v>40.0</v>
      </c>
      <c r="K1442" s="1">
        <v>2021.0</v>
      </c>
      <c r="L1442" s="1">
        <v>2021.0</v>
      </c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 t="s">
        <v>1024</v>
      </c>
      <c r="Y1442" s="1" t="s">
        <v>5895</v>
      </c>
    </row>
    <row r="1443">
      <c r="A1443" s="1">
        <v>571349.0</v>
      </c>
      <c r="B1443" s="1" t="s">
        <v>5896</v>
      </c>
      <c r="C1443" s="1" t="s">
        <v>2593</v>
      </c>
      <c r="D1443" s="1" t="s">
        <v>3142</v>
      </c>
      <c r="F1443" s="2" t="str">
        <f>"0698113608"</f>
        <v>0698113608</v>
      </c>
      <c r="G1443" s="2" t="str">
        <f>"9780698113602"</f>
        <v>9780698113602</v>
      </c>
      <c r="H1443" s="1" t="s">
        <v>753</v>
      </c>
      <c r="I1443" s="1" t="s">
        <v>36</v>
      </c>
      <c r="J1443" s="1">
        <v>40.0</v>
      </c>
      <c r="K1443" s="1">
        <v>1996.0</v>
      </c>
      <c r="L1443" s="1">
        <v>1988.0</v>
      </c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 t="s">
        <v>742</v>
      </c>
      <c r="Y1443" s="1" t="s">
        <v>5897</v>
      </c>
    </row>
    <row r="1444">
      <c r="A1444" s="1">
        <v>2.189587E7</v>
      </c>
      <c r="B1444" s="1" t="s">
        <v>5898</v>
      </c>
      <c r="C1444" s="1" t="s">
        <v>2593</v>
      </c>
      <c r="D1444" s="1" t="s">
        <v>3142</v>
      </c>
      <c r="F1444" s="2" t="str">
        <f>"0399255648"</f>
        <v>0399255648</v>
      </c>
      <c r="G1444" s="2" t="str">
        <f>"9780399255649"</f>
        <v>9780399255649</v>
      </c>
      <c r="H1444" s="1" t="s">
        <v>5899</v>
      </c>
      <c r="I1444" s="1" t="s">
        <v>36</v>
      </c>
      <c r="J1444" s="1">
        <v>40.0</v>
      </c>
      <c r="K1444" s="1">
        <v>2011.0</v>
      </c>
      <c r="L1444" s="1">
        <v>1985.0</v>
      </c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 t="s">
        <v>68</v>
      </c>
      <c r="Y1444" s="1" t="s">
        <v>5900</v>
      </c>
    </row>
    <row r="1445">
      <c r="A1445" s="1">
        <v>1.7350555E7</v>
      </c>
      <c r="B1445" s="1" t="s">
        <v>5901</v>
      </c>
      <c r="C1445" s="1" t="s">
        <v>5902</v>
      </c>
      <c r="D1445" s="1" t="s">
        <v>5903</v>
      </c>
      <c r="F1445" s="2" t="str">
        <f>"0670013951"</f>
        <v>0670013951</v>
      </c>
      <c r="G1445" s="2" t="str">
        <f>"9780670013951"</f>
        <v>9780670013951</v>
      </c>
      <c r="H1445" s="1" t="s">
        <v>2746</v>
      </c>
      <c r="I1445" s="1" t="s">
        <v>31</v>
      </c>
      <c r="J1445" s="1">
        <v>40.0</v>
      </c>
      <c r="K1445" s="1">
        <v>2013.0</v>
      </c>
      <c r="L1445" s="1">
        <v>2013.0</v>
      </c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 t="s">
        <v>1219</v>
      </c>
      <c r="Y1445" s="1" t="s">
        <v>5904</v>
      </c>
    </row>
    <row r="1446">
      <c r="A1446" s="1">
        <v>5698821.0</v>
      </c>
      <c r="B1446" s="1" t="s">
        <v>5905</v>
      </c>
      <c r="C1446" s="1" t="s">
        <v>5902</v>
      </c>
      <c r="D1446" s="1" t="s">
        <v>5903</v>
      </c>
      <c r="F1446" s="2" t="str">
        <f>"0670061980"</f>
        <v>0670061980</v>
      </c>
      <c r="G1446" s="2" t="str">
        <f>"9780670061983"</f>
        <v>9780670061983</v>
      </c>
      <c r="H1446" s="1" t="s">
        <v>2746</v>
      </c>
      <c r="I1446" s="1" t="s">
        <v>31</v>
      </c>
      <c r="J1446" s="1">
        <v>40.0</v>
      </c>
      <c r="K1446" s="1">
        <v>2009.0</v>
      </c>
      <c r="L1446" s="1">
        <v>2009.0</v>
      </c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 t="s">
        <v>68</v>
      </c>
      <c r="Y1446" s="1" t="s">
        <v>5906</v>
      </c>
    </row>
    <row r="1447">
      <c r="A1447" s="1">
        <v>2.4611941E7</v>
      </c>
      <c r="B1447" s="1" t="s">
        <v>5907</v>
      </c>
      <c r="C1447" s="1" t="s">
        <v>5902</v>
      </c>
      <c r="D1447" s="1" t="s">
        <v>5903</v>
      </c>
      <c r="F1447" s="2" t="str">
        <f>"067001396X"</f>
        <v>067001396X</v>
      </c>
      <c r="G1447" s="2" t="str">
        <f>"9780670013968"</f>
        <v>9780670013968</v>
      </c>
      <c r="H1447" s="1" t="s">
        <v>2746</v>
      </c>
      <c r="I1447" s="1" t="s">
        <v>31</v>
      </c>
      <c r="J1447" s="1">
        <v>40.0</v>
      </c>
      <c r="K1447" s="1">
        <v>2015.0</v>
      </c>
      <c r="L1447" s="1">
        <v>2015.0</v>
      </c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 t="s">
        <v>68</v>
      </c>
      <c r="Y1447" s="1" t="s">
        <v>5908</v>
      </c>
    </row>
    <row r="1448">
      <c r="A1448" s="1">
        <v>4.4676326E7</v>
      </c>
      <c r="B1448" s="1" t="s">
        <v>5909</v>
      </c>
      <c r="C1448" s="1" t="s">
        <v>5910</v>
      </c>
      <c r="D1448" s="1" t="s">
        <v>5911</v>
      </c>
      <c r="E1448" s="1" t="s">
        <v>5912</v>
      </c>
      <c r="F1448" s="2" t="str">
        <f>"1620145642"</f>
        <v>1620145642</v>
      </c>
      <c r="G1448" s="2" t="str">
        <f>"9781620145647"</f>
        <v>9781620145647</v>
      </c>
      <c r="H1448" s="1" t="s">
        <v>2515</v>
      </c>
      <c r="I1448" s="1" t="s">
        <v>31</v>
      </c>
      <c r="J1448" s="1">
        <v>40.0</v>
      </c>
      <c r="K1448" s="1">
        <v>2019.0</v>
      </c>
      <c r="L1448" s="1">
        <v>2019.0</v>
      </c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 t="s">
        <v>1024</v>
      </c>
      <c r="Y1448" s="1" t="s">
        <v>5913</v>
      </c>
    </row>
    <row r="1449">
      <c r="A1449" s="1">
        <v>4.8720946E7</v>
      </c>
      <c r="B1449" s="1" t="s">
        <v>5914</v>
      </c>
      <c r="C1449" s="1" t="s">
        <v>5915</v>
      </c>
      <c r="D1449" s="1" t="s">
        <v>5916</v>
      </c>
      <c r="F1449" s="2" t="str">
        <f>"1536214140"</f>
        <v>1536214140</v>
      </c>
      <c r="G1449" s="2" t="str">
        <f>"9781536214147"</f>
        <v>9781536214147</v>
      </c>
      <c r="H1449" s="1" t="s">
        <v>945</v>
      </c>
      <c r="I1449" s="1" t="s">
        <v>31</v>
      </c>
      <c r="J1449" s="1">
        <v>40.0</v>
      </c>
      <c r="K1449" s="1">
        <v>2020.0</v>
      </c>
      <c r="L1449" s="1">
        <v>2020.0</v>
      </c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 t="s">
        <v>61</v>
      </c>
      <c r="Y1449" s="1" t="s">
        <v>5917</v>
      </c>
    </row>
    <row r="1450">
      <c r="A1450" s="1">
        <v>3.1625793E7</v>
      </c>
      <c r="B1450" s="1" t="s">
        <v>5918</v>
      </c>
      <c r="C1450" s="1" t="s">
        <v>3159</v>
      </c>
      <c r="D1450" s="1" t="s">
        <v>3224</v>
      </c>
      <c r="F1450" s="2" t="str">
        <f>"0763665452"</f>
        <v>0763665452</v>
      </c>
      <c r="G1450" s="2" t="str">
        <f>"9780763665456"</f>
        <v>9780763665456</v>
      </c>
      <c r="H1450" s="1" t="s">
        <v>945</v>
      </c>
      <c r="I1450" s="1" t="s">
        <v>31</v>
      </c>
      <c r="J1450" s="1">
        <v>40.0</v>
      </c>
      <c r="K1450" s="1">
        <v>2017.0</v>
      </c>
      <c r="L1450" s="1">
        <v>2017.0</v>
      </c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 t="s">
        <v>3077</v>
      </c>
      <c r="Y1450" s="1" t="s">
        <v>5919</v>
      </c>
    </row>
    <row r="1451">
      <c r="A1451" s="1">
        <v>2.0307024E7</v>
      </c>
      <c r="B1451" s="1" t="s">
        <v>5920</v>
      </c>
      <c r="C1451" s="1" t="s">
        <v>5921</v>
      </c>
      <c r="D1451" s="1" t="s">
        <v>5922</v>
      </c>
      <c r="E1451" s="1" t="s">
        <v>5923</v>
      </c>
      <c r="F1451" s="2" t="str">
        <f>"0316226149"</f>
        <v>0316226149</v>
      </c>
      <c r="G1451" s="2" t="str">
        <f>"9780316226141"</f>
        <v>9780316226141</v>
      </c>
      <c r="H1451" s="1" t="s">
        <v>112</v>
      </c>
      <c r="I1451" s="1" t="s">
        <v>31</v>
      </c>
      <c r="J1451" s="1">
        <v>40.0</v>
      </c>
      <c r="K1451" s="1">
        <v>2015.0</v>
      </c>
      <c r="L1451" s="1">
        <v>2015.0</v>
      </c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 t="s">
        <v>1390</v>
      </c>
      <c r="Y1451" s="1" t="s">
        <v>5924</v>
      </c>
    </row>
    <row r="1452">
      <c r="A1452" s="1">
        <v>2.7478635E7</v>
      </c>
      <c r="B1452" s="1" t="s">
        <v>5925</v>
      </c>
      <c r="C1452" s="1" t="s">
        <v>5926</v>
      </c>
      <c r="D1452" s="1" t="s">
        <v>5927</v>
      </c>
      <c r="E1452" s="1" t="s">
        <v>5928</v>
      </c>
      <c r="F1452" s="2" t="str">
        <f>"1937786560"</f>
        <v>1937786560</v>
      </c>
      <c r="G1452" s="2" t="str">
        <f>"9781937786564"</f>
        <v>9781937786564</v>
      </c>
      <c r="H1452" s="1" t="s">
        <v>5929</v>
      </c>
      <c r="I1452" s="1" t="s">
        <v>31</v>
      </c>
      <c r="J1452" s="1">
        <v>40.0</v>
      </c>
      <c r="K1452" s="1">
        <v>2016.0</v>
      </c>
      <c r="L1452" s="1">
        <v>1902.0</v>
      </c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 t="s">
        <v>742</v>
      </c>
      <c r="Y1452" s="1" t="s">
        <v>5930</v>
      </c>
    </row>
    <row r="1453">
      <c r="A1453" s="1">
        <v>3.1144995E7</v>
      </c>
      <c r="B1453" s="1" t="s">
        <v>5931</v>
      </c>
      <c r="C1453" s="1" t="s">
        <v>2116</v>
      </c>
      <c r="D1453" s="1" t="s">
        <v>2117</v>
      </c>
      <c r="E1453" s="1" t="s">
        <v>5932</v>
      </c>
      <c r="F1453" s="2" t="str">
        <f>"1627796428"</f>
        <v>1627796428</v>
      </c>
      <c r="G1453" s="2" t="str">
        <f>"9781627796422"</f>
        <v>9781627796422</v>
      </c>
      <c r="H1453" s="1" t="s">
        <v>4316</v>
      </c>
      <c r="I1453" s="1" t="s">
        <v>31</v>
      </c>
      <c r="J1453" s="1">
        <v>40.0</v>
      </c>
      <c r="K1453" s="1">
        <v>2017.0</v>
      </c>
      <c r="L1453" s="1">
        <v>2017.0</v>
      </c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 t="s">
        <v>74</v>
      </c>
      <c r="Y1453" s="1" t="s">
        <v>5933</v>
      </c>
    </row>
    <row r="1454">
      <c r="A1454" s="1">
        <v>4.8765647E7</v>
      </c>
      <c r="B1454" s="1" t="s">
        <v>5934</v>
      </c>
      <c r="C1454" s="1" t="s">
        <v>5935</v>
      </c>
      <c r="D1454" s="1" t="s">
        <v>5936</v>
      </c>
      <c r="E1454" s="1" t="s">
        <v>5937</v>
      </c>
      <c r="F1454" s="2" t="str">
        <f>"0316496154"</f>
        <v>0316496154</v>
      </c>
      <c r="G1454" s="2" t="str">
        <f>"9780316496155"</f>
        <v>9780316496155</v>
      </c>
      <c r="H1454" s="1" t="s">
        <v>112</v>
      </c>
      <c r="I1454" s="1" t="s">
        <v>31</v>
      </c>
      <c r="J1454" s="1">
        <v>40.0</v>
      </c>
      <c r="K1454" s="1">
        <v>2021.0</v>
      </c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 t="s">
        <v>2730</v>
      </c>
      <c r="Y1454" s="1" t="s">
        <v>5938</v>
      </c>
    </row>
    <row r="1455">
      <c r="A1455" s="1">
        <v>2355635.0</v>
      </c>
      <c r="B1455" s="1" t="s">
        <v>5939</v>
      </c>
      <c r="C1455" s="1" t="s">
        <v>5940</v>
      </c>
      <c r="D1455" s="1" t="s">
        <v>5941</v>
      </c>
      <c r="F1455" s="2" t="str">
        <f>"0689807503"</f>
        <v>0689807503</v>
      </c>
      <c r="G1455" s="2" t="str">
        <f>"9780689807503"</f>
        <v>9780689807503</v>
      </c>
      <c r="H1455" s="1" t="s">
        <v>4322</v>
      </c>
      <c r="I1455" s="1" t="s">
        <v>31</v>
      </c>
      <c r="J1455" s="1">
        <v>40.0</v>
      </c>
      <c r="K1455" s="1">
        <v>1996.0</v>
      </c>
      <c r="L1455" s="1">
        <v>1996.0</v>
      </c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 t="s">
        <v>412</v>
      </c>
      <c r="Y1455" s="1" t="s">
        <v>5942</v>
      </c>
    </row>
    <row r="1456">
      <c r="A1456" s="1">
        <v>4.3666739E7</v>
      </c>
      <c r="B1456" s="1" t="s">
        <v>5943</v>
      </c>
      <c r="C1456" s="1" t="s">
        <v>5944</v>
      </c>
      <c r="D1456" s="1" t="s">
        <v>5945</v>
      </c>
      <c r="E1456" s="1" t="s">
        <v>5946</v>
      </c>
      <c r="F1456" s="2" t="str">
        <f>"1943147663"</f>
        <v>1943147663</v>
      </c>
      <c r="G1456" s="2" t="str">
        <f>"9781943147663"</f>
        <v>9781943147663</v>
      </c>
      <c r="H1456" s="1" t="s">
        <v>5947</v>
      </c>
      <c r="I1456" s="1" t="s">
        <v>31</v>
      </c>
      <c r="J1456" s="1">
        <v>40.0</v>
      </c>
      <c r="K1456" s="1">
        <v>2019.0</v>
      </c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 t="s">
        <v>1195</v>
      </c>
      <c r="Y1456" s="1" t="s">
        <v>5948</v>
      </c>
    </row>
    <row r="1457">
      <c r="A1457" s="1">
        <v>3.9983644E7</v>
      </c>
      <c r="B1457" s="1" t="s">
        <v>5949</v>
      </c>
      <c r="C1457" s="1" t="s">
        <v>5950</v>
      </c>
      <c r="D1457" s="1" t="s">
        <v>5951</v>
      </c>
      <c r="F1457" s="2" t="str">
        <f>"1338245481"</f>
        <v>1338245481</v>
      </c>
      <c r="G1457" s="2" t="str">
        <f>"9781338245486"</f>
        <v>9781338245486</v>
      </c>
      <c r="H1457" s="1" t="s">
        <v>857</v>
      </c>
      <c r="I1457" s="1" t="s">
        <v>31</v>
      </c>
      <c r="J1457" s="1">
        <v>40.0</v>
      </c>
      <c r="K1457" s="1">
        <v>2019.0</v>
      </c>
      <c r="L1457" s="1">
        <v>2019.0</v>
      </c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 t="s">
        <v>212</v>
      </c>
      <c r="Y1457" s="1" t="s">
        <v>5952</v>
      </c>
    </row>
    <row r="1458">
      <c r="A1458" s="1">
        <v>5.6089836E7</v>
      </c>
      <c r="B1458" s="1" t="s">
        <v>5953</v>
      </c>
      <c r="C1458" s="1" t="s">
        <v>5950</v>
      </c>
      <c r="D1458" s="1" t="s">
        <v>5951</v>
      </c>
      <c r="F1458" s="2" t="str">
        <f>"1338770632"</f>
        <v>1338770632</v>
      </c>
      <c r="G1458" s="2" t="str">
        <f>"9781338770636"</f>
        <v>9781338770636</v>
      </c>
      <c r="H1458" s="1" t="s">
        <v>857</v>
      </c>
      <c r="I1458" s="1" t="s">
        <v>36</v>
      </c>
      <c r="J1458" s="1">
        <v>40.0</v>
      </c>
      <c r="K1458" s="1">
        <v>2021.0</v>
      </c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 t="s">
        <v>74</v>
      </c>
      <c r="Y1458" s="1" t="s">
        <v>5954</v>
      </c>
    </row>
    <row r="1459">
      <c r="A1459" s="1">
        <v>3.5383883E7</v>
      </c>
      <c r="B1459" s="1" t="s">
        <v>5955</v>
      </c>
      <c r="C1459" s="1" t="s">
        <v>4137</v>
      </c>
      <c r="D1459" s="1" t="s">
        <v>5956</v>
      </c>
      <c r="F1459" s="2" t="str">
        <f>"0062681850"</f>
        <v>0062681850</v>
      </c>
      <c r="G1459" s="2" t="str">
        <f>"9780062681850"</f>
        <v>9780062681850</v>
      </c>
      <c r="H1459" s="1" t="s">
        <v>290</v>
      </c>
      <c r="I1459" s="1" t="s">
        <v>238</v>
      </c>
      <c r="J1459" s="1">
        <v>40.0</v>
      </c>
      <c r="K1459" s="1">
        <v>2017.0</v>
      </c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 t="s">
        <v>83</v>
      </c>
      <c r="Y1459" s="1" t="s">
        <v>5957</v>
      </c>
    </row>
    <row r="1460">
      <c r="A1460" s="1">
        <v>3.7825429E7</v>
      </c>
      <c r="B1460" s="1" t="s">
        <v>5958</v>
      </c>
      <c r="C1460" s="1" t="s">
        <v>5959</v>
      </c>
      <c r="D1460" s="1" t="s">
        <v>5960</v>
      </c>
      <c r="F1460" s="2" t="str">
        <f>"1338215450"</f>
        <v>1338215450</v>
      </c>
      <c r="G1460" s="2" t="str">
        <f>"9781338215458"</f>
        <v>9781338215458</v>
      </c>
      <c r="H1460" s="1" t="s">
        <v>2397</v>
      </c>
      <c r="I1460" s="1" t="s">
        <v>31</v>
      </c>
      <c r="J1460" s="1">
        <v>40.0</v>
      </c>
      <c r="K1460" s="1">
        <v>2018.0</v>
      </c>
      <c r="L1460" s="1">
        <v>2018.0</v>
      </c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 t="s">
        <v>629</v>
      </c>
      <c r="Y1460" s="1" t="s">
        <v>5961</v>
      </c>
    </row>
    <row r="1461">
      <c r="A1461" s="1">
        <v>4.1818463E7</v>
      </c>
      <c r="B1461" s="1" t="s">
        <v>5962</v>
      </c>
      <c r="C1461" s="1" t="s">
        <v>5959</v>
      </c>
      <c r="D1461" s="1" t="s">
        <v>5960</v>
      </c>
      <c r="F1461" s="2" t="str">
        <f t="shared" ref="F1461:G1461" si="101">""</f>
        <v/>
      </c>
      <c r="G1461" s="2" t="str">
        <f t="shared" si="101"/>
        <v/>
      </c>
      <c r="H1461" s="1" t="s">
        <v>2397</v>
      </c>
      <c r="I1461" s="1" t="s">
        <v>238</v>
      </c>
      <c r="J1461" s="1">
        <v>40.0</v>
      </c>
      <c r="K1461" s="1">
        <v>2018.0</v>
      </c>
      <c r="L1461" s="1">
        <v>2018.0</v>
      </c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 t="s">
        <v>116</v>
      </c>
      <c r="Y1461" s="1" t="s">
        <v>5963</v>
      </c>
    </row>
    <row r="1462">
      <c r="A1462" s="1">
        <v>1.6002006E7</v>
      </c>
      <c r="B1462" s="1" t="s">
        <v>5964</v>
      </c>
      <c r="C1462" s="1" t="s">
        <v>5965</v>
      </c>
      <c r="D1462" s="1" t="s">
        <v>5966</v>
      </c>
      <c r="E1462" s="1" t="s">
        <v>5967</v>
      </c>
      <c r="F1462" s="2" t="str">
        <f>"0374399085"</f>
        <v>0374399085</v>
      </c>
      <c r="G1462" s="2" t="str">
        <f>"9780374399085"</f>
        <v>9780374399085</v>
      </c>
      <c r="H1462" s="1" t="s">
        <v>2211</v>
      </c>
      <c r="I1462" s="1" t="s">
        <v>31</v>
      </c>
      <c r="J1462" s="1">
        <v>40.0</v>
      </c>
      <c r="K1462" s="1">
        <v>2013.0</v>
      </c>
      <c r="L1462" s="1">
        <v>2013.0</v>
      </c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 t="s">
        <v>3263</v>
      </c>
      <c r="Y1462" s="1" t="s">
        <v>5968</v>
      </c>
    </row>
    <row r="1463">
      <c r="A1463" s="1">
        <v>1354076.0</v>
      </c>
      <c r="B1463" s="1" t="s">
        <v>5969</v>
      </c>
      <c r="C1463" s="1" t="s">
        <v>5970</v>
      </c>
      <c r="D1463" s="1" t="s">
        <v>5971</v>
      </c>
      <c r="F1463" s="2" t="str">
        <f>"0689850913"</f>
        <v>0689850913</v>
      </c>
      <c r="G1463" s="2" t="str">
        <f>"9780689850912"</f>
        <v>9780689850912</v>
      </c>
      <c r="H1463" s="1" t="s">
        <v>5972</v>
      </c>
      <c r="I1463" s="1" t="s">
        <v>31</v>
      </c>
      <c r="J1463" s="1">
        <v>40.0</v>
      </c>
      <c r="K1463" s="1">
        <v>2003.0</v>
      </c>
      <c r="L1463" s="1">
        <v>2003.0</v>
      </c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 t="s">
        <v>412</v>
      </c>
      <c r="Y1463" s="1" t="s">
        <v>5973</v>
      </c>
    </row>
    <row r="1464">
      <c r="A1464" s="1">
        <v>1.8228483E7</v>
      </c>
      <c r="B1464" s="1" t="s">
        <v>5974</v>
      </c>
      <c r="C1464" s="1" t="s">
        <v>5975</v>
      </c>
      <c r="D1464" s="1" t="s">
        <v>5976</v>
      </c>
      <c r="F1464" s="2" t="str">
        <f>"1452118930"</f>
        <v>1452118930</v>
      </c>
      <c r="G1464" s="2" t="str">
        <f>"9781452118932"</f>
        <v>9781452118932</v>
      </c>
      <c r="H1464" s="1" t="s">
        <v>1593</v>
      </c>
      <c r="I1464" s="1" t="s">
        <v>31</v>
      </c>
      <c r="J1464" s="1">
        <v>40.0</v>
      </c>
      <c r="K1464" s="1">
        <v>2014.0</v>
      </c>
      <c r="L1464" s="1">
        <v>2014.0</v>
      </c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 t="s">
        <v>2303</v>
      </c>
      <c r="Y1464" s="1" t="s">
        <v>5977</v>
      </c>
    </row>
    <row r="1465">
      <c r="A1465" s="1">
        <v>2.0759653E7</v>
      </c>
      <c r="B1465" s="1" t="s">
        <v>5978</v>
      </c>
      <c r="C1465" s="1" t="s">
        <v>3450</v>
      </c>
      <c r="D1465" s="1" t="s">
        <v>3451</v>
      </c>
      <c r="E1465" s="1" t="s">
        <v>3450</v>
      </c>
      <c r="F1465" s="2" t="str">
        <f>"1442453362"</f>
        <v>1442453362</v>
      </c>
      <c r="G1465" s="2" t="str">
        <f>"9781442453364"</f>
        <v>9781442453364</v>
      </c>
      <c r="H1465" s="1" t="s">
        <v>3782</v>
      </c>
      <c r="I1465" s="1" t="s">
        <v>31</v>
      </c>
      <c r="J1465" s="1">
        <v>40.0</v>
      </c>
      <c r="K1465" s="1">
        <v>2014.0</v>
      </c>
      <c r="L1465" s="1">
        <v>2014.0</v>
      </c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 t="s">
        <v>323</v>
      </c>
      <c r="Y1465" s="1" t="s">
        <v>5979</v>
      </c>
    </row>
    <row r="1466">
      <c r="A1466" s="1">
        <v>2437620.0</v>
      </c>
      <c r="B1466" s="1" t="s">
        <v>5980</v>
      </c>
      <c r="C1466" s="1" t="s">
        <v>5981</v>
      </c>
      <c r="D1466" s="1" t="s">
        <v>5982</v>
      </c>
      <c r="F1466" s="2" t="str">
        <f>"1930332726"</f>
        <v>1930332726</v>
      </c>
      <c r="G1466" s="2" t="str">
        <f>"9781930332720"</f>
        <v>9781930332720</v>
      </c>
      <c r="H1466" s="1" t="s">
        <v>191</v>
      </c>
      <c r="I1466" s="1" t="s">
        <v>36</v>
      </c>
      <c r="J1466" s="1">
        <v>40.0</v>
      </c>
      <c r="K1466" s="1">
        <v>2004.0</v>
      </c>
      <c r="L1466" s="1">
        <v>1989.0</v>
      </c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 t="s">
        <v>245</v>
      </c>
      <c r="Y1466" s="1" t="s">
        <v>5983</v>
      </c>
    </row>
    <row r="1467">
      <c r="A1467" s="1">
        <v>1.7945718E7</v>
      </c>
      <c r="B1467" s="1" t="s">
        <v>5984</v>
      </c>
      <c r="C1467" s="1" t="s">
        <v>5985</v>
      </c>
      <c r="D1467" s="1" t="s">
        <v>5986</v>
      </c>
      <c r="E1467" s="1" t="s">
        <v>5985</v>
      </c>
      <c r="F1467" s="2" t="str">
        <f>"1600608469"</f>
        <v>1600608469</v>
      </c>
      <c r="G1467" s="2" t="str">
        <f>"9781600608469"</f>
        <v>9781600608469</v>
      </c>
      <c r="H1467" s="1" t="s">
        <v>2515</v>
      </c>
      <c r="I1467" s="1" t="s">
        <v>31</v>
      </c>
      <c r="J1467" s="1">
        <v>40.0</v>
      </c>
      <c r="K1467" s="1">
        <v>2014.0</v>
      </c>
      <c r="L1467" s="1">
        <v>2013.0</v>
      </c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 t="s">
        <v>1195</v>
      </c>
      <c r="Y1467" s="1" t="s">
        <v>5987</v>
      </c>
    </row>
    <row r="1468">
      <c r="A1468" s="1">
        <v>164568.0</v>
      </c>
      <c r="B1468" s="1" t="s">
        <v>5988</v>
      </c>
      <c r="C1468" s="1" t="s">
        <v>5989</v>
      </c>
      <c r="D1468" s="1" t="s">
        <v>5990</v>
      </c>
      <c r="E1468" s="1" t="s">
        <v>5991</v>
      </c>
      <c r="F1468" s="2" t="str">
        <f>"078685295X"</f>
        <v>078685295X</v>
      </c>
      <c r="G1468" s="2" t="str">
        <f>"9780786852956"</f>
        <v>9780786852956</v>
      </c>
      <c r="H1468" s="1" t="s">
        <v>112</v>
      </c>
      <c r="I1468" s="1" t="s">
        <v>31</v>
      </c>
      <c r="J1468" s="1">
        <v>40.0</v>
      </c>
      <c r="K1468" s="1">
        <v>2006.0</v>
      </c>
      <c r="L1468" s="1">
        <v>2006.0</v>
      </c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 t="s">
        <v>1219</v>
      </c>
      <c r="Y1468" s="1" t="s">
        <v>5992</v>
      </c>
    </row>
    <row r="1469">
      <c r="A1469" s="1">
        <v>5.6988025E7</v>
      </c>
      <c r="B1469" s="1" t="s">
        <v>5993</v>
      </c>
      <c r="C1469" s="1" t="s">
        <v>5994</v>
      </c>
      <c r="D1469" s="1" t="s">
        <v>5995</v>
      </c>
      <c r="E1469" s="1" t="s">
        <v>4364</v>
      </c>
      <c r="F1469" s="2" t="str">
        <f>"0593326067"</f>
        <v>0593326067</v>
      </c>
      <c r="G1469" s="2" t="str">
        <f>"9780593326060"</f>
        <v>9780593326060</v>
      </c>
      <c r="H1469" s="1" t="s">
        <v>2682</v>
      </c>
      <c r="I1469" s="1" t="s">
        <v>31</v>
      </c>
      <c r="J1469" s="1">
        <v>40.0</v>
      </c>
      <c r="K1469" s="1">
        <v>2021.0</v>
      </c>
      <c r="L1469" s="1">
        <v>2021.0</v>
      </c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 t="s">
        <v>5996</v>
      </c>
      <c r="Y1469" s="1" t="s">
        <v>5997</v>
      </c>
    </row>
    <row r="1470">
      <c r="A1470" s="1">
        <v>5.8340701E7</v>
      </c>
      <c r="B1470" s="1" t="s">
        <v>5998</v>
      </c>
      <c r="C1470" s="1" t="s">
        <v>5999</v>
      </c>
      <c r="D1470" s="1" t="s">
        <v>6000</v>
      </c>
      <c r="E1470" s="1" t="s">
        <v>6001</v>
      </c>
      <c r="F1470" s="2" t="str">
        <f>"0316232270"</f>
        <v>0316232270</v>
      </c>
      <c r="G1470" s="2" t="str">
        <f>"9780316232272"</f>
        <v>9780316232272</v>
      </c>
      <c r="H1470" s="1" t="s">
        <v>112</v>
      </c>
      <c r="I1470" s="1" t="s">
        <v>31</v>
      </c>
      <c r="J1470" s="1">
        <v>40.0</v>
      </c>
      <c r="K1470" s="1">
        <v>2022.0</v>
      </c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 t="s">
        <v>1195</v>
      </c>
      <c r="Y1470" s="1" t="s">
        <v>6002</v>
      </c>
    </row>
    <row r="1471">
      <c r="A1471" s="1">
        <v>142092.0</v>
      </c>
      <c r="B1471" s="1" t="s">
        <v>6003</v>
      </c>
      <c r="C1471" s="1" t="s">
        <v>6004</v>
      </c>
      <c r="D1471" s="1" t="s">
        <v>6005</v>
      </c>
      <c r="E1471" s="1" t="s">
        <v>6006</v>
      </c>
      <c r="F1471" s="2" t="str">
        <f>"0439829739"</f>
        <v>0439829739</v>
      </c>
      <c r="G1471" s="2" t="str">
        <f>"9780439829731"</f>
        <v>9780439829731</v>
      </c>
      <c r="H1471" s="1" t="s">
        <v>857</v>
      </c>
      <c r="I1471" s="1" t="s">
        <v>31</v>
      </c>
      <c r="J1471" s="1">
        <v>40.0</v>
      </c>
      <c r="K1471" s="1">
        <v>2006.0</v>
      </c>
      <c r="L1471" s="1">
        <v>2006.0</v>
      </c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 t="s">
        <v>323</v>
      </c>
      <c r="Y1471" s="1" t="s">
        <v>6007</v>
      </c>
    </row>
    <row r="1472">
      <c r="A1472" s="1">
        <v>2.3309874E7</v>
      </c>
      <c r="B1472" s="1" t="s">
        <v>6008</v>
      </c>
      <c r="C1472" s="1" t="s">
        <v>6009</v>
      </c>
      <c r="D1472" s="1" t="s">
        <v>6010</v>
      </c>
      <c r="E1472" s="1" t="s">
        <v>6011</v>
      </c>
      <c r="F1472" s="2" t="str">
        <f>"1499800770"</f>
        <v>1499800770</v>
      </c>
      <c r="G1472" s="2" t="str">
        <f>"9781499800777"</f>
        <v>9781499800777</v>
      </c>
      <c r="H1472" s="1" t="s">
        <v>2546</v>
      </c>
      <c r="I1472" s="1" t="s">
        <v>31</v>
      </c>
      <c r="J1472" s="1">
        <v>40.0</v>
      </c>
      <c r="K1472" s="1">
        <v>2015.0</v>
      </c>
      <c r="L1472" s="1">
        <v>2015.0</v>
      </c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 t="s">
        <v>3077</v>
      </c>
      <c r="Y1472" s="1" t="s">
        <v>6012</v>
      </c>
    </row>
    <row r="1473">
      <c r="A1473" s="1">
        <v>237665.0</v>
      </c>
      <c r="B1473" s="1" t="s">
        <v>6013</v>
      </c>
      <c r="C1473" s="1" t="s">
        <v>3606</v>
      </c>
      <c r="D1473" s="1" t="s">
        <v>3607</v>
      </c>
      <c r="F1473" s="2" t="str">
        <f>"0060588284"</f>
        <v>0060588284</v>
      </c>
      <c r="G1473" s="2" t="str">
        <f>"9780060588281"</f>
        <v>9780060588281</v>
      </c>
      <c r="H1473" s="1" t="s">
        <v>1570</v>
      </c>
      <c r="I1473" s="1" t="s">
        <v>31</v>
      </c>
      <c r="J1473" s="1">
        <v>40.0</v>
      </c>
      <c r="K1473" s="1">
        <v>2004.0</v>
      </c>
      <c r="L1473" s="1">
        <v>2004.0</v>
      </c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 t="s">
        <v>3297</v>
      </c>
      <c r="Y1473" s="1" t="s">
        <v>6014</v>
      </c>
    </row>
    <row r="1474">
      <c r="A1474" s="1">
        <v>20687.0</v>
      </c>
      <c r="B1474" s="1" t="s">
        <v>6015</v>
      </c>
      <c r="C1474" s="1" t="s">
        <v>3606</v>
      </c>
      <c r="D1474" s="1" t="s">
        <v>3607</v>
      </c>
      <c r="F1474" s="2" t="str">
        <f>"0060742364"</f>
        <v>0060742364</v>
      </c>
      <c r="G1474" s="2" t="str">
        <f>"9780060742362"</f>
        <v>9780060742362</v>
      </c>
      <c r="H1474" s="1" t="s">
        <v>1570</v>
      </c>
      <c r="I1474" s="1" t="s">
        <v>31</v>
      </c>
      <c r="J1474" s="1">
        <v>40.0</v>
      </c>
      <c r="K1474" s="1">
        <v>2006.0</v>
      </c>
      <c r="L1474" s="1">
        <v>2006.0</v>
      </c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 t="s">
        <v>1839</v>
      </c>
      <c r="Y1474" s="1" t="s">
        <v>6016</v>
      </c>
    </row>
    <row r="1475">
      <c r="A1475" s="1">
        <v>3.6341954E7</v>
      </c>
      <c r="B1475" s="1" t="s">
        <v>6017</v>
      </c>
      <c r="C1475" s="1" t="s">
        <v>6018</v>
      </c>
      <c r="D1475" s="1" t="s">
        <v>6019</v>
      </c>
      <c r="F1475" s="2" t="str">
        <f>"1368003559"</f>
        <v>1368003559</v>
      </c>
      <c r="G1475" s="2" t="str">
        <f>"9781368003551"</f>
        <v>9781368003551</v>
      </c>
      <c r="H1475" s="1" t="s">
        <v>6020</v>
      </c>
      <c r="I1475" s="1" t="s">
        <v>31</v>
      </c>
      <c r="J1475" s="1">
        <v>40.0</v>
      </c>
      <c r="K1475" s="1">
        <v>2018.0</v>
      </c>
      <c r="L1475" s="1">
        <v>2018.0</v>
      </c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 t="s">
        <v>1390</v>
      </c>
      <c r="Y1475" s="1" t="s">
        <v>6021</v>
      </c>
    </row>
    <row r="1476">
      <c r="A1476" s="1">
        <v>2254579.0</v>
      </c>
      <c r="B1476" s="1" t="s">
        <v>6022</v>
      </c>
      <c r="C1476" s="1" t="s">
        <v>6023</v>
      </c>
      <c r="D1476" s="1" t="s">
        <v>6024</v>
      </c>
      <c r="E1476" s="1" t="s">
        <v>6025</v>
      </c>
      <c r="F1476" s="2" t="str">
        <f>"0064452212"</f>
        <v>0064452212</v>
      </c>
      <c r="G1476" s="2" t="str">
        <f>"9780064452212"</f>
        <v>9780064452212</v>
      </c>
      <c r="H1476" s="1" t="s">
        <v>290</v>
      </c>
      <c r="I1476" s="1" t="s">
        <v>36</v>
      </c>
      <c r="J1476" s="1">
        <v>40.0</v>
      </c>
      <c r="K1476" s="1">
        <v>2007.0</v>
      </c>
      <c r="L1476" s="1">
        <v>2007.0</v>
      </c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 t="s">
        <v>74</v>
      </c>
      <c r="Y1476" s="1" t="s">
        <v>6026</v>
      </c>
    </row>
    <row r="1477">
      <c r="A1477" s="1">
        <v>2.7206444E7</v>
      </c>
      <c r="B1477" s="1" t="s">
        <v>6027</v>
      </c>
      <c r="C1477" s="1" t="s">
        <v>6028</v>
      </c>
      <c r="D1477" s="1" t="s">
        <v>6029</v>
      </c>
      <c r="E1477" s="1" t="s">
        <v>6030</v>
      </c>
      <c r="F1477" s="2" t="str">
        <f>"1481430955"</f>
        <v>1481430955</v>
      </c>
      <c r="G1477" s="2" t="str">
        <f>"9781481430951"</f>
        <v>9781481430951</v>
      </c>
      <c r="H1477" s="1" t="s">
        <v>3030</v>
      </c>
      <c r="I1477" s="1" t="s">
        <v>31</v>
      </c>
      <c r="J1477" s="1">
        <v>40.0</v>
      </c>
      <c r="K1477" s="1">
        <v>2016.0</v>
      </c>
      <c r="L1477" s="1">
        <v>2016.0</v>
      </c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 t="s">
        <v>74</v>
      </c>
      <c r="Y1477" s="1" t="s">
        <v>6031</v>
      </c>
    </row>
    <row r="1478">
      <c r="A1478" s="1">
        <v>6679017.0</v>
      </c>
      <c r="B1478" s="1" t="s">
        <v>6032</v>
      </c>
      <c r="C1478" s="1" t="s">
        <v>6033</v>
      </c>
      <c r="D1478" s="1" t="s">
        <v>6034</v>
      </c>
      <c r="E1478" s="1" t="s">
        <v>6035</v>
      </c>
      <c r="F1478" s="2" t="str">
        <f>"1423111494"</f>
        <v>1423111494</v>
      </c>
      <c r="G1478" s="2" t="str">
        <f>"9781423111498"</f>
        <v>9781423111498</v>
      </c>
      <c r="H1478" s="1" t="s">
        <v>6036</v>
      </c>
      <c r="I1478" s="1" t="s">
        <v>31</v>
      </c>
      <c r="J1478" s="1">
        <v>40.0</v>
      </c>
      <c r="K1478" s="1">
        <v>2009.0</v>
      </c>
      <c r="L1478" s="1">
        <v>2009.0</v>
      </c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 t="s">
        <v>1195</v>
      </c>
      <c r="Y1478" s="1" t="s">
        <v>6037</v>
      </c>
    </row>
    <row r="1479">
      <c r="A1479" s="1">
        <v>3149934.0</v>
      </c>
      <c r="B1479" s="1" t="s">
        <v>6038</v>
      </c>
      <c r="C1479" s="1" t="s">
        <v>6033</v>
      </c>
      <c r="D1479" s="1" t="s">
        <v>6034</v>
      </c>
      <c r="E1479" s="1" t="s">
        <v>5744</v>
      </c>
      <c r="F1479" s="2" t="str">
        <f>"037583768X"</f>
        <v>037583768X</v>
      </c>
      <c r="G1479" s="2" t="str">
        <f>"9780375837685"</f>
        <v>9780375837685</v>
      </c>
      <c r="H1479" s="1" t="s">
        <v>3466</v>
      </c>
      <c r="I1479" s="1" t="s">
        <v>31</v>
      </c>
      <c r="J1479" s="1">
        <v>40.0</v>
      </c>
      <c r="K1479" s="1">
        <v>2008.0</v>
      </c>
      <c r="L1479" s="1">
        <v>2008.0</v>
      </c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 t="s">
        <v>6039</v>
      </c>
      <c r="Y1479" s="1" t="s">
        <v>6040</v>
      </c>
    </row>
    <row r="1480">
      <c r="A1480" s="1">
        <v>1.3563097E7</v>
      </c>
      <c r="B1480" s="1" t="s">
        <v>6041</v>
      </c>
      <c r="C1480" s="1" t="s">
        <v>6042</v>
      </c>
      <c r="D1480" s="1" t="s">
        <v>6043</v>
      </c>
      <c r="F1480" s="2" t="str">
        <f>"1406324604"</f>
        <v>1406324604</v>
      </c>
      <c r="G1480" s="2" t="str">
        <f>"9781406324600"</f>
        <v>9781406324600</v>
      </c>
      <c r="H1480" s="1" t="s">
        <v>6044</v>
      </c>
      <c r="I1480" s="1" t="s">
        <v>31</v>
      </c>
      <c r="J1480" s="1">
        <v>40.0</v>
      </c>
      <c r="K1480" s="1">
        <v>2011.0</v>
      </c>
      <c r="L1480" s="1">
        <v>2011.0</v>
      </c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 t="s">
        <v>412</v>
      </c>
      <c r="Y1480" s="1" t="s">
        <v>6045</v>
      </c>
    </row>
    <row r="1481">
      <c r="A1481" s="1">
        <v>3.1146947E7</v>
      </c>
      <c r="B1481" s="1" t="s">
        <v>6046</v>
      </c>
      <c r="C1481" s="1" t="s">
        <v>6047</v>
      </c>
      <c r="D1481" s="1" t="s">
        <v>6048</v>
      </c>
      <c r="F1481" s="2" t="str">
        <f>"0545645212"</f>
        <v>0545645212</v>
      </c>
      <c r="G1481" s="2" t="str">
        <f>"9780545645218"</f>
        <v>9780545645218</v>
      </c>
      <c r="H1481" s="1" t="s">
        <v>857</v>
      </c>
      <c r="I1481" s="1" t="s">
        <v>31</v>
      </c>
      <c r="J1481" s="1">
        <v>40.0</v>
      </c>
      <c r="K1481" s="1">
        <v>2017.0</v>
      </c>
      <c r="L1481" s="1">
        <v>2017.0</v>
      </c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 t="s">
        <v>1219</v>
      </c>
      <c r="Y1481" s="1" t="s">
        <v>6049</v>
      </c>
    </row>
    <row r="1482">
      <c r="A1482" s="1">
        <v>591401.0</v>
      </c>
      <c r="B1482" s="1" t="s">
        <v>6050</v>
      </c>
      <c r="C1482" s="1" t="s">
        <v>3029</v>
      </c>
      <c r="D1482" s="1" t="s">
        <v>6051</v>
      </c>
      <c r="F1482" s="2" t="str">
        <f>"0152020993"</f>
        <v>0152020993</v>
      </c>
      <c r="G1482" s="2" t="str">
        <f>"9780152020996"</f>
        <v>9780152020996</v>
      </c>
      <c r="H1482" s="1" t="s">
        <v>1799</v>
      </c>
      <c r="I1482" s="1" t="s">
        <v>36</v>
      </c>
      <c r="J1482" s="1">
        <v>40.0</v>
      </c>
      <c r="K1482" s="1">
        <v>1999.0</v>
      </c>
      <c r="L1482" s="1">
        <v>1996.0</v>
      </c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 t="s">
        <v>2298</v>
      </c>
      <c r="Y1482" s="1" t="s">
        <v>6052</v>
      </c>
    </row>
    <row r="1483">
      <c r="A1483" s="1">
        <v>1.8209399E7</v>
      </c>
      <c r="B1483" s="1" t="s">
        <v>6053</v>
      </c>
      <c r="C1483" s="1" t="s">
        <v>6054</v>
      </c>
      <c r="D1483" s="1" t="s">
        <v>6055</v>
      </c>
      <c r="E1483" s="1" t="s">
        <v>6056</v>
      </c>
      <c r="F1483" s="2" t="str">
        <f>"0763660566"</f>
        <v>0763660566</v>
      </c>
      <c r="G1483" s="2" t="str">
        <f>"9780763660567"</f>
        <v>9780763660567</v>
      </c>
      <c r="H1483" s="1" t="s">
        <v>945</v>
      </c>
      <c r="I1483" s="1" t="s">
        <v>31</v>
      </c>
      <c r="J1483" s="1">
        <v>40.0</v>
      </c>
      <c r="K1483" s="1">
        <v>2014.0</v>
      </c>
      <c r="L1483" s="1">
        <v>2014.0</v>
      </c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 t="s">
        <v>510</v>
      </c>
      <c r="Y1483" s="1" t="s">
        <v>6057</v>
      </c>
    </row>
    <row r="1484">
      <c r="A1484" s="1">
        <v>1.1045882E7</v>
      </c>
      <c r="B1484" s="1" t="s">
        <v>6058</v>
      </c>
      <c r="C1484" s="1" t="s">
        <v>3539</v>
      </c>
      <c r="D1484" s="1" t="s">
        <v>3727</v>
      </c>
      <c r="F1484" s="2" t="str">
        <f>"0618708960"</f>
        <v>0618708960</v>
      </c>
      <c r="G1484" s="2" t="str">
        <f>"9780618708963"</f>
        <v>9780618708963</v>
      </c>
      <c r="H1484" s="1" t="s">
        <v>1799</v>
      </c>
      <c r="I1484" s="1" t="s">
        <v>31</v>
      </c>
      <c r="J1484" s="1">
        <v>40.0</v>
      </c>
      <c r="K1484" s="1">
        <v>2011.0</v>
      </c>
      <c r="L1484" s="1">
        <v>2011.0</v>
      </c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 t="s">
        <v>2254</v>
      </c>
      <c r="Y1484" s="1" t="s">
        <v>6059</v>
      </c>
    </row>
    <row r="1485">
      <c r="A1485" s="1">
        <v>5.6922663E7</v>
      </c>
      <c r="B1485" s="1" t="s">
        <v>6060</v>
      </c>
      <c r="C1485" s="1" t="s">
        <v>3730</v>
      </c>
      <c r="D1485" s="1" t="s">
        <v>3731</v>
      </c>
      <c r="E1485" s="1" t="s">
        <v>3736</v>
      </c>
      <c r="F1485" s="2" t="str">
        <f>"0063045400"</f>
        <v>0063045400</v>
      </c>
      <c r="G1485" s="2" t="str">
        <f>"9780063045408"</f>
        <v>9780063045408</v>
      </c>
      <c r="H1485" s="1" t="s">
        <v>290</v>
      </c>
      <c r="I1485" s="1" t="s">
        <v>31</v>
      </c>
      <c r="J1485" s="1">
        <v>40.0</v>
      </c>
      <c r="K1485" s="1">
        <v>2021.0</v>
      </c>
      <c r="L1485" s="1">
        <v>2021.0</v>
      </c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 t="s">
        <v>1466</v>
      </c>
      <c r="Y1485" s="1" t="s">
        <v>6061</v>
      </c>
    </row>
    <row r="1486">
      <c r="A1486" s="1">
        <v>3.9991777E7</v>
      </c>
      <c r="B1486" s="1" t="s">
        <v>6062</v>
      </c>
      <c r="C1486" s="1" t="s">
        <v>3730</v>
      </c>
      <c r="D1486" s="1" t="s">
        <v>3731</v>
      </c>
      <c r="E1486" s="1" t="s">
        <v>3736</v>
      </c>
      <c r="F1486" s="2" t="str">
        <f t="shared" ref="F1486:G1486" si="102">""</f>
        <v/>
      </c>
      <c r="G1486" s="2" t="str">
        <f t="shared" si="102"/>
        <v/>
      </c>
      <c r="H1486" s="1" t="s">
        <v>290</v>
      </c>
      <c r="I1486" s="1" t="s">
        <v>238</v>
      </c>
      <c r="J1486" s="1">
        <v>40.0</v>
      </c>
      <c r="K1486" s="1">
        <v>2018.0</v>
      </c>
      <c r="L1486" s="1">
        <v>2017.0</v>
      </c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 t="s">
        <v>2173</v>
      </c>
      <c r="Y1486" s="1" t="s">
        <v>6063</v>
      </c>
    </row>
    <row r="1487">
      <c r="A1487" s="1">
        <v>22407.0</v>
      </c>
      <c r="B1487" s="1" t="s">
        <v>6064</v>
      </c>
      <c r="C1487" s="1" t="s">
        <v>6065</v>
      </c>
      <c r="D1487" s="1" t="s">
        <v>6066</v>
      </c>
      <c r="E1487" s="1" t="s">
        <v>6067</v>
      </c>
      <c r="F1487" s="2" t="str">
        <f>"0875167349"</f>
        <v>0875167349</v>
      </c>
      <c r="G1487" s="2" t="str">
        <f>"9780875167343"</f>
        <v>9780875167343</v>
      </c>
      <c r="H1487" s="1" t="s">
        <v>6068</v>
      </c>
      <c r="I1487" s="1" t="s">
        <v>31</v>
      </c>
      <c r="J1487" s="1">
        <v>40.0</v>
      </c>
      <c r="K1487" s="1">
        <v>2000.0</v>
      </c>
      <c r="L1487" s="1">
        <v>2000.0</v>
      </c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 t="s">
        <v>1219</v>
      </c>
      <c r="Y1487" s="1" t="s">
        <v>6069</v>
      </c>
    </row>
    <row r="1488">
      <c r="A1488" s="1">
        <v>4.3666737E7</v>
      </c>
      <c r="B1488" s="1" t="s">
        <v>6070</v>
      </c>
      <c r="C1488" s="1" t="s">
        <v>6071</v>
      </c>
      <c r="D1488" s="1" t="s">
        <v>6072</v>
      </c>
      <c r="E1488" s="1" t="s">
        <v>6073</v>
      </c>
      <c r="F1488" s="2" t="str">
        <f>"1943147647"</f>
        <v>1943147647</v>
      </c>
      <c r="G1488" s="2" t="str">
        <f>"9781943147649"</f>
        <v>9781943147649</v>
      </c>
      <c r="H1488" s="1" t="s">
        <v>5947</v>
      </c>
      <c r="I1488" s="1" t="s">
        <v>31</v>
      </c>
      <c r="J1488" s="1">
        <v>40.0</v>
      </c>
      <c r="K1488" s="1">
        <v>2019.0</v>
      </c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 t="s">
        <v>405</v>
      </c>
      <c r="Y1488" s="1" t="s">
        <v>6074</v>
      </c>
    </row>
    <row r="1489">
      <c r="A1489" s="1">
        <v>1128849.0</v>
      </c>
      <c r="B1489" s="1" t="s">
        <v>6075</v>
      </c>
      <c r="C1489" s="1" t="s">
        <v>6076</v>
      </c>
      <c r="D1489" s="1" t="s">
        <v>6077</v>
      </c>
      <c r="F1489" s="2" t="str">
        <f>"0805062831"</f>
        <v>0805062831</v>
      </c>
      <c r="G1489" s="2" t="str">
        <f>"9780805062830"</f>
        <v>9780805062830</v>
      </c>
      <c r="H1489" s="1" t="s">
        <v>2118</v>
      </c>
      <c r="I1489" s="1" t="s">
        <v>31</v>
      </c>
      <c r="J1489" s="1">
        <v>40.0</v>
      </c>
      <c r="K1489" s="1">
        <v>2003.0</v>
      </c>
      <c r="L1489" s="1">
        <v>2003.0</v>
      </c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 t="s">
        <v>3263</v>
      </c>
      <c r="Y1489" s="1" t="s">
        <v>6078</v>
      </c>
    </row>
    <row r="1490">
      <c r="A1490" s="1">
        <v>5.9029883E7</v>
      </c>
      <c r="B1490" s="1" t="s">
        <v>6079</v>
      </c>
      <c r="C1490" s="1" t="s">
        <v>6080</v>
      </c>
      <c r="D1490" s="1" t="s">
        <v>6081</v>
      </c>
      <c r="E1490" s="1" t="s">
        <v>6082</v>
      </c>
      <c r="F1490" s="2" t="str">
        <f>"0759556849"</f>
        <v>0759556849</v>
      </c>
      <c r="G1490" s="2" t="str">
        <f>"9780759556843"</f>
        <v>9780759556843</v>
      </c>
      <c r="H1490" s="1" t="s">
        <v>112</v>
      </c>
      <c r="I1490" s="1" t="s">
        <v>31</v>
      </c>
      <c r="J1490" s="1">
        <v>40.0</v>
      </c>
      <c r="K1490" s="1">
        <v>2023.0</v>
      </c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 t="s">
        <v>37</v>
      </c>
      <c r="Y1490" s="1" t="s">
        <v>6083</v>
      </c>
    </row>
    <row r="1491">
      <c r="A1491" s="1">
        <v>9463530.0</v>
      </c>
      <c r="B1491" s="1" t="s">
        <v>6084</v>
      </c>
      <c r="C1491" s="1" t="s">
        <v>6085</v>
      </c>
      <c r="D1491" s="1" t="s">
        <v>6086</v>
      </c>
      <c r="F1491" s="2" t="str">
        <f>"037586735X"</f>
        <v>037586735X</v>
      </c>
      <c r="G1491" s="2" t="str">
        <f>"9780375867354"</f>
        <v>9780375867354</v>
      </c>
      <c r="H1491" s="1" t="s">
        <v>156</v>
      </c>
      <c r="I1491" s="1" t="s">
        <v>31</v>
      </c>
      <c r="J1491" s="1">
        <v>40.0</v>
      </c>
      <c r="K1491" s="1">
        <v>2010.0</v>
      </c>
      <c r="L1491" s="1">
        <v>2010.0</v>
      </c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 t="s">
        <v>2298</v>
      </c>
      <c r="Y1491" s="1" t="s">
        <v>6087</v>
      </c>
    </row>
    <row r="1492">
      <c r="A1492" s="1">
        <v>4.3522206E7</v>
      </c>
      <c r="B1492" s="1" t="s">
        <v>6088</v>
      </c>
      <c r="C1492" s="1" t="s">
        <v>6089</v>
      </c>
      <c r="D1492" s="1" t="s">
        <v>6090</v>
      </c>
      <c r="E1492" s="1" t="s">
        <v>6091</v>
      </c>
      <c r="F1492" s="2" t="str">
        <f>"1368024602"</f>
        <v>1368024602</v>
      </c>
      <c r="G1492" s="2" t="str">
        <f>"9781368024600"</f>
        <v>9781368024600</v>
      </c>
      <c r="H1492" s="1" t="s">
        <v>112</v>
      </c>
      <c r="I1492" s="1" t="s">
        <v>31</v>
      </c>
      <c r="J1492" s="1">
        <v>40.0</v>
      </c>
      <c r="K1492" s="1">
        <v>2019.0</v>
      </c>
      <c r="L1492" s="1">
        <v>2019.0</v>
      </c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 t="s">
        <v>1105</v>
      </c>
      <c r="Y1492" s="1" t="s">
        <v>6092</v>
      </c>
    </row>
    <row r="1493">
      <c r="A1493" s="1">
        <v>197438.0</v>
      </c>
      <c r="B1493" s="1" t="s">
        <v>6093</v>
      </c>
      <c r="C1493" s="1" t="s">
        <v>6094</v>
      </c>
      <c r="D1493" s="1" t="s">
        <v>6095</v>
      </c>
      <c r="E1493" s="1" t="s">
        <v>6096</v>
      </c>
      <c r="F1493" s="2" t="str">
        <f>"1416903119"</f>
        <v>1416903119</v>
      </c>
      <c r="G1493" s="2" t="str">
        <f>"9781416903116"</f>
        <v>9781416903116</v>
      </c>
      <c r="H1493" s="1" t="s">
        <v>2496</v>
      </c>
      <c r="I1493" s="1" t="s">
        <v>36</v>
      </c>
      <c r="J1493" s="1">
        <v>40.0</v>
      </c>
      <c r="K1493" s="1">
        <v>2005.0</v>
      </c>
      <c r="L1493" s="1">
        <v>1970.0</v>
      </c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 t="s">
        <v>1317</v>
      </c>
      <c r="Y1493" s="1" t="s">
        <v>6097</v>
      </c>
    </row>
    <row r="1494">
      <c r="A1494" s="1">
        <v>2.2107227E7</v>
      </c>
      <c r="B1494" s="1" t="s">
        <v>6098</v>
      </c>
      <c r="C1494" s="1" t="s">
        <v>6099</v>
      </c>
      <c r="D1494" s="1" t="s">
        <v>6100</v>
      </c>
      <c r="E1494" s="1" t="s">
        <v>3465</v>
      </c>
      <c r="F1494" s="2" t="str">
        <f>"0803740913"</f>
        <v>0803740913</v>
      </c>
      <c r="G1494" s="2" t="str">
        <f>"9780803740914"</f>
        <v>9780803740914</v>
      </c>
      <c r="H1494" s="1" t="s">
        <v>2600</v>
      </c>
      <c r="I1494" s="1" t="s">
        <v>31</v>
      </c>
      <c r="J1494" s="1">
        <v>40.0</v>
      </c>
      <c r="K1494" s="1">
        <v>2015.0</v>
      </c>
      <c r="L1494" s="1">
        <v>2015.0</v>
      </c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 t="s">
        <v>1466</v>
      </c>
      <c r="Y1494" s="1" t="s">
        <v>6101</v>
      </c>
    </row>
    <row r="1495">
      <c r="A1495" s="1">
        <v>3.9347065E7</v>
      </c>
      <c r="B1495" s="1" t="s">
        <v>6102</v>
      </c>
      <c r="C1495" s="1" t="s">
        <v>6103</v>
      </c>
      <c r="D1495" s="1" t="s">
        <v>6104</v>
      </c>
      <c r="F1495" s="2" t="str">
        <f>"8189934864"</f>
        <v>8189934864</v>
      </c>
      <c r="G1495" s="2" t="str">
        <f>"9788189934866"</f>
        <v>9788189934866</v>
      </c>
      <c r="H1495" s="1" t="s">
        <v>6105</v>
      </c>
      <c r="I1495" s="1" t="s">
        <v>36</v>
      </c>
      <c r="J1495" s="1">
        <v>40.0</v>
      </c>
      <c r="K1495" s="1">
        <v>1996.0</v>
      </c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 t="s">
        <v>2254</v>
      </c>
      <c r="Y1495" s="1" t="s">
        <v>6106</v>
      </c>
    </row>
    <row r="1496">
      <c r="A1496" s="1">
        <v>2.8016076E7</v>
      </c>
      <c r="B1496" s="1" t="s">
        <v>6107</v>
      </c>
      <c r="C1496" s="1" t="s">
        <v>6108</v>
      </c>
      <c r="D1496" s="1" t="s">
        <v>6109</v>
      </c>
      <c r="E1496" s="1" t="s">
        <v>6110</v>
      </c>
      <c r="F1496" s="2" t="str">
        <f>"0545814308"</f>
        <v>0545814308</v>
      </c>
      <c r="G1496" s="2" t="str">
        <f>"9780545814300"</f>
        <v>9780545814300</v>
      </c>
      <c r="H1496" s="1" t="s">
        <v>2397</v>
      </c>
      <c r="I1496" s="1" t="s">
        <v>31</v>
      </c>
      <c r="J1496" s="1">
        <v>40.0</v>
      </c>
      <c r="K1496" s="1">
        <v>2016.0</v>
      </c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 t="s">
        <v>212</v>
      </c>
      <c r="Y1496" s="1" t="s">
        <v>6111</v>
      </c>
    </row>
    <row r="1497">
      <c r="A1497" s="1">
        <v>315882.0</v>
      </c>
      <c r="B1497" s="1" t="s">
        <v>6112</v>
      </c>
      <c r="C1497" s="1" t="s">
        <v>6113</v>
      </c>
      <c r="D1497" s="1" t="s">
        <v>6114</v>
      </c>
      <c r="E1497" s="1" t="s">
        <v>6115</v>
      </c>
      <c r="F1497" s="2" t="str">
        <f>"043977733X"</f>
        <v>043977733X</v>
      </c>
      <c r="G1497" s="2" t="str">
        <f>"9780439777339"</f>
        <v>9780439777339</v>
      </c>
      <c r="H1497" s="1" t="s">
        <v>857</v>
      </c>
      <c r="I1497" s="1" t="s">
        <v>31</v>
      </c>
      <c r="J1497" s="1">
        <v>40.0</v>
      </c>
      <c r="K1497" s="1">
        <v>2007.0</v>
      </c>
      <c r="L1497" s="1">
        <v>2007.0</v>
      </c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 t="s">
        <v>742</v>
      </c>
      <c r="Y1497" s="1" t="s">
        <v>6116</v>
      </c>
    </row>
    <row r="1498">
      <c r="A1498" s="1">
        <v>2.0670612E7</v>
      </c>
      <c r="B1498" s="1" t="s">
        <v>6117</v>
      </c>
      <c r="C1498" s="1" t="s">
        <v>6118</v>
      </c>
      <c r="D1498" s="1" t="s">
        <v>6119</v>
      </c>
      <c r="E1498" s="1" t="s">
        <v>4892</v>
      </c>
      <c r="F1498" s="2" t="str">
        <f>"1481400703"</f>
        <v>1481400703</v>
      </c>
      <c r="G1498" s="2" t="str">
        <f>"9781481400701"</f>
        <v>9781481400701</v>
      </c>
      <c r="H1498" s="1" t="s">
        <v>2537</v>
      </c>
      <c r="I1498" s="1" t="s">
        <v>31</v>
      </c>
      <c r="J1498" s="1">
        <v>40.0</v>
      </c>
      <c r="K1498" s="1">
        <v>2017.0</v>
      </c>
      <c r="L1498" s="1">
        <v>2017.0</v>
      </c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 t="s">
        <v>1195</v>
      </c>
      <c r="Y1498" s="1" t="s">
        <v>6120</v>
      </c>
    </row>
    <row r="1499">
      <c r="A1499" s="1">
        <v>2.578576E7</v>
      </c>
      <c r="B1499" s="1" t="s">
        <v>6121</v>
      </c>
      <c r="C1499" s="1" t="s">
        <v>6122</v>
      </c>
      <c r="D1499" s="1" t="s">
        <v>6123</v>
      </c>
      <c r="E1499" s="1" t="s">
        <v>6124</v>
      </c>
      <c r="F1499" s="2" t="str">
        <f>"1481426400"</f>
        <v>1481426400</v>
      </c>
      <c r="G1499" s="2" t="str">
        <f>"9781481426404"</f>
        <v>9781481426404</v>
      </c>
      <c r="H1499" s="1" t="s">
        <v>2537</v>
      </c>
      <c r="I1499" s="1" t="s">
        <v>31</v>
      </c>
      <c r="J1499" s="1">
        <v>40.0</v>
      </c>
      <c r="K1499" s="1">
        <v>2016.0</v>
      </c>
      <c r="L1499" s="1">
        <v>2016.0</v>
      </c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 t="s">
        <v>1219</v>
      </c>
      <c r="Y1499" s="1" t="s">
        <v>6125</v>
      </c>
    </row>
    <row r="1500">
      <c r="A1500" s="1">
        <v>4.3885033E7</v>
      </c>
      <c r="B1500" s="1" t="s">
        <v>6126</v>
      </c>
      <c r="C1500" s="1" t="s">
        <v>6127</v>
      </c>
      <c r="D1500" s="1" t="s">
        <v>6128</v>
      </c>
      <c r="F1500" s="2" t="str">
        <f>"0316478369"</f>
        <v>0316478369</v>
      </c>
      <c r="G1500" s="2" t="str">
        <f>"9780316478366"</f>
        <v>9780316478366</v>
      </c>
      <c r="H1500" s="1" t="s">
        <v>112</v>
      </c>
      <c r="I1500" s="1" t="s">
        <v>31</v>
      </c>
      <c r="J1500" s="1">
        <v>40.0</v>
      </c>
      <c r="K1500" s="1">
        <v>2019.0</v>
      </c>
      <c r="L1500" s="1">
        <v>2019.0</v>
      </c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 t="s">
        <v>3263</v>
      </c>
      <c r="Y1500" s="1" t="s">
        <v>6129</v>
      </c>
    </row>
    <row r="1501">
      <c r="A1501" s="1">
        <v>4.4581496E7</v>
      </c>
      <c r="B1501" s="1" t="s">
        <v>6130</v>
      </c>
      <c r="C1501" s="1" t="s">
        <v>6131</v>
      </c>
      <c r="D1501" s="1" t="s">
        <v>6132</v>
      </c>
      <c r="E1501" s="1" t="s">
        <v>6133</v>
      </c>
      <c r="F1501" s="2" t="str">
        <f>"1250203554"</f>
        <v>1250203554</v>
      </c>
      <c r="G1501" s="2" t="str">
        <f>"9781250203557"</f>
        <v>9781250203557</v>
      </c>
      <c r="H1501" s="1" t="s">
        <v>2712</v>
      </c>
      <c r="I1501" s="1" t="s">
        <v>31</v>
      </c>
      <c r="J1501" s="1">
        <v>40.0</v>
      </c>
      <c r="K1501" s="1">
        <v>2020.0</v>
      </c>
      <c r="L1501" s="1">
        <v>2020.0</v>
      </c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 t="s">
        <v>1024</v>
      </c>
      <c r="Y1501" s="1" t="s">
        <v>6134</v>
      </c>
    </row>
    <row r="1502">
      <c r="A1502" s="1">
        <v>868899.0</v>
      </c>
      <c r="B1502" s="1" t="s">
        <v>6135</v>
      </c>
      <c r="C1502" s="1" t="s">
        <v>6136</v>
      </c>
      <c r="D1502" s="1" t="s">
        <v>6137</v>
      </c>
      <c r="E1502" s="1" t="s">
        <v>6011</v>
      </c>
      <c r="F1502" s="2" t="str">
        <f>"0375838430"</f>
        <v>0375838430</v>
      </c>
      <c r="G1502" s="2" t="str">
        <f>"9780375838439"</f>
        <v>9780375838439</v>
      </c>
      <c r="H1502" s="1" t="s">
        <v>3466</v>
      </c>
      <c r="I1502" s="1" t="s">
        <v>31</v>
      </c>
      <c r="J1502" s="1">
        <v>40.0</v>
      </c>
      <c r="K1502" s="1">
        <v>2007.0</v>
      </c>
      <c r="L1502" s="1">
        <v>2007.0</v>
      </c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 t="s">
        <v>1466</v>
      </c>
      <c r="Y1502" s="1" t="s">
        <v>6138</v>
      </c>
    </row>
    <row r="1503">
      <c r="A1503" s="1">
        <v>1.8635637E7</v>
      </c>
      <c r="B1503" s="1" t="s">
        <v>6139</v>
      </c>
      <c r="C1503" s="1" t="s">
        <v>3500</v>
      </c>
      <c r="D1503" s="1" t="s">
        <v>4057</v>
      </c>
      <c r="F1503" s="2" t="str">
        <f>"0399163964"</f>
        <v>0399163964</v>
      </c>
      <c r="G1503" s="2" t="str">
        <f>"9780399163968"</f>
        <v>9780399163968</v>
      </c>
      <c r="H1503" s="1" t="s">
        <v>2253</v>
      </c>
      <c r="I1503" s="1" t="s">
        <v>31</v>
      </c>
      <c r="J1503" s="1">
        <v>40.0</v>
      </c>
      <c r="K1503" s="1">
        <v>2014.0</v>
      </c>
      <c r="L1503" s="1">
        <v>2014.0</v>
      </c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 t="s">
        <v>1352</v>
      </c>
      <c r="Y1503" s="1" t="s">
        <v>6140</v>
      </c>
    </row>
    <row r="1504">
      <c r="A1504" s="1">
        <v>2.8364156E7</v>
      </c>
      <c r="B1504" s="1" t="s">
        <v>6141</v>
      </c>
      <c r="C1504" s="1" t="s">
        <v>3500</v>
      </c>
      <c r="D1504" s="1" t="s">
        <v>4057</v>
      </c>
      <c r="F1504" s="2" t="str">
        <f>"0399163980"</f>
        <v>0399163980</v>
      </c>
      <c r="G1504" s="2" t="str">
        <f>"9780399163982"</f>
        <v>9780399163982</v>
      </c>
      <c r="H1504" s="1" t="s">
        <v>2253</v>
      </c>
      <c r="I1504" s="1" t="s">
        <v>31</v>
      </c>
      <c r="J1504" s="1">
        <v>40.0</v>
      </c>
      <c r="K1504" s="1">
        <v>2016.0</v>
      </c>
      <c r="L1504" s="1">
        <v>2016.0</v>
      </c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 t="s">
        <v>1352</v>
      </c>
      <c r="Y1504" s="1" t="s">
        <v>6142</v>
      </c>
    </row>
    <row r="1505">
      <c r="A1505" s="1">
        <v>1.0594678E7</v>
      </c>
      <c r="B1505" s="1" t="s">
        <v>6143</v>
      </c>
      <c r="C1505" s="1" t="s">
        <v>3500</v>
      </c>
      <c r="D1505" s="1" t="s">
        <v>4057</v>
      </c>
      <c r="F1505" s="2" t="str">
        <f>"0399254773"</f>
        <v>0399254773</v>
      </c>
      <c r="G1505" s="2" t="str">
        <f>"9780399254772"</f>
        <v>9780399254772</v>
      </c>
      <c r="H1505" s="1" t="s">
        <v>2253</v>
      </c>
      <c r="I1505" s="1" t="s">
        <v>31</v>
      </c>
      <c r="J1505" s="1">
        <v>40.0</v>
      </c>
      <c r="K1505" s="1">
        <v>2011.0</v>
      </c>
      <c r="L1505" s="1">
        <v>2011.0</v>
      </c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 t="s">
        <v>6144</v>
      </c>
      <c r="Y1505" s="1" t="s">
        <v>6145</v>
      </c>
    </row>
    <row r="1506">
      <c r="A1506" s="1">
        <v>4.6166608E7</v>
      </c>
      <c r="B1506" s="1" t="s">
        <v>6146</v>
      </c>
      <c r="C1506" s="1" t="s">
        <v>6147</v>
      </c>
      <c r="D1506" s="1" t="s">
        <v>6148</v>
      </c>
      <c r="E1506" s="1" t="s">
        <v>6149</v>
      </c>
      <c r="F1506" s="2" t="str">
        <f>"1620149559"</f>
        <v>1620149559</v>
      </c>
      <c r="G1506" s="2" t="str">
        <f>"9781620149553"</f>
        <v>9781620149553</v>
      </c>
      <c r="H1506" s="1" t="s">
        <v>2515</v>
      </c>
      <c r="I1506" s="1" t="s">
        <v>31</v>
      </c>
      <c r="J1506" s="1">
        <v>40.0</v>
      </c>
      <c r="K1506" s="1">
        <v>2020.0</v>
      </c>
      <c r="L1506" s="1">
        <v>2020.0</v>
      </c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 t="s">
        <v>1024</v>
      </c>
      <c r="Y1506" s="1" t="s">
        <v>6150</v>
      </c>
    </row>
    <row r="1507">
      <c r="A1507" s="1">
        <v>3.8397821E7</v>
      </c>
      <c r="B1507" s="1" t="s">
        <v>6151</v>
      </c>
      <c r="C1507" s="1" t="s">
        <v>6152</v>
      </c>
      <c r="D1507" s="1" t="s">
        <v>6153</v>
      </c>
      <c r="E1507" s="1" t="s">
        <v>6154</v>
      </c>
      <c r="F1507" s="2" t="str">
        <f>"1512483753"</f>
        <v>1512483753</v>
      </c>
      <c r="G1507" s="2" t="str">
        <f>"9781512483758"</f>
        <v>9781512483758</v>
      </c>
      <c r="H1507" s="1" t="s">
        <v>6155</v>
      </c>
      <c r="I1507" s="1" t="s">
        <v>31</v>
      </c>
      <c r="J1507" s="1">
        <v>40.0</v>
      </c>
      <c r="K1507" s="1">
        <v>2018.0</v>
      </c>
      <c r="L1507" s="1">
        <v>2018.0</v>
      </c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 t="s">
        <v>1024</v>
      </c>
      <c r="Y1507" s="1" t="s">
        <v>6156</v>
      </c>
    </row>
    <row r="1508">
      <c r="A1508" s="1">
        <v>1.1737285E7</v>
      </c>
      <c r="B1508" s="1" t="s">
        <v>6157</v>
      </c>
      <c r="C1508" s="1" t="s">
        <v>6158</v>
      </c>
      <c r="D1508" s="1" t="s">
        <v>6159</v>
      </c>
      <c r="F1508" s="2" t="str">
        <f>"0670013137"</f>
        <v>0670013137</v>
      </c>
      <c r="G1508" s="2" t="str">
        <f>"9780670013135"</f>
        <v>9780670013135</v>
      </c>
      <c r="H1508" s="1" t="s">
        <v>2746</v>
      </c>
      <c r="I1508" s="1" t="s">
        <v>31</v>
      </c>
      <c r="J1508" s="1">
        <v>40.0</v>
      </c>
      <c r="K1508" s="1">
        <v>2012.0</v>
      </c>
      <c r="L1508" s="1">
        <v>2012.0</v>
      </c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 t="s">
        <v>412</v>
      </c>
      <c r="Y1508" s="1" t="s">
        <v>6160</v>
      </c>
    </row>
    <row r="1509">
      <c r="A1509" s="1">
        <v>1.3414857E7</v>
      </c>
      <c r="B1509" s="1" t="s">
        <v>6161</v>
      </c>
      <c r="C1509" s="1" t="s">
        <v>6162</v>
      </c>
      <c r="D1509" s="1" t="s">
        <v>6163</v>
      </c>
      <c r="E1509" s="1" t="s">
        <v>6164</v>
      </c>
      <c r="F1509" s="2" t="str">
        <f>"0763639915"</f>
        <v>0763639915</v>
      </c>
      <c r="G1509" s="2" t="str">
        <f>"9780763639914"</f>
        <v>9780763639914</v>
      </c>
      <c r="H1509" s="1" t="s">
        <v>945</v>
      </c>
      <c r="I1509" s="1" t="s">
        <v>31</v>
      </c>
      <c r="J1509" s="1">
        <v>40.0</v>
      </c>
      <c r="K1509" s="1">
        <v>2012.0</v>
      </c>
      <c r="L1509" s="1">
        <v>2012.0</v>
      </c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 t="s">
        <v>68</v>
      </c>
      <c r="Y1509" s="1" t="s">
        <v>6165</v>
      </c>
    </row>
    <row r="1510">
      <c r="A1510" s="1">
        <v>6399392.0</v>
      </c>
      <c r="B1510" s="1" t="s">
        <v>6166</v>
      </c>
      <c r="C1510" s="1" t="s">
        <v>6167</v>
      </c>
      <c r="D1510" s="1" t="s">
        <v>6168</v>
      </c>
      <c r="F1510" s="2" t="str">
        <f>"0805069348"</f>
        <v>0805069348</v>
      </c>
      <c r="G1510" s="2" t="str">
        <f>"9780805069341"</f>
        <v>9780805069341</v>
      </c>
      <c r="H1510" s="1" t="s">
        <v>2118</v>
      </c>
      <c r="I1510" s="1" t="s">
        <v>31</v>
      </c>
      <c r="J1510" s="1">
        <v>40.0</v>
      </c>
      <c r="K1510" s="1">
        <v>2009.0</v>
      </c>
      <c r="L1510" s="1">
        <v>2009.0</v>
      </c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 t="s">
        <v>1390</v>
      </c>
      <c r="Y1510" s="1" t="s">
        <v>6169</v>
      </c>
    </row>
    <row r="1511">
      <c r="A1511" s="1">
        <v>2.3502845E7</v>
      </c>
      <c r="B1511" s="1" t="s">
        <v>6170</v>
      </c>
      <c r="C1511" s="1" t="s">
        <v>6171</v>
      </c>
      <c r="D1511" s="1" t="s">
        <v>6172</v>
      </c>
      <c r="F1511" s="2" t="str">
        <f>"0553523740"</f>
        <v>0553523740</v>
      </c>
      <c r="G1511" s="2" t="str">
        <f>"9780553523744"</f>
        <v>9780553523744</v>
      </c>
      <c r="H1511" s="1" t="s">
        <v>5755</v>
      </c>
      <c r="I1511" s="1" t="s">
        <v>31</v>
      </c>
      <c r="J1511" s="1">
        <v>40.0</v>
      </c>
      <c r="K1511" s="1">
        <v>2015.0</v>
      </c>
      <c r="L1511" s="1">
        <v>2015.0</v>
      </c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 t="s">
        <v>405</v>
      </c>
      <c r="Y1511" s="1" t="s">
        <v>6173</v>
      </c>
    </row>
    <row r="1512">
      <c r="A1512" s="1">
        <v>3.6030999E7</v>
      </c>
      <c r="B1512" s="1" t="s">
        <v>6174</v>
      </c>
      <c r="C1512" s="1" t="s">
        <v>6175</v>
      </c>
      <c r="D1512" s="1" t="s">
        <v>6176</v>
      </c>
      <c r="F1512" s="2" t="str">
        <f>"1101933836"</f>
        <v>1101933836</v>
      </c>
      <c r="G1512" s="2" t="str">
        <f>"9781101933831"</f>
        <v>9781101933831</v>
      </c>
      <c r="H1512" s="1" t="s">
        <v>5755</v>
      </c>
      <c r="I1512" s="1" t="s">
        <v>91</v>
      </c>
      <c r="J1512" s="1">
        <v>40.0</v>
      </c>
      <c r="K1512" s="1">
        <v>2018.0</v>
      </c>
      <c r="L1512" s="1">
        <v>2018.0</v>
      </c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 t="s">
        <v>68</v>
      </c>
      <c r="Y1512" s="1" t="s">
        <v>6177</v>
      </c>
    </row>
    <row r="1513">
      <c r="A1513" s="1">
        <v>1048536.0</v>
      </c>
      <c r="B1513" s="1" t="s">
        <v>6178</v>
      </c>
      <c r="C1513" s="1" t="s">
        <v>6179</v>
      </c>
      <c r="D1513" s="1" t="s">
        <v>6180</v>
      </c>
      <c r="E1513" s="1" t="s">
        <v>6181</v>
      </c>
      <c r="F1513" s="2" t="str">
        <f>"0590372130"</f>
        <v>0590372130</v>
      </c>
      <c r="G1513" s="2" t="str">
        <f>"9780590372138"</f>
        <v>9780590372138</v>
      </c>
      <c r="H1513" s="1" t="s">
        <v>1992</v>
      </c>
      <c r="I1513" s="1" t="s">
        <v>36</v>
      </c>
      <c r="J1513" s="1">
        <v>40.0</v>
      </c>
      <c r="K1513" s="1">
        <v>1999.0</v>
      </c>
      <c r="L1513" s="1">
        <v>1998.0</v>
      </c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 t="s">
        <v>1179</v>
      </c>
      <c r="Y1513" s="1" t="s">
        <v>6182</v>
      </c>
    </row>
    <row r="1514">
      <c r="A1514" s="1">
        <v>8060619.0</v>
      </c>
      <c r="B1514" s="1" t="s">
        <v>6183</v>
      </c>
      <c r="C1514" s="1" t="s">
        <v>6184</v>
      </c>
      <c r="D1514" s="1" t="s">
        <v>6185</v>
      </c>
      <c r="F1514" s="2" t="str">
        <f>"1575423464"</f>
        <v>1575423464</v>
      </c>
      <c r="G1514" s="2" t="str">
        <f>"9781575423463"</f>
        <v>9781575423463</v>
      </c>
      <c r="H1514" s="1" t="s">
        <v>6186</v>
      </c>
      <c r="I1514" s="1" t="s">
        <v>36</v>
      </c>
      <c r="J1514" s="1">
        <v>40.0</v>
      </c>
      <c r="K1514" s="1">
        <v>2010.0</v>
      </c>
      <c r="L1514" s="1">
        <v>2010.0</v>
      </c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 t="s">
        <v>1219</v>
      </c>
      <c r="Y1514" s="1" t="s">
        <v>6187</v>
      </c>
    </row>
    <row r="1515">
      <c r="A1515" s="1">
        <v>1.7987503E7</v>
      </c>
      <c r="B1515" s="1" t="s">
        <v>6188</v>
      </c>
      <c r="C1515" s="1" t="s">
        <v>4253</v>
      </c>
      <c r="D1515" s="1" t="s">
        <v>4254</v>
      </c>
      <c r="E1515" s="1" t="s">
        <v>4255</v>
      </c>
      <c r="F1515" s="2" t="str">
        <f>"0803740832"</f>
        <v>0803740832</v>
      </c>
      <c r="G1515" s="2" t="str">
        <f>"9780803740839"</f>
        <v>9780803740839</v>
      </c>
      <c r="H1515" s="1" t="s">
        <v>5094</v>
      </c>
      <c r="I1515" s="1" t="s">
        <v>31</v>
      </c>
      <c r="J1515" s="1">
        <v>40.0</v>
      </c>
      <c r="K1515" s="1">
        <v>2014.0</v>
      </c>
      <c r="L1515" s="1">
        <v>2014.0</v>
      </c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 t="s">
        <v>641</v>
      </c>
      <c r="Y1515" s="1" t="s">
        <v>6189</v>
      </c>
    </row>
    <row r="1516">
      <c r="A1516" s="1">
        <v>1.9348456E7</v>
      </c>
      <c r="B1516" s="1" t="s">
        <v>6190</v>
      </c>
      <c r="C1516" s="1" t="s">
        <v>4253</v>
      </c>
      <c r="D1516" s="1" t="s">
        <v>4254</v>
      </c>
      <c r="E1516" s="1" t="s">
        <v>4255</v>
      </c>
      <c r="F1516" s="2" t="str">
        <f>"0803740840"</f>
        <v>0803740840</v>
      </c>
      <c r="G1516" s="2" t="str">
        <f>"9780803740846"</f>
        <v>9780803740846</v>
      </c>
      <c r="H1516" s="1" t="s">
        <v>2364</v>
      </c>
      <c r="I1516" s="1" t="s">
        <v>31</v>
      </c>
      <c r="J1516" s="1">
        <v>40.0</v>
      </c>
      <c r="K1516" s="1">
        <v>2014.0</v>
      </c>
      <c r="L1516" s="1">
        <v>2014.0</v>
      </c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 t="s">
        <v>641</v>
      </c>
      <c r="Y1516" s="1" t="s">
        <v>6191</v>
      </c>
    </row>
    <row r="1517">
      <c r="A1517" s="1">
        <v>4.3345857E7</v>
      </c>
      <c r="B1517" s="1" t="s">
        <v>6192</v>
      </c>
      <c r="C1517" s="1" t="s">
        <v>4253</v>
      </c>
      <c r="D1517" s="1" t="s">
        <v>4254</v>
      </c>
      <c r="E1517" s="1" t="s">
        <v>4255</v>
      </c>
      <c r="F1517" s="2" t="str">
        <f>"0525555854"</f>
        <v>0525555854</v>
      </c>
      <c r="G1517" s="2" t="str">
        <f>"9780525555858"</f>
        <v>9780525555858</v>
      </c>
      <c r="H1517" s="1" t="s">
        <v>2364</v>
      </c>
      <c r="I1517" s="1" t="s">
        <v>31</v>
      </c>
      <c r="J1517" s="1">
        <v>40.0</v>
      </c>
      <c r="K1517" s="1">
        <v>2019.0</v>
      </c>
      <c r="L1517" s="1">
        <v>2019.0</v>
      </c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 t="s">
        <v>1195</v>
      </c>
      <c r="Y1517" s="1" t="s">
        <v>6193</v>
      </c>
    </row>
    <row r="1518">
      <c r="A1518" s="1">
        <v>3.5034196E7</v>
      </c>
      <c r="B1518" s="1" t="s">
        <v>6194</v>
      </c>
      <c r="C1518" s="1" t="s">
        <v>4253</v>
      </c>
      <c r="D1518" s="1" t="s">
        <v>4254</v>
      </c>
      <c r="E1518" s="1" t="s">
        <v>4255</v>
      </c>
      <c r="F1518" s="2" t="str">
        <f>"073522871X"</f>
        <v>073522871X</v>
      </c>
      <c r="G1518" s="2" t="str">
        <f>"9780735228719"</f>
        <v>9780735228719</v>
      </c>
      <c r="H1518" s="1" t="s">
        <v>2364</v>
      </c>
      <c r="I1518" s="1" t="s">
        <v>31</v>
      </c>
      <c r="J1518" s="1">
        <v>40.0</v>
      </c>
      <c r="K1518" s="1">
        <v>2018.0</v>
      </c>
      <c r="L1518" s="1">
        <v>2018.0</v>
      </c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 t="s">
        <v>1195</v>
      </c>
      <c r="Y1518" s="1" t="s">
        <v>6195</v>
      </c>
    </row>
    <row r="1519">
      <c r="A1519" s="1">
        <v>1.8554575E7</v>
      </c>
      <c r="B1519" s="1" t="s">
        <v>6196</v>
      </c>
      <c r="C1519" s="1" t="s">
        <v>4253</v>
      </c>
      <c r="D1519" s="1" t="s">
        <v>4254</v>
      </c>
      <c r="E1519" s="1" t="s">
        <v>4255</v>
      </c>
      <c r="F1519" s="2" t="str">
        <f>"0803740859"</f>
        <v>0803740859</v>
      </c>
      <c r="G1519" s="2" t="str">
        <f>"9780803740853"</f>
        <v>9780803740853</v>
      </c>
      <c r="H1519" s="1" t="s">
        <v>2364</v>
      </c>
      <c r="I1519" s="1" t="s">
        <v>31</v>
      </c>
      <c r="J1519" s="1">
        <v>40.0</v>
      </c>
      <c r="K1519" s="1">
        <v>2014.0</v>
      </c>
      <c r="L1519" s="1">
        <v>2014.0</v>
      </c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 t="s">
        <v>6197</v>
      </c>
      <c r="Y1519" s="1" t="s">
        <v>6198</v>
      </c>
    </row>
    <row r="1520">
      <c r="A1520" s="1">
        <v>5.0998148E7</v>
      </c>
      <c r="B1520" s="1" t="s">
        <v>6199</v>
      </c>
      <c r="C1520" s="1" t="s">
        <v>5642</v>
      </c>
      <c r="D1520" s="1" t="s">
        <v>5643</v>
      </c>
      <c r="F1520" s="2" t="str">
        <f>"0316541656"</f>
        <v>0316541656</v>
      </c>
      <c r="G1520" s="2" t="str">
        <f>"9780316541657"</f>
        <v>9780316541657</v>
      </c>
      <c r="H1520" s="1" t="s">
        <v>112</v>
      </c>
      <c r="I1520" s="1" t="s">
        <v>36</v>
      </c>
      <c r="J1520" s="1">
        <v>40.0</v>
      </c>
      <c r="K1520" s="1">
        <v>2020.0</v>
      </c>
      <c r="L1520" s="1">
        <v>2018.0</v>
      </c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 t="s">
        <v>61</v>
      </c>
      <c r="Y1520" s="1" t="s">
        <v>6200</v>
      </c>
    </row>
    <row r="1521">
      <c r="A1521" s="1">
        <v>4.163301E7</v>
      </c>
      <c r="B1521" s="1" t="s">
        <v>6201</v>
      </c>
      <c r="C1521" s="1" t="s">
        <v>4315</v>
      </c>
      <c r="D1521" s="1" t="s">
        <v>4328</v>
      </c>
      <c r="F1521" s="2" t="str">
        <f>"0823442594"</f>
        <v>0823442594</v>
      </c>
      <c r="G1521" s="2" t="str">
        <f>"9780823442591"</f>
        <v>9780823442591</v>
      </c>
      <c r="H1521" s="1" t="s">
        <v>2660</v>
      </c>
      <c r="I1521" s="1" t="s">
        <v>238</v>
      </c>
      <c r="J1521" s="1">
        <v>40.0</v>
      </c>
      <c r="K1521" s="1">
        <v>2018.0</v>
      </c>
      <c r="L1521" s="1">
        <v>2018.0</v>
      </c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 t="s">
        <v>92</v>
      </c>
      <c r="Y1521" s="1" t="s">
        <v>6202</v>
      </c>
    </row>
    <row r="1522">
      <c r="A1522" s="1">
        <v>4.3666736E7</v>
      </c>
      <c r="B1522" s="1" t="s">
        <v>6203</v>
      </c>
      <c r="C1522" s="1" t="s">
        <v>6204</v>
      </c>
      <c r="D1522" s="1" t="s">
        <v>6205</v>
      </c>
      <c r="E1522" s="1" t="s">
        <v>6206</v>
      </c>
      <c r="F1522" s="2" t="str">
        <f>"1943147639"</f>
        <v>1943147639</v>
      </c>
      <c r="G1522" s="2" t="str">
        <f>"9781943147632"</f>
        <v>9781943147632</v>
      </c>
      <c r="H1522" s="1" t="s">
        <v>5947</v>
      </c>
      <c r="I1522" s="1" t="s">
        <v>31</v>
      </c>
      <c r="J1522" s="1">
        <v>40.0</v>
      </c>
      <c r="K1522" s="1">
        <v>2019.0</v>
      </c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 t="s">
        <v>1195</v>
      </c>
      <c r="Y1522" s="1" t="s">
        <v>6207</v>
      </c>
    </row>
    <row r="1523">
      <c r="A1523" s="1">
        <v>3.3377347E7</v>
      </c>
      <c r="B1523" s="1" t="s">
        <v>6208</v>
      </c>
      <c r="C1523" s="1" t="s">
        <v>6204</v>
      </c>
      <c r="D1523" s="1" t="s">
        <v>6205</v>
      </c>
      <c r="E1523" s="1" t="s">
        <v>6206</v>
      </c>
      <c r="F1523" s="2" t="str">
        <f>"1943147302"</f>
        <v>1943147302</v>
      </c>
      <c r="G1523" s="2" t="str">
        <f>"9781943147304"</f>
        <v>9781943147304</v>
      </c>
      <c r="H1523" s="1" t="s">
        <v>5947</v>
      </c>
      <c r="I1523" s="1" t="s">
        <v>31</v>
      </c>
      <c r="J1523" s="1">
        <v>40.0</v>
      </c>
      <c r="K1523" s="1">
        <v>2017.0</v>
      </c>
      <c r="L1523" s="1">
        <v>2017.0</v>
      </c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 t="s">
        <v>1195</v>
      </c>
      <c r="Y1523" s="1" t="s">
        <v>6209</v>
      </c>
    </row>
    <row r="1524">
      <c r="A1524" s="1">
        <v>140181.0</v>
      </c>
      <c r="B1524" s="1" t="s">
        <v>6210</v>
      </c>
      <c r="C1524" s="1" t="s">
        <v>4367</v>
      </c>
      <c r="D1524" s="1" t="s">
        <v>4368</v>
      </c>
      <c r="E1524" s="1" t="s">
        <v>6211</v>
      </c>
      <c r="F1524" s="2" t="str">
        <f>"0439339111"</f>
        <v>0439339111</v>
      </c>
      <c r="G1524" s="2" t="str">
        <f>"9780439339117"</f>
        <v>9780439339117</v>
      </c>
      <c r="H1524" s="1" t="s">
        <v>857</v>
      </c>
      <c r="I1524" s="1" t="s">
        <v>31</v>
      </c>
      <c r="J1524" s="1">
        <v>40.0</v>
      </c>
      <c r="K1524" s="1">
        <v>2005.0</v>
      </c>
      <c r="L1524" s="1">
        <v>2005.0</v>
      </c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 t="s">
        <v>412</v>
      </c>
      <c r="Y1524" s="1" t="s">
        <v>6212</v>
      </c>
    </row>
    <row r="1525">
      <c r="A1525" s="1">
        <v>7552359.0</v>
      </c>
      <c r="B1525" s="1" t="s">
        <v>6213</v>
      </c>
      <c r="C1525" s="1" t="s">
        <v>4367</v>
      </c>
      <c r="D1525" s="1" t="s">
        <v>4368</v>
      </c>
      <c r="F1525" s="2" t="str">
        <f>"043963430X"</f>
        <v>043963430X</v>
      </c>
      <c r="G1525" s="2" t="str">
        <f>"9780439634304"</f>
        <v>9780439634304</v>
      </c>
      <c r="H1525" s="1" t="s">
        <v>857</v>
      </c>
      <c r="I1525" s="1" t="s">
        <v>31</v>
      </c>
      <c r="J1525" s="1">
        <v>40.0</v>
      </c>
      <c r="K1525" s="1">
        <v>2010.0</v>
      </c>
      <c r="L1525" s="1">
        <v>2010.0</v>
      </c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 t="s">
        <v>742</v>
      </c>
      <c r="Y1525" s="1" t="s">
        <v>6214</v>
      </c>
    </row>
    <row r="1526">
      <c r="A1526" s="1">
        <v>868773.0</v>
      </c>
      <c r="B1526" s="1" t="s">
        <v>6215</v>
      </c>
      <c r="C1526" s="1" t="s">
        <v>6216</v>
      </c>
      <c r="D1526" s="1" t="s">
        <v>6217</v>
      </c>
      <c r="F1526" s="2" t="str">
        <f>"0590033778"</f>
        <v>0590033778</v>
      </c>
      <c r="G1526" s="2" t="str">
        <f>"9780590033770"</f>
        <v>9780590033770</v>
      </c>
      <c r="H1526" s="1" t="s">
        <v>857</v>
      </c>
      <c r="I1526" s="1" t="s">
        <v>31</v>
      </c>
      <c r="J1526" s="1">
        <v>40.0</v>
      </c>
      <c r="K1526" s="1">
        <v>2000.0</v>
      </c>
      <c r="L1526" s="1">
        <v>2000.0</v>
      </c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 t="s">
        <v>742</v>
      </c>
      <c r="Y1526" s="1" t="s">
        <v>6218</v>
      </c>
    </row>
    <row r="1527">
      <c r="A1527" s="1">
        <v>215850.0</v>
      </c>
      <c r="B1527" s="1" t="s">
        <v>6219</v>
      </c>
      <c r="C1527" s="1" t="s">
        <v>1747</v>
      </c>
      <c r="D1527" s="1" t="s">
        <v>1748</v>
      </c>
      <c r="E1527" s="1" t="s">
        <v>5254</v>
      </c>
      <c r="F1527" s="2" t="str">
        <f>"0689878281"</f>
        <v>0689878281</v>
      </c>
      <c r="G1527" s="2" t="str">
        <f>"9780689878282"</f>
        <v>9780689878282</v>
      </c>
      <c r="H1527" s="1" t="s">
        <v>2496</v>
      </c>
      <c r="I1527" s="1" t="s">
        <v>36</v>
      </c>
      <c r="J1527" s="1">
        <v>40.0</v>
      </c>
      <c r="K1527" s="1">
        <v>2005.0</v>
      </c>
      <c r="L1527" s="1">
        <v>1993.0</v>
      </c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 t="s">
        <v>754</v>
      </c>
      <c r="Y1527" s="1" t="s">
        <v>6220</v>
      </c>
    </row>
    <row r="1528">
      <c r="A1528" s="1">
        <v>767680.0</v>
      </c>
      <c r="B1528" s="1" t="s">
        <v>6221</v>
      </c>
      <c r="C1528" s="1" t="s">
        <v>1747</v>
      </c>
      <c r="D1528" s="1" t="s">
        <v>1748</v>
      </c>
      <c r="E1528" s="1" t="s">
        <v>1749</v>
      </c>
      <c r="F1528" s="2" t="str">
        <f>""</f>
        <v/>
      </c>
      <c r="G1528" s="2" t="str">
        <f>"9780060245863"</f>
        <v>9780060245863</v>
      </c>
      <c r="H1528" s="1" t="s">
        <v>2055</v>
      </c>
      <c r="I1528" s="1" t="s">
        <v>36</v>
      </c>
      <c r="J1528" s="1">
        <v>40.0</v>
      </c>
      <c r="K1528" s="1">
        <v>1996.0</v>
      </c>
      <c r="L1528" s="1">
        <v>1985.0</v>
      </c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 t="s">
        <v>543</v>
      </c>
      <c r="Y1528" s="1" t="s">
        <v>6222</v>
      </c>
    </row>
    <row r="1529">
      <c r="A1529" s="1">
        <v>2.0702959E7</v>
      </c>
      <c r="B1529" s="1" t="s">
        <v>6223</v>
      </c>
      <c r="C1529" s="1" t="s">
        <v>4507</v>
      </c>
      <c r="D1529" s="1" t="s">
        <v>4508</v>
      </c>
      <c r="F1529" s="2" t="str">
        <f>"0972394664"</f>
        <v>0972394664</v>
      </c>
      <c r="G1529" s="2" t="str">
        <f>"9780972394666"</f>
        <v>9780972394666</v>
      </c>
      <c r="H1529" s="1" t="s">
        <v>4509</v>
      </c>
      <c r="I1529" s="1" t="s">
        <v>31</v>
      </c>
      <c r="J1529" s="1">
        <v>40.0</v>
      </c>
      <c r="K1529" s="1">
        <v>2014.0</v>
      </c>
      <c r="L1529" s="1">
        <v>2014.0</v>
      </c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 t="s">
        <v>1219</v>
      </c>
      <c r="Y1529" s="1" t="s">
        <v>6224</v>
      </c>
    </row>
    <row r="1530">
      <c r="A1530" s="1">
        <v>2.3507512E7</v>
      </c>
      <c r="B1530" s="1" t="s">
        <v>6225</v>
      </c>
      <c r="C1530" s="1" t="s">
        <v>6226</v>
      </c>
      <c r="D1530" s="1" t="s">
        <v>6227</v>
      </c>
      <c r="F1530" s="2" t="str">
        <f>"0316376574"</f>
        <v>0316376574</v>
      </c>
      <c r="G1530" s="2" t="str">
        <f>"9780316376570"</f>
        <v>9780316376570</v>
      </c>
      <c r="H1530" s="1" t="s">
        <v>112</v>
      </c>
      <c r="I1530" s="1" t="s">
        <v>31</v>
      </c>
      <c r="J1530" s="1">
        <v>40.0</v>
      </c>
      <c r="K1530" s="1">
        <v>2015.0</v>
      </c>
      <c r="L1530" s="1">
        <v>2015.0</v>
      </c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 t="s">
        <v>510</v>
      </c>
      <c r="Y1530" s="1" t="s">
        <v>6228</v>
      </c>
    </row>
    <row r="1531">
      <c r="A1531" s="1">
        <v>355590.0</v>
      </c>
      <c r="B1531" s="1" t="s">
        <v>6229</v>
      </c>
      <c r="C1531" s="1" t="s">
        <v>6230</v>
      </c>
      <c r="D1531" s="1" t="s">
        <v>6231</v>
      </c>
      <c r="F1531" s="2" t="str">
        <f>"0395349249"</f>
        <v>0395349249</v>
      </c>
      <c r="G1531" s="2" t="str">
        <f>"9780395349243"</f>
        <v>9780395349243</v>
      </c>
      <c r="H1531" s="1" t="s">
        <v>1799</v>
      </c>
      <c r="I1531" s="1" t="s">
        <v>36</v>
      </c>
      <c r="J1531" s="1">
        <v>40.0</v>
      </c>
      <c r="K1531" s="1">
        <v>1983.0</v>
      </c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 t="s">
        <v>3263</v>
      </c>
      <c r="Y1531" s="1" t="s">
        <v>6232</v>
      </c>
    </row>
    <row r="1532">
      <c r="A1532" s="1">
        <v>6989916.0</v>
      </c>
      <c r="B1532" s="1" t="s">
        <v>6233</v>
      </c>
      <c r="C1532" s="1" t="s">
        <v>6234</v>
      </c>
      <c r="D1532" s="1" t="s">
        <v>6235</v>
      </c>
      <c r="E1532" s="1" t="s">
        <v>6236</v>
      </c>
      <c r="F1532" s="2" t="str">
        <f>"0545094666"</f>
        <v>0545094666</v>
      </c>
      <c r="G1532" s="2" t="str">
        <f>"9780545094665"</f>
        <v>9780545094665</v>
      </c>
      <c r="H1532" s="1" t="s">
        <v>857</v>
      </c>
      <c r="I1532" s="1" t="s">
        <v>31</v>
      </c>
      <c r="J1532" s="1">
        <v>40.0</v>
      </c>
      <c r="K1532" s="1">
        <v>2010.0</v>
      </c>
      <c r="L1532" s="1">
        <v>2010.0</v>
      </c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 t="s">
        <v>1024</v>
      </c>
      <c r="Y1532" s="1" t="s">
        <v>6237</v>
      </c>
    </row>
    <row r="1533">
      <c r="A1533" s="1">
        <v>5.5686685E7</v>
      </c>
      <c r="B1533" s="1" t="s">
        <v>6238</v>
      </c>
      <c r="C1533" s="1" t="s">
        <v>546</v>
      </c>
      <c r="D1533" s="1" t="s">
        <v>547</v>
      </c>
      <c r="F1533" s="2" t="str">
        <f>"1338739670"</f>
        <v>1338739670</v>
      </c>
      <c r="G1533" s="2" t="str">
        <f>"9781338739671"</f>
        <v>9781338739671</v>
      </c>
      <c r="H1533" s="1" t="s">
        <v>6239</v>
      </c>
      <c r="I1533" s="1" t="s">
        <v>36</v>
      </c>
      <c r="J1533" s="1">
        <v>40.0</v>
      </c>
      <c r="K1533" s="1">
        <v>2020.0</v>
      </c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 t="s">
        <v>549</v>
      </c>
      <c r="Y1533" s="1" t="s">
        <v>6240</v>
      </c>
    </row>
    <row r="1534">
      <c r="A1534" s="1">
        <v>2.5689014E7</v>
      </c>
      <c r="B1534" s="1" t="s">
        <v>6241</v>
      </c>
      <c r="C1534" s="1" t="s">
        <v>6242</v>
      </c>
      <c r="D1534" s="1" t="s">
        <v>6243</v>
      </c>
      <c r="F1534" s="2" t="str">
        <f>"162672136X"</f>
        <v>162672136X</v>
      </c>
      <c r="G1534" s="2" t="str">
        <f>"9781626721364"</f>
        <v>9781626721364</v>
      </c>
      <c r="H1534" s="1" t="s">
        <v>2712</v>
      </c>
      <c r="I1534" s="1" t="s">
        <v>31</v>
      </c>
      <c r="J1534" s="1">
        <v>40.0</v>
      </c>
      <c r="K1534" s="1">
        <v>2016.0</v>
      </c>
      <c r="L1534" s="1">
        <v>2016.0</v>
      </c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 t="s">
        <v>317</v>
      </c>
      <c r="Y1534" s="1" t="s">
        <v>6244</v>
      </c>
    </row>
    <row r="1535">
      <c r="A1535" s="1">
        <v>34267.0</v>
      </c>
      <c r="B1535" s="1" t="s">
        <v>6245</v>
      </c>
      <c r="C1535" s="1" t="s">
        <v>6246</v>
      </c>
      <c r="D1535" s="1" t="s">
        <v>6247</v>
      </c>
      <c r="E1535" s="1" t="s">
        <v>6248</v>
      </c>
      <c r="F1535" s="2" t="str">
        <f>"0375824308"</f>
        <v>0375824308</v>
      </c>
      <c r="G1535" s="2" t="str">
        <f>"9780375824302"</f>
        <v>9780375824302</v>
      </c>
      <c r="H1535" s="1" t="s">
        <v>3211</v>
      </c>
      <c r="I1535" s="1" t="s">
        <v>31</v>
      </c>
      <c r="J1535" s="1">
        <v>40.0</v>
      </c>
      <c r="K1535" s="1">
        <v>2004.0</v>
      </c>
      <c r="L1535" s="1">
        <v>1936.0</v>
      </c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 t="s">
        <v>212</v>
      </c>
      <c r="Y1535" s="1" t="s">
        <v>6249</v>
      </c>
    </row>
    <row r="1536">
      <c r="A1536" s="1">
        <v>3002259.0</v>
      </c>
      <c r="B1536" s="1" t="s">
        <v>6250</v>
      </c>
      <c r="C1536" s="1" t="s">
        <v>6251</v>
      </c>
      <c r="D1536" s="1" t="s">
        <v>6252</v>
      </c>
      <c r="E1536" s="1" t="s">
        <v>6246</v>
      </c>
      <c r="F1536" s="2" t="str">
        <f>"0689856520"</f>
        <v>0689856520</v>
      </c>
      <c r="G1536" s="2" t="str">
        <f>"9780689856525"</f>
        <v>9780689856525</v>
      </c>
      <c r="H1536" s="1" t="s">
        <v>5972</v>
      </c>
      <c r="I1536" s="1" t="s">
        <v>31</v>
      </c>
      <c r="J1536" s="1">
        <v>40.0</v>
      </c>
      <c r="K1536" s="1">
        <v>2008.0</v>
      </c>
      <c r="L1536" s="1">
        <v>2008.0</v>
      </c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 t="s">
        <v>87</v>
      </c>
      <c r="Y1536" s="1" t="s">
        <v>6253</v>
      </c>
    </row>
    <row r="1537">
      <c r="A1537" s="1">
        <v>3125965.0</v>
      </c>
      <c r="B1537" s="1" t="s">
        <v>6254</v>
      </c>
      <c r="C1537" s="1" t="s">
        <v>6255</v>
      </c>
      <c r="D1537" s="1" t="s">
        <v>6256</v>
      </c>
      <c r="F1537" s="2" t="str">
        <f>"1934082066"</f>
        <v>1934082066</v>
      </c>
      <c r="G1537" s="2" t="str">
        <f>"9781934082065"</f>
        <v>9781934082065</v>
      </c>
      <c r="H1537" s="1" t="s">
        <v>1465</v>
      </c>
      <c r="I1537" s="1" t="s">
        <v>31</v>
      </c>
      <c r="J1537" s="1">
        <v>40.0</v>
      </c>
      <c r="K1537" s="1">
        <v>2008.0</v>
      </c>
      <c r="L1537" s="1">
        <v>2008.0</v>
      </c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 t="s">
        <v>1084</v>
      </c>
      <c r="Y1537" s="1" t="s">
        <v>6257</v>
      </c>
    </row>
    <row r="1538">
      <c r="A1538" s="1">
        <v>1.8635641E7</v>
      </c>
      <c r="B1538" s="1" t="s">
        <v>6258</v>
      </c>
      <c r="C1538" s="1" t="s">
        <v>6259</v>
      </c>
      <c r="D1538" s="1" t="s">
        <v>6260</v>
      </c>
      <c r="E1538" s="1" t="s">
        <v>5656</v>
      </c>
      <c r="F1538" s="2" t="str">
        <f>"0399257438"</f>
        <v>0399257438</v>
      </c>
      <c r="G1538" s="2" t="str">
        <f>"9780399257438"</f>
        <v>9780399257438</v>
      </c>
      <c r="H1538" s="1" t="s">
        <v>2682</v>
      </c>
      <c r="I1538" s="1" t="s">
        <v>31</v>
      </c>
      <c r="J1538" s="1">
        <v>40.0</v>
      </c>
      <c r="K1538" s="1">
        <v>2014.0</v>
      </c>
      <c r="L1538" s="1">
        <v>2014.0</v>
      </c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 t="s">
        <v>1219</v>
      </c>
      <c r="Y1538" s="1" t="s">
        <v>6261</v>
      </c>
    </row>
    <row r="1539">
      <c r="A1539" s="1">
        <v>1.9546482E7</v>
      </c>
      <c r="B1539" s="1" t="s">
        <v>6262</v>
      </c>
      <c r="C1539" s="1" t="s">
        <v>6263</v>
      </c>
      <c r="D1539" s="1" t="s">
        <v>6264</v>
      </c>
      <c r="F1539" s="2" t="str">
        <f t="shared" ref="F1539:G1539" si="103">""</f>
        <v/>
      </c>
      <c r="G1539" s="2" t="str">
        <f t="shared" si="103"/>
        <v/>
      </c>
      <c r="H1539" s="1" t="s">
        <v>50</v>
      </c>
      <c r="I1539" s="1" t="s">
        <v>108</v>
      </c>
      <c r="J1539" s="1">
        <v>40.0</v>
      </c>
      <c r="K1539" s="1">
        <v>2014.0</v>
      </c>
      <c r="L1539" s="1">
        <v>2014.0</v>
      </c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 t="s">
        <v>742</v>
      </c>
      <c r="Y1539" s="1" t="s">
        <v>6265</v>
      </c>
    </row>
    <row r="1540">
      <c r="A1540" s="1">
        <v>3405685.0</v>
      </c>
      <c r="B1540" s="1" t="s">
        <v>6266</v>
      </c>
      <c r="C1540" s="1" t="s">
        <v>4816</v>
      </c>
      <c r="D1540" s="1" t="s">
        <v>4817</v>
      </c>
      <c r="E1540" s="1" t="s">
        <v>6267</v>
      </c>
      <c r="F1540" s="2" t="str">
        <f>"0064452204"</f>
        <v>0064452204</v>
      </c>
      <c r="G1540" s="2" t="str">
        <f>"9780064452205"</f>
        <v>9780064452205</v>
      </c>
      <c r="H1540" s="1" t="s">
        <v>290</v>
      </c>
      <c r="I1540" s="1" t="s">
        <v>36</v>
      </c>
      <c r="J1540" s="1">
        <v>40.0</v>
      </c>
      <c r="K1540" s="1">
        <v>2008.0</v>
      </c>
      <c r="L1540" s="1">
        <v>2008.0</v>
      </c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 t="s">
        <v>116</v>
      </c>
      <c r="Y1540" s="1" t="s">
        <v>6268</v>
      </c>
    </row>
    <row r="1541">
      <c r="A1541" s="1">
        <v>201126.0</v>
      </c>
      <c r="B1541" s="1" t="s">
        <v>6269</v>
      </c>
      <c r="C1541" s="1" t="s">
        <v>6270</v>
      </c>
      <c r="D1541" s="1" t="s">
        <v>6271</v>
      </c>
      <c r="E1541" s="1" t="s">
        <v>2599</v>
      </c>
      <c r="F1541" s="2" t="str">
        <f>"0689853491"</f>
        <v>0689853491</v>
      </c>
      <c r="G1541" s="2" t="str">
        <f>"9780689853494"</f>
        <v>9780689853494</v>
      </c>
      <c r="H1541" s="1" t="s">
        <v>6272</v>
      </c>
      <c r="I1541" s="1" t="s">
        <v>36</v>
      </c>
      <c r="J1541" s="1">
        <v>40.0</v>
      </c>
      <c r="K1541" s="1">
        <v>2003.0</v>
      </c>
      <c r="L1541" s="1">
        <v>1989.0</v>
      </c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 t="s">
        <v>2298</v>
      </c>
      <c r="Y1541" s="1" t="s">
        <v>6273</v>
      </c>
    </row>
    <row r="1542">
      <c r="A1542" s="1">
        <v>38528.0</v>
      </c>
      <c r="B1542" s="1" t="s">
        <v>6274</v>
      </c>
      <c r="C1542" s="1" t="s">
        <v>6275</v>
      </c>
      <c r="D1542" s="1" t="s">
        <v>6276</v>
      </c>
      <c r="E1542" s="1" t="s">
        <v>2408</v>
      </c>
      <c r="F1542" s="2" t="str">
        <f>"006058081X"</f>
        <v>006058081X</v>
      </c>
      <c r="G1542" s="2" t="str">
        <f>"9780060580810"</f>
        <v>9780060580810</v>
      </c>
      <c r="H1542" s="1" t="s">
        <v>290</v>
      </c>
      <c r="I1542" s="1" t="s">
        <v>31</v>
      </c>
      <c r="J1542" s="1">
        <v>40.0</v>
      </c>
      <c r="K1542" s="1">
        <v>2006.0</v>
      </c>
      <c r="L1542" s="1">
        <v>2006.0</v>
      </c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 t="s">
        <v>6277</v>
      </c>
      <c r="Y1542" s="1" t="s">
        <v>6278</v>
      </c>
    </row>
    <row r="1543">
      <c r="A1543" s="1">
        <v>2.545798E7</v>
      </c>
      <c r="B1543" s="1" t="s">
        <v>6279</v>
      </c>
      <c r="C1543" s="1" t="s">
        <v>6280</v>
      </c>
      <c r="D1543" s="1" t="s">
        <v>6281</v>
      </c>
      <c r="E1543" s="1" t="s">
        <v>6282</v>
      </c>
      <c r="F1543" s="2" t="str">
        <f>"1433819163"</f>
        <v>1433819163</v>
      </c>
      <c r="G1543" s="2" t="str">
        <f>"9781433819162"</f>
        <v>9781433819162</v>
      </c>
      <c r="H1543" s="1" t="s">
        <v>6283</v>
      </c>
      <c r="I1543" s="1" t="s">
        <v>31</v>
      </c>
      <c r="J1543" s="1">
        <v>40.0</v>
      </c>
      <c r="K1543" s="1">
        <v>2015.0</v>
      </c>
      <c r="L1543" s="1">
        <v>2015.0</v>
      </c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 t="s">
        <v>1024</v>
      </c>
      <c r="Y1543" s="1" t="s">
        <v>6284</v>
      </c>
    </row>
    <row r="1544">
      <c r="A1544" s="1">
        <v>8960920.0</v>
      </c>
      <c r="B1544" s="1" t="s">
        <v>6285</v>
      </c>
      <c r="C1544" s="1" t="s">
        <v>4864</v>
      </c>
      <c r="D1544" s="1" t="s">
        <v>4865</v>
      </c>
      <c r="E1544" s="1" t="s">
        <v>6286</v>
      </c>
      <c r="F1544" s="2" t="str">
        <f>"1416971998"</f>
        <v>1416971998</v>
      </c>
      <c r="G1544" s="2" t="str">
        <f>"9781416971993"</f>
        <v>9781416971993</v>
      </c>
      <c r="H1544" s="1" t="s">
        <v>1371</v>
      </c>
      <c r="I1544" s="1" t="s">
        <v>31</v>
      </c>
      <c r="J1544" s="1">
        <v>40.0</v>
      </c>
      <c r="K1544" s="1">
        <v>2011.0</v>
      </c>
      <c r="L1544" s="1">
        <v>2011.0</v>
      </c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 t="s">
        <v>83</v>
      </c>
      <c r="Y1544" s="1" t="s">
        <v>6287</v>
      </c>
    </row>
    <row r="1545">
      <c r="A1545" s="1">
        <v>920785.0</v>
      </c>
      <c r="B1545" s="1" t="s">
        <v>6288</v>
      </c>
      <c r="C1545" s="1" t="s">
        <v>4864</v>
      </c>
      <c r="D1545" s="1" t="s">
        <v>4865</v>
      </c>
      <c r="E1545" s="1" t="s">
        <v>2811</v>
      </c>
      <c r="F1545" s="2" t="str">
        <f>"0689834500"</f>
        <v>0689834500</v>
      </c>
      <c r="G1545" s="2" t="str">
        <f>"9780689834509"</f>
        <v>9780689834509</v>
      </c>
      <c r="H1545" s="1" t="s">
        <v>1371</v>
      </c>
      <c r="I1545" s="1" t="s">
        <v>36</v>
      </c>
      <c r="J1545" s="1">
        <v>40.0</v>
      </c>
      <c r="K1545" s="1">
        <v>2004.0</v>
      </c>
      <c r="L1545" s="1">
        <v>2003.0</v>
      </c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 t="s">
        <v>83</v>
      </c>
      <c r="Y1545" s="1" t="s">
        <v>6289</v>
      </c>
    </row>
    <row r="1546">
      <c r="A1546" s="1">
        <v>820863.0</v>
      </c>
      <c r="B1546" s="1" t="s">
        <v>6290</v>
      </c>
      <c r="C1546" s="1" t="s">
        <v>4864</v>
      </c>
      <c r="D1546" s="1" t="s">
        <v>4865</v>
      </c>
      <c r="E1546" s="1" t="s">
        <v>6286</v>
      </c>
      <c r="F1546" s="2" t="str">
        <f>"0689810059"</f>
        <v>0689810059</v>
      </c>
      <c r="G1546" s="2" t="str">
        <f>"9780689810053"</f>
        <v>9780689810053</v>
      </c>
      <c r="H1546" s="1" t="s">
        <v>1371</v>
      </c>
      <c r="I1546" s="1" t="s">
        <v>36</v>
      </c>
      <c r="J1546" s="1">
        <v>40.0</v>
      </c>
      <c r="K1546" s="1">
        <v>1996.0</v>
      </c>
      <c r="L1546" s="1">
        <v>1987.0</v>
      </c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 t="s">
        <v>543</v>
      </c>
      <c r="Y1546" s="1" t="s">
        <v>6291</v>
      </c>
    </row>
    <row r="1547">
      <c r="A1547" s="1">
        <v>4.139261E7</v>
      </c>
      <c r="B1547" s="1" t="s">
        <v>6292</v>
      </c>
      <c r="C1547" s="1" t="s">
        <v>6293</v>
      </c>
      <c r="D1547" s="1" t="s">
        <v>6294</v>
      </c>
      <c r="E1547" s="1" t="s">
        <v>6295</v>
      </c>
      <c r="F1547" s="2" t="str">
        <f>"1534418105"</f>
        <v>1534418105</v>
      </c>
      <c r="G1547" s="2" t="str">
        <f>"9781534418103"</f>
        <v>9781534418103</v>
      </c>
      <c r="H1547" s="1" t="s">
        <v>6296</v>
      </c>
      <c r="I1547" s="1" t="s">
        <v>31</v>
      </c>
      <c r="J1547" s="1">
        <v>40.0</v>
      </c>
      <c r="K1547" s="1">
        <v>2019.0</v>
      </c>
      <c r="L1547" s="1">
        <v>2019.0</v>
      </c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 t="s">
        <v>1024</v>
      </c>
      <c r="Y1547" s="1" t="s">
        <v>6297</v>
      </c>
    </row>
    <row r="1548">
      <c r="A1548" s="1">
        <v>2429455.0</v>
      </c>
      <c r="B1548" s="1" t="s">
        <v>6298</v>
      </c>
      <c r="C1548" s="1" t="s">
        <v>4871</v>
      </c>
      <c r="D1548" s="1" t="s">
        <v>4872</v>
      </c>
      <c r="E1548" s="1" t="s">
        <v>6299</v>
      </c>
      <c r="F1548" s="2" t="str">
        <f>"1933693010"</f>
        <v>1933693010</v>
      </c>
      <c r="G1548" s="2" t="str">
        <f>"9781933693019"</f>
        <v>9781933693019</v>
      </c>
      <c r="H1548" s="1" t="s">
        <v>4874</v>
      </c>
      <c r="I1548" s="1" t="s">
        <v>31</v>
      </c>
      <c r="J1548" s="1">
        <v>40.0</v>
      </c>
      <c r="K1548" s="1">
        <v>2008.0</v>
      </c>
      <c r="L1548" s="1">
        <v>2008.0</v>
      </c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 t="s">
        <v>245</v>
      </c>
      <c r="Y1548" s="1" t="s">
        <v>6300</v>
      </c>
    </row>
    <row r="1549">
      <c r="A1549" s="1">
        <v>5.4793427E7</v>
      </c>
      <c r="B1549" s="1" t="s">
        <v>6301</v>
      </c>
      <c r="C1549" s="1" t="s">
        <v>6302</v>
      </c>
      <c r="D1549" s="1" t="s">
        <v>6303</v>
      </c>
      <c r="F1549" s="2" t="str">
        <f>"1682632504"</f>
        <v>1682632504</v>
      </c>
      <c r="G1549" s="2" t="str">
        <f>"9781682632505"</f>
        <v>9781682632505</v>
      </c>
      <c r="H1549" s="1" t="s">
        <v>3120</v>
      </c>
      <c r="I1549" s="1" t="s">
        <v>31</v>
      </c>
      <c r="J1549" s="1">
        <v>40.0</v>
      </c>
      <c r="K1549" s="1">
        <v>2021.0</v>
      </c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 t="s">
        <v>1219</v>
      </c>
      <c r="Y1549" s="1" t="s">
        <v>6304</v>
      </c>
    </row>
    <row r="1550">
      <c r="A1550" s="1">
        <v>2.6030671E7</v>
      </c>
      <c r="B1550" s="1" t="s">
        <v>6305</v>
      </c>
      <c r="C1550" s="1" t="s">
        <v>5785</v>
      </c>
      <c r="D1550" s="1" t="s">
        <v>6306</v>
      </c>
      <c r="F1550" s="2" t="str">
        <f>"0316199990"</f>
        <v>0316199990</v>
      </c>
      <c r="G1550" s="2" t="str">
        <f>"9780316199995"</f>
        <v>9780316199995</v>
      </c>
      <c r="H1550" s="1" t="s">
        <v>112</v>
      </c>
      <c r="I1550" s="1" t="s">
        <v>31</v>
      </c>
      <c r="J1550" s="1">
        <v>40.0</v>
      </c>
      <c r="K1550" s="1">
        <v>2016.0</v>
      </c>
      <c r="L1550" s="1">
        <v>2016.0</v>
      </c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 t="s">
        <v>405</v>
      </c>
      <c r="Y1550" s="1" t="s">
        <v>6307</v>
      </c>
    </row>
    <row r="1551">
      <c r="A1551" s="1">
        <v>1.8295821E7</v>
      </c>
      <c r="B1551" s="1" t="s">
        <v>6308</v>
      </c>
      <c r="C1551" s="1" t="s">
        <v>5785</v>
      </c>
      <c r="D1551" s="1" t="s">
        <v>6306</v>
      </c>
      <c r="F1551" s="2" t="str">
        <f>"0316199982"</f>
        <v>0316199982</v>
      </c>
      <c r="G1551" s="2" t="str">
        <f>"9780316199988"</f>
        <v>9780316199988</v>
      </c>
      <c r="H1551" s="1" t="s">
        <v>112</v>
      </c>
      <c r="I1551" s="1" t="s">
        <v>31</v>
      </c>
      <c r="J1551" s="1">
        <v>40.0</v>
      </c>
      <c r="K1551" s="1">
        <v>2014.0</v>
      </c>
      <c r="L1551" s="1">
        <v>2014.0</v>
      </c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 t="s">
        <v>2254</v>
      </c>
      <c r="Y1551" s="1" t="s">
        <v>6309</v>
      </c>
    </row>
    <row r="1552">
      <c r="A1552" s="1">
        <v>2.8954098E7</v>
      </c>
      <c r="B1552" s="1" t="s">
        <v>6310</v>
      </c>
      <c r="C1552" s="1" t="s">
        <v>6311</v>
      </c>
      <c r="D1552" s="1" t="s">
        <v>6312</v>
      </c>
      <c r="F1552" s="2" t="str">
        <f>"1481459163"</f>
        <v>1481459163</v>
      </c>
      <c r="G1552" s="2" t="str">
        <f>"9781481459167"</f>
        <v>9781481459167</v>
      </c>
      <c r="H1552" s="1" t="s">
        <v>3782</v>
      </c>
      <c r="I1552" s="1" t="s">
        <v>31</v>
      </c>
      <c r="J1552" s="1">
        <v>40.0</v>
      </c>
      <c r="K1552" s="1">
        <v>2016.0</v>
      </c>
      <c r="L1552" s="1">
        <v>2016.0</v>
      </c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 t="s">
        <v>2298</v>
      </c>
      <c r="Y1552" s="1" t="s">
        <v>6313</v>
      </c>
    </row>
    <row r="1553">
      <c r="A1553" s="1">
        <v>58475.0</v>
      </c>
      <c r="B1553" s="1" t="s">
        <v>6314</v>
      </c>
      <c r="C1553" s="1" t="s">
        <v>6315</v>
      </c>
      <c r="D1553" s="1" t="s">
        <v>6316</v>
      </c>
      <c r="F1553" s="2" t="str">
        <f>"0688169937"</f>
        <v>0688169937</v>
      </c>
      <c r="G1553" s="2" t="str">
        <f>"9780688169930"</f>
        <v>9780688169930</v>
      </c>
      <c r="H1553" s="1" t="s">
        <v>290</v>
      </c>
      <c r="I1553" s="1" t="s">
        <v>31</v>
      </c>
      <c r="J1553" s="1">
        <v>40.0</v>
      </c>
      <c r="K1553" s="1">
        <v>2002.0</v>
      </c>
      <c r="L1553" s="1">
        <v>2002.0</v>
      </c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 t="s">
        <v>6317</v>
      </c>
      <c r="Y1553" s="1" t="s">
        <v>6318</v>
      </c>
    </row>
    <row r="1554">
      <c r="A1554" s="1">
        <v>5.2886132E7</v>
      </c>
      <c r="B1554" s="1" t="s">
        <v>6319</v>
      </c>
      <c r="C1554" s="1" t="s">
        <v>6320</v>
      </c>
      <c r="D1554" s="1" t="s">
        <v>6321</v>
      </c>
      <c r="E1554" s="1" t="s">
        <v>6322</v>
      </c>
      <c r="F1554" s="2" t="str">
        <f>"0823445593"</f>
        <v>0823445593</v>
      </c>
      <c r="G1554" s="2" t="str">
        <f>"9780823445592"</f>
        <v>9780823445592</v>
      </c>
      <c r="H1554" s="1" t="s">
        <v>2660</v>
      </c>
      <c r="I1554" s="1" t="s">
        <v>31</v>
      </c>
      <c r="J1554" s="1">
        <v>40.0</v>
      </c>
      <c r="K1554" s="1">
        <v>2020.0</v>
      </c>
      <c r="L1554" s="1">
        <v>2020.0</v>
      </c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 t="s">
        <v>1084</v>
      </c>
      <c r="Y1554" s="1" t="s">
        <v>6323</v>
      </c>
    </row>
    <row r="1555">
      <c r="A1555" s="1">
        <v>2.5689058E7</v>
      </c>
      <c r="B1555" s="1" t="s">
        <v>6324</v>
      </c>
      <c r="C1555" s="1" t="s">
        <v>6325</v>
      </c>
      <c r="D1555" s="1" t="s">
        <v>6326</v>
      </c>
      <c r="E1555" s="1" t="s">
        <v>6327</v>
      </c>
      <c r="F1555" s="2" t="str">
        <f>"0374300739"</f>
        <v>0374300739</v>
      </c>
      <c r="G1555" s="2" t="str">
        <f>"9780374300739"</f>
        <v>9780374300739</v>
      </c>
      <c r="H1555" s="1" t="s">
        <v>5549</v>
      </c>
      <c r="I1555" s="1" t="s">
        <v>31</v>
      </c>
      <c r="J1555" s="1">
        <v>40.0</v>
      </c>
      <c r="K1555" s="1">
        <v>2016.0</v>
      </c>
      <c r="L1555" s="1">
        <v>2016.0</v>
      </c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 t="s">
        <v>1611</v>
      </c>
      <c r="Y1555" s="1" t="s">
        <v>6328</v>
      </c>
    </row>
    <row r="1556">
      <c r="A1556" s="1">
        <v>6503529.0</v>
      </c>
      <c r="B1556" s="1" t="s">
        <v>6329</v>
      </c>
      <c r="C1556" s="1" t="s">
        <v>6330</v>
      </c>
      <c r="D1556" s="1" t="s">
        <v>6331</v>
      </c>
      <c r="F1556" s="2" t="str">
        <f>"1587172631"</f>
        <v>1587172631</v>
      </c>
      <c r="G1556" s="2" t="str">
        <f>"9781587172632"</f>
        <v>9781587172632</v>
      </c>
      <c r="H1556" s="1" t="s">
        <v>1593</v>
      </c>
      <c r="I1556" s="1" t="s">
        <v>91</v>
      </c>
      <c r="J1556" s="1">
        <v>40.0</v>
      </c>
      <c r="K1556" s="1">
        <v>2005.0</v>
      </c>
      <c r="L1556" s="1">
        <v>2005.0</v>
      </c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 t="s">
        <v>841</v>
      </c>
      <c r="Y1556" s="1" t="s">
        <v>6332</v>
      </c>
    </row>
    <row r="1557">
      <c r="A1557" s="1">
        <v>9211967.0</v>
      </c>
      <c r="B1557" s="1" t="s">
        <v>6333</v>
      </c>
      <c r="C1557" s="1" t="s">
        <v>6334</v>
      </c>
      <c r="D1557" s="1" t="s">
        <v>6335</v>
      </c>
      <c r="E1557" s="1" t="s">
        <v>2909</v>
      </c>
      <c r="F1557" s="2" t="str">
        <f>"0547173539"</f>
        <v>0547173539</v>
      </c>
      <c r="G1557" s="2" t="str">
        <f>"9780547173535"</f>
        <v>9780547173535</v>
      </c>
      <c r="H1557" s="1" t="s">
        <v>1799</v>
      </c>
      <c r="I1557" s="1" t="s">
        <v>31</v>
      </c>
      <c r="J1557" s="1">
        <v>40.0</v>
      </c>
      <c r="K1557" s="1">
        <v>2011.0</v>
      </c>
      <c r="L1557" s="1">
        <v>2011.0</v>
      </c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 t="s">
        <v>363</v>
      </c>
      <c r="Y1557" s="1" t="s">
        <v>6336</v>
      </c>
    </row>
    <row r="1558">
      <c r="A1558" s="1">
        <v>6265775.0</v>
      </c>
      <c r="B1558" s="1" t="s">
        <v>6337</v>
      </c>
      <c r="C1558" s="1" t="s">
        <v>6334</v>
      </c>
      <c r="D1558" s="1" t="s">
        <v>6335</v>
      </c>
      <c r="E1558" s="1" t="s">
        <v>6338</v>
      </c>
      <c r="F1558" s="2" t="str">
        <f>"0689319835"</f>
        <v>0689319835</v>
      </c>
      <c r="G1558" s="2" t="str">
        <f>"9780689319839"</f>
        <v>9780689319839</v>
      </c>
      <c r="H1558" s="1" t="s">
        <v>6339</v>
      </c>
      <c r="I1558" s="1" t="s">
        <v>31</v>
      </c>
      <c r="J1558" s="1">
        <v>40.0</v>
      </c>
      <c r="K1558" s="1">
        <v>1995.0</v>
      </c>
      <c r="L1558" s="1">
        <v>1995.0</v>
      </c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 t="s">
        <v>245</v>
      </c>
      <c r="Y1558" s="1" t="s">
        <v>6340</v>
      </c>
    </row>
    <row r="1559">
      <c r="A1559" s="1">
        <v>958269.0</v>
      </c>
      <c r="B1559" s="1" t="s">
        <v>6341</v>
      </c>
      <c r="C1559" s="1" t="s">
        <v>6342</v>
      </c>
      <c r="D1559" s="1" t="s">
        <v>6343</v>
      </c>
      <c r="E1559" s="1" t="s">
        <v>6344</v>
      </c>
      <c r="F1559" s="2" t="str">
        <f>"0439087937"</f>
        <v>0439087937</v>
      </c>
      <c r="G1559" s="2" t="str">
        <f>"9780439087933"</f>
        <v>9780439087933</v>
      </c>
      <c r="H1559" s="1" t="s">
        <v>1992</v>
      </c>
      <c r="I1559" s="1" t="s">
        <v>31</v>
      </c>
      <c r="J1559" s="1">
        <v>40.0</v>
      </c>
      <c r="K1559" s="1">
        <v>2005.0</v>
      </c>
      <c r="L1559" s="1">
        <v>2005.0</v>
      </c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 t="s">
        <v>1195</v>
      </c>
      <c r="Y1559" s="1" t="s">
        <v>6345</v>
      </c>
    </row>
    <row r="1560">
      <c r="A1560" s="1">
        <v>7170135.0</v>
      </c>
      <c r="B1560" s="1" t="s">
        <v>6346</v>
      </c>
      <c r="C1560" s="1" t="s">
        <v>3751</v>
      </c>
      <c r="D1560" s="1" t="s">
        <v>6347</v>
      </c>
      <c r="E1560" s="1" t="s">
        <v>6348</v>
      </c>
      <c r="F1560" s="2" t="str">
        <f>"0803734166"</f>
        <v>0803734166</v>
      </c>
      <c r="G1560" s="2" t="str">
        <f>"9780803734166"</f>
        <v>9780803734166</v>
      </c>
      <c r="H1560" s="1" t="s">
        <v>2600</v>
      </c>
      <c r="I1560" s="1" t="s">
        <v>31</v>
      </c>
      <c r="J1560" s="1">
        <v>40.0</v>
      </c>
      <c r="K1560" s="1">
        <v>2010.0</v>
      </c>
      <c r="L1560" s="1">
        <v>2010.0</v>
      </c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 t="s">
        <v>510</v>
      </c>
      <c r="Y1560" s="1" t="s">
        <v>6349</v>
      </c>
    </row>
    <row r="1561">
      <c r="A1561" s="1">
        <v>5.9875648E7</v>
      </c>
      <c r="B1561" s="1" t="s">
        <v>6350</v>
      </c>
      <c r="C1561" s="1" t="s">
        <v>6351</v>
      </c>
      <c r="D1561" s="1" t="s">
        <v>6352</v>
      </c>
      <c r="F1561" s="2" t="str">
        <f>"1665911476"</f>
        <v>1665911476</v>
      </c>
      <c r="G1561" s="2" t="str">
        <f>"9781665911474"</f>
        <v>9781665911474</v>
      </c>
      <c r="H1561" s="1" t="s">
        <v>6353</v>
      </c>
      <c r="I1561" s="1" t="s">
        <v>31</v>
      </c>
      <c r="J1561" s="1">
        <v>40.0</v>
      </c>
      <c r="K1561" s="1">
        <v>2022.0</v>
      </c>
      <c r="L1561" s="1">
        <v>2022.0</v>
      </c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 t="s">
        <v>1156</v>
      </c>
      <c r="Y1561" s="1" t="s">
        <v>6354</v>
      </c>
    </row>
    <row r="1562">
      <c r="A1562" s="1">
        <v>4.3330902E7</v>
      </c>
      <c r="B1562" s="1" t="s">
        <v>6355</v>
      </c>
      <c r="C1562" s="1" t="s">
        <v>5105</v>
      </c>
      <c r="D1562" s="1" t="s">
        <v>5106</v>
      </c>
      <c r="F1562" s="2" t="str">
        <f>"0735264252"</f>
        <v>0735264252</v>
      </c>
      <c r="G1562" s="2" t="str">
        <f>"9780735264250"</f>
        <v>9780735264250</v>
      </c>
      <c r="H1562" s="1" t="s">
        <v>4358</v>
      </c>
      <c r="I1562" s="1" t="s">
        <v>31</v>
      </c>
      <c r="J1562" s="1">
        <v>40.0</v>
      </c>
      <c r="K1562" s="1">
        <v>2019.0</v>
      </c>
      <c r="L1562" s="1">
        <v>2019.0</v>
      </c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 t="s">
        <v>1195</v>
      </c>
      <c r="Y1562" s="1" t="s">
        <v>6356</v>
      </c>
    </row>
    <row r="1563">
      <c r="A1563" s="1">
        <v>8036440.0</v>
      </c>
      <c r="B1563" s="1" t="s">
        <v>6357</v>
      </c>
      <c r="C1563" s="1" t="s">
        <v>6358</v>
      </c>
      <c r="D1563" s="1" t="s">
        <v>6359</v>
      </c>
      <c r="F1563" s="2" t="str">
        <f>"0763641685"</f>
        <v>0763641685</v>
      </c>
      <c r="G1563" s="2" t="str">
        <f>"9780763641689"</f>
        <v>9780763641689</v>
      </c>
      <c r="H1563" s="1" t="s">
        <v>945</v>
      </c>
      <c r="I1563" s="1" t="s">
        <v>31</v>
      </c>
      <c r="J1563" s="1">
        <v>40.0</v>
      </c>
      <c r="K1563" s="1">
        <v>2010.0</v>
      </c>
      <c r="L1563" s="1">
        <v>2010.0</v>
      </c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 t="s">
        <v>1219</v>
      </c>
      <c r="Y1563" s="1" t="s">
        <v>6360</v>
      </c>
    </row>
    <row r="1564">
      <c r="A1564" s="1">
        <v>2769817.0</v>
      </c>
      <c r="B1564" s="1" t="s">
        <v>6361</v>
      </c>
      <c r="C1564" s="1" t="s">
        <v>6362</v>
      </c>
      <c r="D1564" s="1" t="s">
        <v>6363</v>
      </c>
      <c r="E1564" s="1" t="s">
        <v>6364</v>
      </c>
      <c r="F1564" s="2" t="str">
        <f>"0618862447"</f>
        <v>0618862447</v>
      </c>
      <c r="G1564" s="2" t="str">
        <f>"9780618862443"</f>
        <v>9780618862443</v>
      </c>
      <c r="H1564" s="1" t="s">
        <v>215</v>
      </c>
      <c r="I1564" s="1" t="s">
        <v>31</v>
      </c>
      <c r="J1564" s="1">
        <v>40.0</v>
      </c>
      <c r="K1564" s="1">
        <v>2008.0</v>
      </c>
      <c r="L1564" s="1">
        <v>2008.0</v>
      </c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 t="s">
        <v>897</v>
      </c>
      <c r="Y1564" s="1" t="s">
        <v>6365</v>
      </c>
    </row>
    <row r="1565">
      <c r="A1565" s="1">
        <v>3.3027826E7</v>
      </c>
      <c r="B1565" s="1" t="s">
        <v>6366</v>
      </c>
      <c r="C1565" s="1" t="s">
        <v>682</v>
      </c>
      <c r="D1565" s="1" t="s">
        <v>683</v>
      </c>
      <c r="F1565" s="2" t="str">
        <f>"0545914310"</f>
        <v>0545914310</v>
      </c>
      <c r="G1565" s="2" t="str">
        <f>"9780545914314"</f>
        <v>9780545914314</v>
      </c>
      <c r="H1565" s="1" t="s">
        <v>2397</v>
      </c>
      <c r="I1565" s="1" t="s">
        <v>31</v>
      </c>
      <c r="J1565" s="1">
        <v>40.0</v>
      </c>
      <c r="K1565" s="1">
        <v>2017.0</v>
      </c>
      <c r="L1565" s="1">
        <v>2017.0</v>
      </c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 t="s">
        <v>212</v>
      </c>
      <c r="Y1565" s="1" t="s">
        <v>6367</v>
      </c>
    </row>
    <row r="1566">
      <c r="A1566" s="1">
        <v>5.4317608E7</v>
      </c>
      <c r="B1566" s="1" t="s">
        <v>6368</v>
      </c>
      <c r="C1566" s="1" t="s">
        <v>6369</v>
      </c>
      <c r="D1566" s="1" t="s">
        <v>6370</v>
      </c>
      <c r="E1566" s="1" t="s">
        <v>6371</v>
      </c>
      <c r="F1566" s="2" t="str">
        <f>"1534462988"</f>
        <v>1534462988</v>
      </c>
      <c r="G1566" s="2" t="str">
        <f>"9781534462984"</f>
        <v>9781534462984</v>
      </c>
      <c r="H1566" s="1" t="s">
        <v>6296</v>
      </c>
      <c r="I1566" s="1" t="s">
        <v>31</v>
      </c>
      <c r="J1566" s="1">
        <v>40.0</v>
      </c>
      <c r="K1566" s="1">
        <v>2022.0</v>
      </c>
      <c r="L1566" s="1">
        <v>2022.0</v>
      </c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 t="s">
        <v>1024</v>
      </c>
      <c r="Y1566" s="1" t="s">
        <v>6372</v>
      </c>
    </row>
    <row r="1567">
      <c r="A1567" s="1">
        <v>5.1325154E7</v>
      </c>
      <c r="B1567" s="1" t="s">
        <v>6373</v>
      </c>
      <c r="C1567" s="1" t="s">
        <v>6369</v>
      </c>
      <c r="D1567" s="1" t="s">
        <v>6370</v>
      </c>
      <c r="E1567" s="1" t="s">
        <v>6154</v>
      </c>
      <c r="F1567" s="2" t="str">
        <f>"1943147728"</f>
        <v>1943147728</v>
      </c>
      <c r="G1567" s="2" t="str">
        <f>"9781943147724"</f>
        <v>9781943147724</v>
      </c>
      <c r="H1567" s="1" t="s">
        <v>6374</v>
      </c>
      <c r="I1567" s="1" t="s">
        <v>31</v>
      </c>
      <c r="J1567" s="1">
        <v>40.0</v>
      </c>
      <c r="K1567" s="1">
        <v>2020.0</v>
      </c>
      <c r="L1567" s="1">
        <v>2020.0</v>
      </c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 t="s">
        <v>1024</v>
      </c>
      <c r="Y1567" s="1" t="s">
        <v>6375</v>
      </c>
    </row>
    <row r="1568">
      <c r="A1568" s="1">
        <v>2.0821234E7</v>
      </c>
      <c r="B1568" s="3" t="s">
        <v>6376</v>
      </c>
      <c r="C1568" s="1" t="s">
        <v>6377</v>
      </c>
      <c r="D1568" s="1" t="s">
        <v>6378</v>
      </c>
      <c r="E1568" s="1" t="s">
        <v>6379</v>
      </c>
      <c r="F1568" s="2" t="str">
        <f>"0670016349"</f>
        <v>0670016349</v>
      </c>
      <c r="G1568" s="2" t="str">
        <f>"9780670016341"</f>
        <v>9780670016341</v>
      </c>
      <c r="H1568" s="1" t="s">
        <v>2746</v>
      </c>
      <c r="I1568" s="1" t="s">
        <v>31</v>
      </c>
      <c r="J1568" s="1">
        <v>40.0</v>
      </c>
      <c r="K1568" s="1">
        <v>2014.0</v>
      </c>
      <c r="L1568" s="1">
        <v>2014.0</v>
      </c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 t="s">
        <v>61</v>
      </c>
      <c r="Y1568" s="1" t="s">
        <v>6380</v>
      </c>
    </row>
    <row r="1569">
      <c r="A1569" s="1">
        <v>4.0697417E7</v>
      </c>
      <c r="B1569" s="1" t="s">
        <v>6381</v>
      </c>
      <c r="C1569" s="1" t="s">
        <v>6377</v>
      </c>
      <c r="D1569" s="1" t="s">
        <v>6378</v>
      </c>
      <c r="E1569" s="1" t="s">
        <v>6382</v>
      </c>
      <c r="F1569" s="2" t="str">
        <f>"1452155844"</f>
        <v>1452155844</v>
      </c>
      <c r="G1569" s="2" t="str">
        <f>"9781452155845"</f>
        <v>9781452155845</v>
      </c>
      <c r="H1569" s="1" t="s">
        <v>1593</v>
      </c>
      <c r="I1569" s="1" t="s">
        <v>31</v>
      </c>
      <c r="J1569" s="1">
        <v>40.0</v>
      </c>
      <c r="K1569" s="1">
        <v>2019.0</v>
      </c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 t="s">
        <v>116</v>
      </c>
      <c r="Y1569" s="1" t="s">
        <v>6383</v>
      </c>
    </row>
    <row r="1570">
      <c r="A1570" s="1">
        <v>5.5725754E7</v>
      </c>
      <c r="B1570" s="1" t="s">
        <v>6384</v>
      </c>
      <c r="C1570" s="1" t="s">
        <v>6385</v>
      </c>
      <c r="D1570" s="1" t="s">
        <v>6386</v>
      </c>
      <c r="F1570" s="2" t="str">
        <f>"0593305140"</f>
        <v>0593305140</v>
      </c>
      <c r="G1570" s="2" t="str">
        <f>"9780593305140"</f>
        <v>9780593305140</v>
      </c>
      <c r="H1570" s="1" t="s">
        <v>3211</v>
      </c>
      <c r="I1570" s="1" t="s">
        <v>31</v>
      </c>
      <c r="J1570" s="1">
        <v>40.0</v>
      </c>
      <c r="K1570" s="1">
        <v>2021.0</v>
      </c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 t="s">
        <v>61</v>
      </c>
      <c r="Y1570" s="1" t="s">
        <v>6387</v>
      </c>
    </row>
    <row r="1571">
      <c r="A1571" s="1">
        <v>6.0382747E7</v>
      </c>
      <c r="B1571" s="1" t="s">
        <v>6388</v>
      </c>
      <c r="C1571" s="1" t="s">
        <v>6389</v>
      </c>
      <c r="D1571" s="1" t="s">
        <v>6390</v>
      </c>
      <c r="F1571" s="2" t="str">
        <f>"0316446815"</f>
        <v>0316446815</v>
      </c>
      <c r="G1571" s="2" t="str">
        <f>"9780316446815"</f>
        <v>9780316446815</v>
      </c>
      <c r="H1571" s="1" t="s">
        <v>112</v>
      </c>
      <c r="I1571" s="1" t="s">
        <v>31</v>
      </c>
      <c r="J1571" s="1">
        <v>40.0</v>
      </c>
      <c r="K1571" s="1">
        <v>2022.0</v>
      </c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 t="s">
        <v>61</v>
      </c>
      <c r="Y1571" s="1" t="s">
        <v>6391</v>
      </c>
    </row>
    <row r="1572">
      <c r="A1572" s="1">
        <v>2.070211E7</v>
      </c>
      <c r="B1572" s="1" t="s">
        <v>6392</v>
      </c>
      <c r="C1572" s="1" t="s">
        <v>6393</v>
      </c>
      <c r="D1572" s="1" t="s">
        <v>6394</v>
      </c>
      <c r="F1572" s="2" t="str">
        <f>"087070950X"</f>
        <v>087070950X</v>
      </c>
      <c r="G1572" s="2" t="str">
        <f>"9780870709500"</f>
        <v>9780870709500</v>
      </c>
      <c r="H1572" s="1" t="s">
        <v>6395</v>
      </c>
      <c r="I1572" s="1" t="s">
        <v>31</v>
      </c>
      <c r="J1572" s="1">
        <v>40.0</v>
      </c>
      <c r="K1572" s="1">
        <v>2015.0</v>
      </c>
      <c r="L1572" s="1">
        <v>2014.0</v>
      </c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 t="s">
        <v>1466</v>
      </c>
      <c r="Y1572" s="1" t="s">
        <v>6396</v>
      </c>
    </row>
    <row r="1573">
      <c r="A1573" s="1">
        <v>4.2366211E7</v>
      </c>
      <c r="B1573" s="1" t="s">
        <v>6397</v>
      </c>
      <c r="C1573" s="1" t="s">
        <v>5305</v>
      </c>
      <c r="D1573" s="1" t="s">
        <v>5306</v>
      </c>
      <c r="E1573" s="1" t="s">
        <v>5307</v>
      </c>
      <c r="F1573" s="2" t="str">
        <f>"1492680524"</f>
        <v>1492680524</v>
      </c>
      <c r="G1573" s="2" t="str">
        <f>"9781492680529"</f>
        <v>9781492680529</v>
      </c>
      <c r="H1573" s="1" t="s">
        <v>5032</v>
      </c>
      <c r="I1573" s="1" t="s">
        <v>31</v>
      </c>
      <c r="J1573" s="1">
        <v>40.0</v>
      </c>
      <c r="K1573" s="1">
        <v>2019.0</v>
      </c>
      <c r="L1573" s="1">
        <v>2019.0</v>
      </c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 t="s">
        <v>1045</v>
      </c>
      <c r="Y1573" s="1" t="s">
        <v>6398</v>
      </c>
    </row>
    <row r="1574">
      <c r="A1574" s="1">
        <v>267883.0</v>
      </c>
      <c r="B1574" s="1" t="s">
        <v>6399</v>
      </c>
      <c r="C1574" s="1" t="s">
        <v>2327</v>
      </c>
      <c r="D1574" s="1" t="s">
        <v>2328</v>
      </c>
      <c r="E1574" s="1" t="s">
        <v>2329</v>
      </c>
      <c r="F1574" s="2" t="str">
        <f>"0439042445"</f>
        <v>0439042445</v>
      </c>
      <c r="G1574" s="2" t="str">
        <f>"9780439042444"</f>
        <v>9780439042444</v>
      </c>
      <c r="H1574" s="1" t="s">
        <v>817</v>
      </c>
      <c r="I1574" s="1" t="s">
        <v>31</v>
      </c>
      <c r="J1574" s="1">
        <v>40.0</v>
      </c>
      <c r="K1574" s="1">
        <v>1999.0</v>
      </c>
      <c r="L1574" s="1">
        <v>1999.0</v>
      </c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 t="s">
        <v>452</v>
      </c>
      <c r="Y1574" s="1" t="s">
        <v>6400</v>
      </c>
    </row>
    <row r="1575">
      <c r="A1575" s="1">
        <v>970219.0</v>
      </c>
      <c r="B1575" s="1" t="s">
        <v>6401</v>
      </c>
      <c r="C1575" s="1" t="s">
        <v>2327</v>
      </c>
      <c r="D1575" s="1" t="s">
        <v>2328</v>
      </c>
      <c r="E1575" s="1" t="s">
        <v>2329</v>
      </c>
      <c r="F1575" s="2" t="str">
        <f>"0590042963"</f>
        <v>0590042963</v>
      </c>
      <c r="G1575" s="2" t="str">
        <f>"9780590042963"</f>
        <v>9780590042963</v>
      </c>
      <c r="H1575" s="1" t="s">
        <v>50</v>
      </c>
      <c r="I1575" s="1" t="s">
        <v>91</v>
      </c>
      <c r="J1575" s="1">
        <v>40.0</v>
      </c>
      <c r="K1575" s="1">
        <v>1998.0</v>
      </c>
      <c r="L1575" s="1">
        <v>1998.0</v>
      </c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 t="s">
        <v>452</v>
      </c>
      <c r="Y1575" s="1" t="s">
        <v>6402</v>
      </c>
    </row>
    <row r="1576">
      <c r="A1576" s="1">
        <v>5.6980439E7</v>
      </c>
      <c r="B1576" s="1" t="s">
        <v>6403</v>
      </c>
      <c r="C1576" s="1" t="s">
        <v>6404</v>
      </c>
      <c r="D1576" s="1" t="s">
        <v>6405</v>
      </c>
      <c r="F1576" s="2" t="str">
        <f>"1534485112"</f>
        <v>1534485112</v>
      </c>
      <c r="G1576" s="2" t="str">
        <f>"9781534485112"</f>
        <v>9781534485112</v>
      </c>
      <c r="H1576" s="1" t="s">
        <v>3030</v>
      </c>
      <c r="I1576" s="1" t="s">
        <v>31</v>
      </c>
      <c r="J1576" s="1">
        <v>40.0</v>
      </c>
      <c r="K1576" s="1">
        <v>2021.0</v>
      </c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 t="s">
        <v>1045</v>
      </c>
      <c r="Y1576" s="1" t="s">
        <v>6406</v>
      </c>
    </row>
    <row r="1577">
      <c r="A1577" s="1">
        <v>490867.0</v>
      </c>
      <c r="B1577" s="1" t="s">
        <v>6407</v>
      </c>
      <c r="C1577" s="1" t="s">
        <v>724</v>
      </c>
      <c r="D1577" s="1" t="s">
        <v>725</v>
      </c>
      <c r="F1577" s="2" t="str">
        <f>"1844280594"</f>
        <v>1844280594</v>
      </c>
      <c r="G1577" s="2" t="str">
        <f>"9781844280599"</f>
        <v>9781844280599</v>
      </c>
      <c r="H1577" s="1" t="s">
        <v>6408</v>
      </c>
      <c r="I1577" s="1" t="s">
        <v>31</v>
      </c>
      <c r="J1577" s="1">
        <v>40.0</v>
      </c>
      <c r="K1577" s="1">
        <v>2005.0</v>
      </c>
      <c r="L1577" s="1">
        <v>2004.0</v>
      </c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 t="s">
        <v>727</v>
      </c>
      <c r="Y1577" s="1" t="s">
        <v>6409</v>
      </c>
    </row>
    <row r="1578">
      <c r="A1578" s="1">
        <v>4.1735921E7</v>
      </c>
      <c r="B1578" s="1" t="s">
        <v>6410</v>
      </c>
      <c r="C1578" s="1" t="s">
        <v>724</v>
      </c>
      <c r="D1578" s="1" t="s">
        <v>725</v>
      </c>
      <c r="F1578" s="2" t="str">
        <f t="shared" ref="F1578:G1578" si="104">""</f>
        <v/>
      </c>
      <c r="G1578" s="2" t="str">
        <f t="shared" si="104"/>
        <v/>
      </c>
      <c r="H1578" s="1" t="s">
        <v>726</v>
      </c>
      <c r="I1578" s="1" t="s">
        <v>31</v>
      </c>
      <c r="J1578" s="1">
        <v>40.0</v>
      </c>
      <c r="K1578" s="1">
        <v>2019.0</v>
      </c>
      <c r="L1578" s="1">
        <v>2019.0</v>
      </c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 t="s">
        <v>727</v>
      </c>
      <c r="Y1578" s="1" t="s">
        <v>6411</v>
      </c>
    </row>
    <row r="1579">
      <c r="A1579" s="1">
        <v>191113.0</v>
      </c>
      <c r="B1579" s="1" t="s">
        <v>6412</v>
      </c>
      <c r="C1579" s="1" t="s">
        <v>724</v>
      </c>
      <c r="D1579" s="1" t="s">
        <v>725</v>
      </c>
      <c r="F1579" s="2" t="str">
        <f>"1844280136"</f>
        <v>1844280136</v>
      </c>
      <c r="G1579" s="2" t="str">
        <f>"9781844280131"</f>
        <v>9781844280131</v>
      </c>
      <c r="H1579" s="1" t="s">
        <v>6408</v>
      </c>
      <c r="I1579" s="1" t="s">
        <v>31</v>
      </c>
      <c r="J1579" s="1">
        <v>40.0</v>
      </c>
      <c r="K1579" s="1">
        <v>2004.0</v>
      </c>
      <c r="L1579" s="1">
        <v>2003.0</v>
      </c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 t="s">
        <v>727</v>
      </c>
      <c r="Y1579" s="1" t="s">
        <v>6413</v>
      </c>
    </row>
    <row r="1580">
      <c r="A1580" s="1">
        <v>191117.0</v>
      </c>
      <c r="B1580" s="1" t="s">
        <v>6414</v>
      </c>
      <c r="C1580" s="1" t="s">
        <v>724</v>
      </c>
      <c r="D1580" s="1" t="s">
        <v>725</v>
      </c>
      <c r="F1580" s="2" t="str">
        <f>"0786837462"</f>
        <v>0786837462</v>
      </c>
      <c r="G1580" s="2" t="str">
        <f>"9780786837465"</f>
        <v>9780786837465</v>
      </c>
      <c r="H1580" s="1" t="s">
        <v>6415</v>
      </c>
      <c r="I1580" s="1" t="s">
        <v>31</v>
      </c>
      <c r="J1580" s="1">
        <v>40.0</v>
      </c>
      <c r="K1580" s="1">
        <v>2006.0</v>
      </c>
      <c r="L1580" s="1">
        <v>2006.0</v>
      </c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 t="s">
        <v>727</v>
      </c>
      <c r="Y1580" s="1" t="s">
        <v>6416</v>
      </c>
    </row>
    <row r="1581">
      <c r="A1581" s="1">
        <v>1.7846011E7</v>
      </c>
      <c r="B1581" s="1" t="s">
        <v>6417</v>
      </c>
      <c r="C1581" s="1" t="s">
        <v>724</v>
      </c>
      <c r="D1581" s="1" t="s">
        <v>725</v>
      </c>
      <c r="F1581" s="2" t="str">
        <f>"1423190874"</f>
        <v>1423190874</v>
      </c>
      <c r="G1581" s="2" t="str">
        <f>"9781423190875"</f>
        <v>9781423190875</v>
      </c>
      <c r="H1581" s="1" t="s">
        <v>6415</v>
      </c>
      <c r="I1581" s="1" t="s">
        <v>31</v>
      </c>
      <c r="J1581" s="1">
        <v>40.0</v>
      </c>
      <c r="K1581" s="1">
        <v>2014.0</v>
      </c>
      <c r="L1581" s="1">
        <v>2014.0</v>
      </c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 t="s">
        <v>727</v>
      </c>
      <c r="Y1581" s="1" t="s">
        <v>6418</v>
      </c>
    </row>
    <row r="1582">
      <c r="A1582" s="1">
        <v>1908511.0</v>
      </c>
      <c r="B1582" s="1" t="s">
        <v>6419</v>
      </c>
      <c r="C1582" s="1" t="s">
        <v>724</v>
      </c>
      <c r="D1582" s="1" t="s">
        <v>725</v>
      </c>
      <c r="F1582" s="2" t="str">
        <f>"1423109600"</f>
        <v>1423109600</v>
      </c>
      <c r="G1582" s="2" t="str">
        <f>"9781423109600"</f>
        <v>9781423109600</v>
      </c>
      <c r="H1582" s="1" t="s">
        <v>6415</v>
      </c>
      <c r="I1582" s="1" t="s">
        <v>31</v>
      </c>
      <c r="J1582" s="1">
        <v>40.0</v>
      </c>
      <c r="K1582" s="1">
        <v>2008.0</v>
      </c>
      <c r="L1582" s="1">
        <v>2008.0</v>
      </c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 t="s">
        <v>6420</v>
      </c>
      <c r="Y1582" s="1" t="s">
        <v>6421</v>
      </c>
    </row>
    <row r="1583">
      <c r="A1583" s="1">
        <v>1.361721E7</v>
      </c>
      <c r="B1583" s="1" t="s">
        <v>6422</v>
      </c>
      <c r="C1583" s="1" t="s">
        <v>724</v>
      </c>
      <c r="D1583" s="1" t="s">
        <v>725</v>
      </c>
      <c r="F1583" s="2" t="str">
        <f>"0062104187"</f>
        <v>0062104187</v>
      </c>
      <c r="G1583" s="2" t="str">
        <f>"9780062104182"</f>
        <v>9780062104182</v>
      </c>
      <c r="H1583" s="1" t="s">
        <v>6423</v>
      </c>
      <c r="I1583" s="1" t="s">
        <v>31</v>
      </c>
      <c r="J1583" s="1">
        <v>40.0</v>
      </c>
      <c r="K1583" s="1">
        <v>2012.0</v>
      </c>
      <c r="L1583" s="1">
        <v>2012.0</v>
      </c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 t="s">
        <v>212</v>
      </c>
      <c r="Y1583" s="1" t="s">
        <v>6424</v>
      </c>
    </row>
    <row r="1584">
      <c r="A1584" s="1">
        <v>997308.0</v>
      </c>
      <c r="B1584" s="1" t="s">
        <v>6425</v>
      </c>
      <c r="C1584" s="1" t="s">
        <v>6426</v>
      </c>
      <c r="D1584" s="1" t="s">
        <v>6427</v>
      </c>
      <c r="E1584" s="1" t="s">
        <v>6428</v>
      </c>
      <c r="F1584" s="2" t="str">
        <f>"0142500550"</f>
        <v>0142500550</v>
      </c>
      <c r="G1584" s="2" t="str">
        <f>"9780142500552"</f>
        <v>9780142500552</v>
      </c>
      <c r="H1584" s="1" t="s">
        <v>753</v>
      </c>
      <c r="I1584" s="1" t="s">
        <v>36</v>
      </c>
      <c r="J1584" s="1">
        <v>40.0</v>
      </c>
      <c r="K1584" s="1">
        <v>2003.0</v>
      </c>
      <c r="L1584" s="1">
        <v>2001.0</v>
      </c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 t="s">
        <v>742</v>
      </c>
      <c r="Y1584" s="1" t="s">
        <v>6429</v>
      </c>
    </row>
    <row r="1585">
      <c r="A1585" s="1">
        <v>1.7978136E7</v>
      </c>
      <c r="B1585" s="1" t="s">
        <v>6430</v>
      </c>
      <c r="C1585" s="1" t="s">
        <v>6431</v>
      </c>
      <c r="D1585" s="1" t="s">
        <v>6432</v>
      </c>
      <c r="F1585" s="2" t="str">
        <f>"0802735606"</f>
        <v>0802735606</v>
      </c>
      <c r="G1585" s="2" t="str">
        <f>"9780802735607"</f>
        <v>9780802735607</v>
      </c>
      <c r="H1585" s="1" t="s">
        <v>6433</v>
      </c>
      <c r="I1585" s="1" t="s">
        <v>91</v>
      </c>
      <c r="J1585" s="1">
        <v>40.0</v>
      </c>
      <c r="K1585" s="1">
        <v>2014.0</v>
      </c>
      <c r="L1585" s="1">
        <v>2014.0</v>
      </c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 t="s">
        <v>1219</v>
      </c>
      <c r="Y1585" s="1" t="s">
        <v>6434</v>
      </c>
    </row>
    <row r="1586">
      <c r="A1586" s="1">
        <v>3.6180338E7</v>
      </c>
      <c r="B1586" s="1" t="s">
        <v>6435</v>
      </c>
      <c r="C1586" s="1" t="s">
        <v>6436</v>
      </c>
      <c r="D1586" s="1" t="s">
        <v>6437</v>
      </c>
      <c r="E1586" s="1" t="s">
        <v>5254</v>
      </c>
      <c r="F1586" s="2" t="str">
        <f>"1524770574"</f>
        <v>1524770574</v>
      </c>
      <c r="G1586" s="2" t="str">
        <f>"9781524770570"</f>
        <v>9781524770570</v>
      </c>
      <c r="H1586" s="1" t="s">
        <v>156</v>
      </c>
      <c r="I1586" s="1" t="s">
        <v>238</v>
      </c>
      <c r="J1586" s="1">
        <v>41.0</v>
      </c>
      <c r="K1586" s="1">
        <v>2017.0</v>
      </c>
      <c r="L1586" s="1">
        <v>1992.0</v>
      </c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 t="s">
        <v>1084</v>
      </c>
      <c r="Y1586" s="1" t="s">
        <v>6438</v>
      </c>
    </row>
    <row r="1587">
      <c r="A1587" s="1">
        <v>4.3628987E7</v>
      </c>
      <c r="B1587" s="1" t="s">
        <v>6439</v>
      </c>
      <c r="C1587" s="1" t="s">
        <v>6440</v>
      </c>
      <c r="D1587" s="1" t="s">
        <v>6441</v>
      </c>
      <c r="E1587" s="1" t="s">
        <v>6442</v>
      </c>
      <c r="F1587" s="2" t="str">
        <f>"193375818X"</f>
        <v>193375818X</v>
      </c>
      <c r="G1587" s="2" t="str">
        <f>"9781933758183"</f>
        <v>9781933758183</v>
      </c>
      <c r="H1587" s="1" t="s">
        <v>6443</v>
      </c>
      <c r="I1587" s="1" t="s">
        <v>36</v>
      </c>
      <c r="J1587" s="1">
        <v>41.0</v>
      </c>
      <c r="K1587" s="1">
        <v>2008.0</v>
      </c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 t="s">
        <v>629</v>
      </c>
      <c r="Y1587" s="1" t="s">
        <v>6444</v>
      </c>
    </row>
    <row r="1588">
      <c r="A1588" s="1">
        <v>2.2348311E7</v>
      </c>
      <c r="B1588" s="1" t="s">
        <v>6445</v>
      </c>
      <c r="C1588" s="1" t="s">
        <v>6446</v>
      </c>
      <c r="D1588" s="1" t="s">
        <v>6447</v>
      </c>
      <c r="F1588" s="2" t="str">
        <f>"1933758015"</f>
        <v>1933758015</v>
      </c>
      <c r="G1588" s="2" t="str">
        <f>"9781933758015"</f>
        <v>9781933758015</v>
      </c>
      <c r="H1588" s="1" t="s">
        <v>627</v>
      </c>
      <c r="I1588" s="1" t="s">
        <v>31</v>
      </c>
      <c r="J1588" s="1">
        <v>41.0</v>
      </c>
      <c r="K1588" s="1">
        <v>2005.0</v>
      </c>
      <c r="L1588" s="1">
        <v>2005.0</v>
      </c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 t="s">
        <v>629</v>
      </c>
      <c r="Y1588" s="1" t="s">
        <v>6448</v>
      </c>
    </row>
    <row r="1589">
      <c r="A1589" s="1">
        <v>1.2024156E7</v>
      </c>
      <c r="B1589" s="1" t="s">
        <v>6449</v>
      </c>
      <c r="C1589" s="1" t="s">
        <v>687</v>
      </c>
      <c r="D1589" s="1" t="s">
        <v>688</v>
      </c>
      <c r="E1589" s="1" t="s">
        <v>5461</v>
      </c>
      <c r="F1589" s="2" t="str">
        <f>"1933758031"</f>
        <v>1933758031</v>
      </c>
      <c r="G1589" s="2" t="str">
        <f>"9781933758039"</f>
        <v>9781933758039</v>
      </c>
      <c r="H1589" s="1" t="s">
        <v>627</v>
      </c>
      <c r="I1589" s="1" t="s">
        <v>36</v>
      </c>
      <c r="J1589" s="1">
        <v>41.0</v>
      </c>
      <c r="K1589" s="1">
        <v>2008.0</v>
      </c>
      <c r="L1589" s="1">
        <v>2005.0</v>
      </c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 t="s">
        <v>629</v>
      </c>
      <c r="Y1589" s="1" t="s">
        <v>6450</v>
      </c>
    </row>
    <row r="1590">
      <c r="A1590" s="1">
        <v>7683562.0</v>
      </c>
      <c r="B1590" s="1" t="s">
        <v>6451</v>
      </c>
      <c r="C1590" s="1" t="s">
        <v>687</v>
      </c>
      <c r="D1590" s="1" t="s">
        <v>688</v>
      </c>
      <c r="E1590" s="1" t="s">
        <v>5725</v>
      </c>
      <c r="F1590" s="2" t="str">
        <f>"1933758066"</f>
        <v>1933758066</v>
      </c>
      <c r="G1590" s="2" t="str">
        <f>"9781933758060"</f>
        <v>9781933758060</v>
      </c>
      <c r="H1590" s="1" t="s">
        <v>627</v>
      </c>
      <c r="I1590" s="1" t="s">
        <v>36</v>
      </c>
      <c r="J1590" s="1">
        <v>41.0</v>
      </c>
      <c r="K1590" s="1">
        <v>2005.0</v>
      </c>
      <c r="L1590" s="1">
        <v>2005.0</v>
      </c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 t="s">
        <v>629</v>
      </c>
      <c r="Y1590" s="1" t="s">
        <v>6452</v>
      </c>
    </row>
    <row r="1591">
      <c r="A1591" s="1">
        <v>7.0085019E7</v>
      </c>
      <c r="B1591" s="1" t="s">
        <v>6453</v>
      </c>
      <c r="C1591" s="1" t="s">
        <v>6454</v>
      </c>
      <c r="D1591" s="1" t="s">
        <v>6455</v>
      </c>
      <c r="F1591" s="2" t="str">
        <f>"1948388170"</f>
        <v>1948388170</v>
      </c>
      <c r="G1591" s="2" t="str">
        <f>"9781948388177"</f>
        <v>9781948388177</v>
      </c>
      <c r="H1591" s="1" t="s">
        <v>6454</v>
      </c>
      <c r="I1591" s="1" t="s">
        <v>31</v>
      </c>
      <c r="J1591" s="1">
        <v>42.0</v>
      </c>
      <c r="K1591" s="1">
        <v>2018.0</v>
      </c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 t="s">
        <v>1024</v>
      </c>
      <c r="Y1591" s="1" t="s">
        <v>6456</v>
      </c>
    </row>
    <row r="1592">
      <c r="A1592" s="1">
        <v>2.01364683E8</v>
      </c>
      <c r="B1592" s="1" t="s">
        <v>6457</v>
      </c>
      <c r="C1592" s="1" t="s">
        <v>176</v>
      </c>
      <c r="D1592" s="1" t="s">
        <v>177</v>
      </c>
      <c r="F1592" s="2" t="str">
        <f t="shared" ref="F1592:G1592" si="105">""</f>
        <v/>
      </c>
      <c r="G1592" s="2" t="str">
        <f t="shared" si="105"/>
        <v/>
      </c>
      <c r="H1592" s="1" t="s">
        <v>6458</v>
      </c>
      <c r="I1592" s="1" t="s">
        <v>31</v>
      </c>
      <c r="J1592" s="1">
        <v>42.0</v>
      </c>
      <c r="L1592" s="1">
        <v>1964.0</v>
      </c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 t="s">
        <v>180</v>
      </c>
      <c r="Y1592" s="1" t="s">
        <v>6459</v>
      </c>
    </row>
    <row r="1593">
      <c r="A1593" s="1">
        <v>3137453.0</v>
      </c>
      <c r="B1593" s="1" t="s">
        <v>6460</v>
      </c>
      <c r="C1593" s="1" t="s">
        <v>3022</v>
      </c>
      <c r="D1593" s="1" t="s">
        <v>3023</v>
      </c>
      <c r="E1593" s="1" t="s">
        <v>3024</v>
      </c>
      <c r="F1593" s="2" t="str">
        <f>"0001984241"</f>
        <v>0001984241</v>
      </c>
      <c r="G1593" s="2" t="str">
        <f>"9780001984240"</f>
        <v>9780001984240</v>
      </c>
      <c r="H1593" s="1" t="s">
        <v>2161</v>
      </c>
      <c r="I1593" s="1" t="s">
        <v>31</v>
      </c>
      <c r="J1593" s="1">
        <v>42.0</v>
      </c>
      <c r="K1593" s="1">
        <v>2000.0</v>
      </c>
      <c r="L1593" s="1">
        <v>1998.0</v>
      </c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 t="s">
        <v>1219</v>
      </c>
      <c r="Y1593" s="1" t="s">
        <v>6461</v>
      </c>
    </row>
    <row r="1594">
      <c r="A1594" s="1">
        <v>3.8889811E7</v>
      </c>
      <c r="B1594" s="1" t="s">
        <v>6462</v>
      </c>
      <c r="C1594" s="1" t="s">
        <v>6463</v>
      </c>
      <c r="D1594" s="1" t="s">
        <v>6464</v>
      </c>
      <c r="F1594" s="2" t="str">
        <f t="shared" ref="F1594:G1594" si="106">""</f>
        <v/>
      </c>
      <c r="G1594" s="2" t="str">
        <f t="shared" si="106"/>
        <v/>
      </c>
      <c r="I1594" s="1" t="s">
        <v>238</v>
      </c>
      <c r="J1594" s="1">
        <v>42.0</v>
      </c>
      <c r="K1594" s="1">
        <v>2018.0</v>
      </c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 t="s">
        <v>1195</v>
      </c>
      <c r="Y1594" s="1" t="s">
        <v>6465</v>
      </c>
    </row>
    <row r="1595">
      <c r="A1595" s="1">
        <v>3.9847939E7</v>
      </c>
      <c r="B1595" s="1" t="s">
        <v>6466</v>
      </c>
      <c r="C1595" s="1" t="s">
        <v>6467</v>
      </c>
      <c r="D1595" s="1" t="s">
        <v>6468</v>
      </c>
      <c r="F1595" s="2" t="str">
        <f t="shared" ref="F1595:G1595" si="107">""</f>
        <v/>
      </c>
      <c r="G1595" s="2" t="str">
        <f t="shared" si="107"/>
        <v/>
      </c>
      <c r="I1595" s="1" t="s">
        <v>31</v>
      </c>
      <c r="J1595" s="1">
        <v>42.0</v>
      </c>
      <c r="K1595" s="1">
        <v>2018.0</v>
      </c>
      <c r="L1595" s="1">
        <v>2018.0</v>
      </c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 t="s">
        <v>37</v>
      </c>
      <c r="Y1595" s="1" t="s">
        <v>6469</v>
      </c>
    </row>
    <row r="1596">
      <c r="A1596" s="1">
        <v>3.7675062E7</v>
      </c>
      <c r="B1596" s="1" t="s">
        <v>6470</v>
      </c>
      <c r="C1596" s="1" t="s">
        <v>6471</v>
      </c>
      <c r="D1596" s="1" t="s">
        <v>6472</v>
      </c>
      <c r="E1596" s="1" t="s">
        <v>6473</v>
      </c>
      <c r="F1596" s="2" t="str">
        <f>"1925089185"</f>
        <v>1925089185</v>
      </c>
      <c r="G1596" s="2" t="str">
        <f>"9781925089189"</f>
        <v>9781925089189</v>
      </c>
      <c r="H1596" s="1" t="s">
        <v>6474</v>
      </c>
      <c r="I1596" s="1" t="s">
        <v>36</v>
      </c>
      <c r="J1596" s="1">
        <v>42.0</v>
      </c>
      <c r="K1596" s="1">
        <v>2017.0</v>
      </c>
      <c r="L1596" s="1">
        <v>2017.0</v>
      </c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 t="s">
        <v>1024</v>
      </c>
      <c r="Y1596" s="1" t="s">
        <v>6475</v>
      </c>
    </row>
    <row r="1597">
      <c r="A1597" s="1">
        <v>3.0166764E7</v>
      </c>
      <c r="B1597" s="1" t="s">
        <v>6476</v>
      </c>
      <c r="C1597" s="1" t="s">
        <v>6477</v>
      </c>
      <c r="D1597" s="1" t="s">
        <v>6478</v>
      </c>
      <c r="E1597" s="1" t="s">
        <v>6479</v>
      </c>
      <c r="F1597" s="2" t="str">
        <f>"1474918964"</f>
        <v>1474918964</v>
      </c>
      <c r="G1597" s="2" t="str">
        <f>"9781474918961"</f>
        <v>9781474918961</v>
      </c>
      <c r="H1597" s="1" t="s">
        <v>930</v>
      </c>
      <c r="I1597" s="1" t="s">
        <v>36</v>
      </c>
      <c r="J1597" s="1">
        <v>42.0</v>
      </c>
      <c r="K1597" s="1">
        <v>2016.0</v>
      </c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 t="s">
        <v>380</v>
      </c>
      <c r="Y1597" s="1" t="s">
        <v>6480</v>
      </c>
    </row>
    <row r="1598">
      <c r="A1598" s="1">
        <v>515905.0</v>
      </c>
      <c r="B1598" s="1" t="s">
        <v>6481</v>
      </c>
      <c r="C1598" s="1" t="s">
        <v>724</v>
      </c>
      <c r="D1598" s="1" t="s">
        <v>725</v>
      </c>
      <c r="F1598" s="2" t="str">
        <f>"1423102991"</f>
        <v>1423102991</v>
      </c>
      <c r="G1598" s="2" t="str">
        <f>"9781423102991"</f>
        <v>9781423102991</v>
      </c>
      <c r="H1598" s="1" t="s">
        <v>6415</v>
      </c>
      <c r="I1598" s="1" t="s">
        <v>31</v>
      </c>
      <c r="J1598" s="1">
        <v>42.0</v>
      </c>
      <c r="K1598" s="1">
        <v>2007.0</v>
      </c>
      <c r="L1598" s="1">
        <v>2007.0</v>
      </c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 t="s">
        <v>727</v>
      </c>
      <c r="Y1598" s="1" t="s">
        <v>6482</v>
      </c>
    </row>
    <row r="1599">
      <c r="A1599" s="1">
        <v>2.2348313E7</v>
      </c>
      <c r="B1599" s="1" t="s">
        <v>6483</v>
      </c>
      <c r="C1599" s="1" t="s">
        <v>6446</v>
      </c>
      <c r="D1599" s="1" t="s">
        <v>6447</v>
      </c>
      <c r="F1599" s="2" t="str">
        <f>"193375804X"</f>
        <v>193375804X</v>
      </c>
      <c r="G1599" s="2" t="str">
        <f>"9781933758046"</f>
        <v>9781933758046</v>
      </c>
      <c r="H1599" s="1" t="s">
        <v>627</v>
      </c>
      <c r="I1599" s="1" t="s">
        <v>36</v>
      </c>
      <c r="J1599" s="1">
        <v>43.0</v>
      </c>
      <c r="K1599" s="1">
        <v>2005.0</v>
      </c>
      <c r="L1599" s="1">
        <v>2005.0</v>
      </c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 t="s">
        <v>629</v>
      </c>
      <c r="Y1599" s="1" t="s">
        <v>6484</v>
      </c>
    </row>
    <row r="1600">
      <c r="A1600" s="1">
        <v>9.152204E7</v>
      </c>
      <c r="B1600" s="1" t="s">
        <v>6485</v>
      </c>
      <c r="C1600" s="1" t="s">
        <v>6486</v>
      </c>
      <c r="D1600" s="1" t="s">
        <v>6487</v>
      </c>
      <c r="F1600" s="2" t="str">
        <f>"1933758236"</f>
        <v>1933758236</v>
      </c>
      <c r="G1600" s="2" t="str">
        <f>"9781933758237"</f>
        <v>9781933758237</v>
      </c>
      <c r="H1600" s="1" t="s">
        <v>627</v>
      </c>
      <c r="I1600" s="1" t="s">
        <v>36</v>
      </c>
      <c r="J1600" s="1">
        <v>43.0</v>
      </c>
      <c r="K1600" s="1">
        <v>2010.0</v>
      </c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 t="s">
        <v>629</v>
      </c>
      <c r="Y1600" s="1" t="s">
        <v>6488</v>
      </c>
    </row>
    <row r="1601">
      <c r="A1601" s="1">
        <v>475339.0</v>
      </c>
      <c r="B1601" s="1" t="s">
        <v>6489</v>
      </c>
      <c r="C1601" s="1" t="s">
        <v>2580</v>
      </c>
      <c r="D1601" s="1" t="s">
        <v>2581</v>
      </c>
      <c r="F1601" s="2" t="str">
        <f>"0590133373"</f>
        <v>0590133373</v>
      </c>
      <c r="G1601" s="2" t="str">
        <f>"9780590133371"</f>
        <v>9780590133371</v>
      </c>
      <c r="H1601" s="1" t="s">
        <v>6490</v>
      </c>
      <c r="I1601" s="1" t="s">
        <v>36</v>
      </c>
      <c r="J1601" s="1">
        <v>44.0</v>
      </c>
      <c r="K1601" s="1">
        <v>1989.0</v>
      </c>
      <c r="L1601" s="1">
        <v>1939.0</v>
      </c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 t="s">
        <v>370</v>
      </c>
      <c r="Y1601" s="1" t="s">
        <v>6491</v>
      </c>
    </row>
    <row r="1602">
      <c r="A1602" s="1">
        <v>862908.0</v>
      </c>
      <c r="B1602" s="1" t="s">
        <v>6492</v>
      </c>
      <c r="C1602" s="1" t="s">
        <v>6493</v>
      </c>
      <c r="D1602" s="1" t="s">
        <v>6494</v>
      </c>
      <c r="E1602" s="1" t="s">
        <v>6495</v>
      </c>
      <c r="F1602" s="2" t="str">
        <f>"0140562257"</f>
        <v>0140562257</v>
      </c>
      <c r="G1602" s="2" t="str">
        <f>"9780140562255"</f>
        <v>9780140562255</v>
      </c>
      <c r="H1602" s="1" t="s">
        <v>753</v>
      </c>
      <c r="I1602" s="1" t="s">
        <v>36</v>
      </c>
      <c r="J1602" s="1">
        <v>44.0</v>
      </c>
      <c r="K1602" s="1">
        <v>1997.0</v>
      </c>
      <c r="L1602" s="1">
        <v>1991.0</v>
      </c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 t="s">
        <v>5377</v>
      </c>
      <c r="Y1602" s="1" t="s">
        <v>6496</v>
      </c>
    </row>
    <row r="1603">
      <c r="A1603" s="1">
        <v>634187.0</v>
      </c>
      <c r="B1603" s="1" t="s">
        <v>6497</v>
      </c>
      <c r="C1603" s="1" t="s">
        <v>6498</v>
      </c>
      <c r="D1603" s="1" t="s">
        <v>6499</v>
      </c>
      <c r="F1603" s="2" t="str">
        <f>"068982954X"</f>
        <v>068982954X</v>
      </c>
      <c r="G1603" s="2" t="str">
        <f>"9780689829543"</f>
        <v>9780689829543</v>
      </c>
      <c r="H1603" s="1" t="s">
        <v>2537</v>
      </c>
      <c r="I1603" s="1" t="s">
        <v>31</v>
      </c>
      <c r="J1603" s="1">
        <v>44.0</v>
      </c>
      <c r="K1603" s="1">
        <v>2001.0</v>
      </c>
      <c r="L1603" s="1">
        <v>1994.0</v>
      </c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 t="s">
        <v>370</v>
      </c>
      <c r="Y1603" s="1" t="s">
        <v>6500</v>
      </c>
    </row>
    <row r="1604">
      <c r="A1604" s="1">
        <v>4198759.0</v>
      </c>
      <c r="B1604" s="1" t="s">
        <v>6501</v>
      </c>
      <c r="C1604" s="1" t="s">
        <v>6502</v>
      </c>
      <c r="D1604" s="1" t="s">
        <v>6503</v>
      </c>
      <c r="F1604" s="2" t="str">
        <f>"0764154990"</f>
        <v>0764154990</v>
      </c>
      <c r="G1604" s="2" t="str">
        <f>"9780764154997"</f>
        <v>9780764154997</v>
      </c>
      <c r="H1604" s="1" t="s">
        <v>2199</v>
      </c>
      <c r="I1604" s="1" t="s">
        <v>31</v>
      </c>
      <c r="J1604" s="1">
        <v>44.0</v>
      </c>
      <c r="K1604" s="1">
        <v>2002.0</v>
      </c>
      <c r="L1604" s="1">
        <v>2002.0</v>
      </c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 t="s">
        <v>116</v>
      </c>
      <c r="Y1604" s="1" t="s">
        <v>6504</v>
      </c>
    </row>
    <row r="1605">
      <c r="A1605" s="1">
        <v>2731857.0</v>
      </c>
      <c r="B1605" s="1" t="s">
        <v>6505</v>
      </c>
      <c r="C1605" s="1" t="s">
        <v>3849</v>
      </c>
      <c r="D1605" s="1" t="s">
        <v>3850</v>
      </c>
      <c r="F1605" s="2" t="str">
        <f>"0688132022"</f>
        <v>0688132022</v>
      </c>
      <c r="G1605" s="2" t="str">
        <f>"9780688132026"</f>
        <v>9780688132026</v>
      </c>
      <c r="H1605" s="1" t="s">
        <v>6506</v>
      </c>
      <c r="I1605" s="1" t="s">
        <v>36</v>
      </c>
      <c r="J1605" s="1">
        <v>44.0</v>
      </c>
      <c r="K1605" s="1">
        <v>1994.0</v>
      </c>
      <c r="L1605" s="1">
        <v>1984.0</v>
      </c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 t="s">
        <v>61</v>
      </c>
      <c r="Y1605" s="1" t="s">
        <v>6507</v>
      </c>
    </row>
    <row r="1606">
      <c r="A1606" s="1">
        <v>532854.0</v>
      </c>
      <c r="B1606" s="1" t="s">
        <v>6508</v>
      </c>
      <c r="C1606" s="1" t="s">
        <v>3928</v>
      </c>
      <c r="D1606" s="1" t="s">
        <v>3929</v>
      </c>
      <c r="E1606" s="1" t="s">
        <v>4504</v>
      </c>
      <c r="F1606" s="2" t="str">
        <f>"0152020985"</f>
        <v>0152020985</v>
      </c>
      <c r="G1606" s="2" t="str">
        <f>"9780152020989"</f>
        <v>9780152020989</v>
      </c>
      <c r="H1606" s="1" t="s">
        <v>1799</v>
      </c>
      <c r="I1606" s="1" t="s">
        <v>36</v>
      </c>
      <c r="J1606" s="1">
        <v>44.0</v>
      </c>
      <c r="K1606" s="1">
        <v>2000.0</v>
      </c>
      <c r="L1606" s="1">
        <v>1996.0</v>
      </c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 t="s">
        <v>6509</v>
      </c>
      <c r="Y1606" s="1" t="s">
        <v>6510</v>
      </c>
    </row>
    <row r="1607">
      <c r="A1607" s="1">
        <v>3171606.0</v>
      </c>
      <c r="B1607" s="1" t="s">
        <v>6511</v>
      </c>
      <c r="C1607" s="1" t="s">
        <v>6512</v>
      </c>
      <c r="D1607" s="1" t="s">
        <v>6513</v>
      </c>
      <c r="F1607" s="2" t="str">
        <f>"081185924X"</f>
        <v>081185924X</v>
      </c>
      <c r="G1607" s="2" t="str">
        <f>"9780811859240"</f>
        <v>9780811859240</v>
      </c>
      <c r="H1607" s="1" t="s">
        <v>1593</v>
      </c>
      <c r="I1607" s="1" t="s">
        <v>31</v>
      </c>
      <c r="J1607" s="1">
        <v>44.0</v>
      </c>
      <c r="K1607" s="1">
        <v>2008.0</v>
      </c>
      <c r="L1607" s="1">
        <v>2008.0</v>
      </c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 t="s">
        <v>2254</v>
      </c>
      <c r="Y1607" s="1" t="s">
        <v>6514</v>
      </c>
    </row>
    <row r="1608">
      <c r="A1608" s="1">
        <v>18005.0</v>
      </c>
      <c r="B1608" s="1" t="s">
        <v>6515</v>
      </c>
      <c r="C1608" s="1" t="s">
        <v>6516</v>
      </c>
      <c r="D1608" s="1" t="s">
        <v>6517</v>
      </c>
      <c r="E1608" s="1" t="s">
        <v>5001</v>
      </c>
      <c r="F1608" s="2" t="str">
        <f>"0152018484"</f>
        <v>0152018484</v>
      </c>
      <c r="G1608" s="2" t="str">
        <f>"9780152018481"</f>
        <v>9780152018481</v>
      </c>
      <c r="H1608" s="1" t="s">
        <v>389</v>
      </c>
      <c r="I1608" s="1" t="s">
        <v>31</v>
      </c>
      <c r="J1608" s="1">
        <v>44.0</v>
      </c>
      <c r="K1608" s="1">
        <v>2003.0</v>
      </c>
      <c r="L1608" s="1">
        <v>2003.0</v>
      </c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 t="s">
        <v>405</v>
      </c>
      <c r="Y1608" s="1" t="s">
        <v>6518</v>
      </c>
    </row>
    <row r="1609">
      <c r="A1609" s="1">
        <v>236764.0</v>
      </c>
      <c r="B1609" s="1" t="s">
        <v>6519</v>
      </c>
      <c r="C1609" s="1" t="s">
        <v>6516</v>
      </c>
      <c r="D1609" s="1" t="s">
        <v>6517</v>
      </c>
      <c r="E1609" s="1" t="s">
        <v>5001</v>
      </c>
      <c r="F1609" s="2" t="str">
        <f>""</f>
        <v/>
      </c>
      <c r="G1609" s="2" t="str">
        <f>"9780152053536"</f>
        <v>9780152053536</v>
      </c>
      <c r="H1609" s="1" t="s">
        <v>1799</v>
      </c>
      <c r="I1609" s="1" t="s">
        <v>31</v>
      </c>
      <c r="J1609" s="1">
        <v>44.0</v>
      </c>
      <c r="K1609" s="1">
        <v>2007.0</v>
      </c>
      <c r="L1609" s="1">
        <v>2007.0</v>
      </c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 t="s">
        <v>405</v>
      </c>
      <c r="Y1609" s="1" t="s">
        <v>6520</v>
      </c>
    </row>
    <row r="1610">
      <c r="A1610" s="1">
        <v>4537207.0</v>
      </c>
      <c r="B1610" s="1" t="s">
        <v>6521</v>
      </c>
      <c r="C1610" s="1" t="s">
        <v>6522</v>
      </c>
      <c r="D1610" s="1" t="s">
        <v>6523</v>
      </c>
      <c r="F1610" s="2" t="str">
        <f>"039492519X"</f>
        <v>039492519X</v>
      </c>
      <c r="G1610" s="2" t="str">
        <f>"9780394925196"</f>
        <v>9780394925196</v>
      </c>
      <c r="H1610" s="1" t="s">
        <v>1072</v>
      </c>
      <c r="I1610" s="1" t="s">
        <v>31</v>
      </c>
      <c r="J1610" s="1">
        <v>44.0</v>
      </c>
      <c r="K1610" s="1">
        <v>1973.0</v>
      </c>
      <c r="L1610" s="1">
        <v>1973.0</v>
      </c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 t="s">
        <v>835</v>
      </c>
      <c r="Y1610" s="1" t="s">
        <v>6524</v>
      </c>
    </row>
    <row r="1611">
      <c r="A1611" s="1">
        <v>8.3398833E7</v>
      </c>
      <c r="B1611" s="1" t="s">
        <v>6525</v>
      </c>
      <c r="C1611" s="1" t="s">
        <v>6526</v>
      </c>
      <c r="D1611" s="1" t="s">
        <v>6527</v>
      </c>
      <c r="F1611" s="2" t="str">
        <f>"5517178804"</f>
        <v>5517178804</v>
      </c>
      <c r="G1611" s="2" t="str">
        <f>"9785517178800"</f>
        <v>9785517178800</v>
      </c>
      <c r="H1611" s="1" t="s">
        <v>6528</v>
      </c>
      <c r="I1611" s="1" t="s">
        <v>36</v>
      </c>
      <c r="J1611" s="1">
        <v>44.0</v>
      </c>
      <c r="K1611" s="1">
        <v>2013.0</v>
      </c>
    </row>
    <row r="1612">
      <c r="A1612" s="1">
        <v>697391.0</v>
      </c>
      <c r="B1612" s="1" t="s">
        <v>6529</v>
      </c>
      <c r="C1612" s="1" t="s">
        <v>4864</v>
      </c>
      <c r="D1612" s="1" t="s">
        <v>4865</v>
      </c>
      <c r="E1612" s="1" t="s">
        <v>3029</v>
      </c>
      <c r="F1612" s="2" t="str">
        <f>"0152002421"</f>
        <v>0152002421</v>
      </c>
      <c r="G1612" s="2" t="str">
        <f>"9780152002428"</f>
        <v>9780152002428</v>
      </c>
      <c r="H1612" s="1" t="s">
        <v>1799</v>
      </c>
      <c r="I1612" s="1" t="s">
        <v>36</v>
      </c>
      <c r="J1612" s="1">
        <v>44.0</v>
      </c>
      <c r="K1612" s="1">
        <v>2005.0</v>
      </c>
      <c r="L1612" s="1">
        <v>2004.0</v>
      </c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 t="s">
        <v>3564</v>
      </c>
      <c r="Y1612" s="1" t="s">
        <v>6530</v>
      </c>
    </row>
    <row r="1613">
      <c r="A1613" s="1">
        <v>191139.0</v>
      </c>
      <c r="B1613" s="1" t="s">
        <v>6531</v>
      </c>
      <c r="C1613" s="1" t="s">
        <v>1182</v>
      </c>
      <c r="D1613" s="1" t="s">
        <v>1183</v>
      </c>
      <c r="F1613" s="2" t="str">
        <f>"0679805273"</f>
        <v>0679805273</v>
      </c>
      <c r="G1613" s="2" t="str">
        <f>"9780679805274"</f>
        <v>9780679805274</v>
      </c>
      <c r="H1613" s="1" t="s">
        <v>156</v>
      </c>
      <c r="I1613" s="1" t="s">
        <v>31</v>
      </c>
      <c r="J1613" s="1">
        <v>44.0</v>
      </c>
      <c r="K1613" s="1">
        <v>1990.0</v>
      </c>
      <c r="L1613" s="1">
        <v>1990.0</v>
      </c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 t="s">
        <v>6532</v>
      </c>
      <c r="Y1613" s="1" t="s">
        <v>6533</v>
      </c>
    </row>
    <row r="1614">
      <c r="A1614" s="1">
        <v>210311.0</v>
      </c>
      <c r="B1614" s="1" t="s">
        <v>6534</v>
      </c>
      <c r="C1614" s="1" t="s">
        <v>6535</v>
      </c>
      <c r="D1614" s="1" t="s">
        <v>6536</v>
      </c>
      <c r="E1614" s="1" t="s">
        <v>3002</v>
      </c>
      <c r="F1614" s="2" t="str">
        <f>"0152056602"</f>
        <v>0152056602</v>
      </c>
      <c r="G1614" s="2" t="str">
        <f>"9780152056605"</f>
        <v>9780152056605</v>
      </c>
      <c r="H1614" s="1" t="s">
        <v>1799</v>
      </c>
      <c r="I1614" s="1" t="s">
        <v>36</v>
      </c>
      <c r="J1614" s="1">
        <v>44.0</v>
      </c>
      <c r="K1614" s="1">
        <v>2006.0</v>
      </c>
      <c r="L1614" s="1">
        <v>2005.0</v>
      </c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 t="s">
        <v>543</v>
      </c>
      <c r="Y1614" s="1" t="s">
        <v>6537</v>
      </c>
    </row>
    <row r="1615">
      <c r="A1615" s="1">
        <v>1.8570357E7</v>
      </c>
      <c r="B1615" s="1" t="s">
        <v>6538</v>
      </c>
      <c r="C1615" s="1" t="s">
        <v>5684</v>
      </c>
      <c r="D1615" s="1" t="s">
        <v>5685</v>
      </c>
      <c r="E1615" s="1" t="s">
        <v>5686</v>
      </c>
      <c r="F1615" s="2" t="str">
        <f>"1938298071"</f>
        <v>1938298071</v>
      </c>
      <c r="G1615" s="2" t="str">
        <f>"9781938298073"</f>
        <v>9781938298073</v>
      </c>
      <c r="H1615" s="1" t="s">
        <v>5687</v>
      </c>
      <c r="I1615" s="1" t="s">
        <v>31</v>
      </c>
      <c r="J1615" s="1">
        <v>44.0</v>
      </c>
      <c r="K1615" s="1">
        <v>2014.0</v>
      </c>
      <c r="L1615" s="1">
        <v>2014.0</v>
      </c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 t="s">
        <v>1219</v>
      </c>
      <c r="Y1615" s="1" t="s">
        <v>6539</v>
      </c>
    </row>
    <row r="1616">
      <c r="A1616" s="1">
        <v>5.0519683E7</v>
      </c>
      <c r="B1616" s="1" t="s">
        <v>6540</v>
      </c>
      <c r="C1616" s="1" t="s">
        <v>6541</v>
      </c>
      <c r="D1616" s="1" t="s">
        <v>6542</v>
      </c>
      <c r="F1616" s="2" t="str">
        <f t="shared" ref="F1616:G1616" si="108">""</f>
        <v/>
      </c>
      <c r="G1616" s="2" t="str">
        <f t="shared" si="108"/>
        <v/>
      </c>
      <c r="I1616" s="1" t="s">
        <v>238</v>
      </c>
      <c r="J1616" s="1">
        <v>45.0</v>
      </c>
      <c r="K1616" s="1">
        <v>2020.0</v>
      </c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 t="s">
        <v>96</v>
      </c>
      <c r="Y1616" s="1" t="s">
        <v>6543</v>
      </c>
    </row>
    <row r="1617">
      <c r="A1617" s="1">
        <v>1.0928602E7</v>
      </c>
      <c r="B1617" s="1" t="s">
        <v>6544</v>
      </c>
      <c r="C1617" s="1" t="s">
        <v>6545</v>
      </c>
      <c r="D1617" s="1" t="s">
        <v>6546</v>
      </c>
      <c r="E1617" s="1" t="s">
        <v>6547</v>
      </c>
      <c r="F1617" s="2" t="str">
        <f>"0679867155"</f>
        <v>0679867155</v>
      </c>
      <c r="G1617" s="2" t="str">
        <f>"9780679867159"</f>
        <v>9780679867159</v>
      </c>
      <c r="H1617" s="1" t="s">
        <v>156</v>
      </c>
      <c r="I1617" s="1" t="s">
        <v>31</v>
      </c>
      <c r="J1617" s="1">
        <v>45.0</v>
      </c>
      <c r="K1617" s="1">
        <v>1995.0</v>
      </c>
      <c r="L1617" s="1">
        <v>1995.0</v>
      </c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 t="s">
        <v>1045</v>
      </c>
      <c r="Y1617" s="1" t="s">
        <v>6548</v>
      </c>
    </row>
    <row r="1618">
      <c r="A1618" s="1">
        <v>6.0864152E7</v>
      </c>
      <c r="B1618" s="1" t="s">
        <v>6549</v>
      </c>
      <c r="C1618" s="1" t="s">
        <v>6550</v>
      </c>
      <c r="D1618" s="1" t="s">
        <v>6551</v>
      </c>
      <c r="F1618" s="2" t="str">
        <f>"1956599002"</f>
        <v>1956599002</v>
      </c>
      <c r="G1618" s="2" t="str">
        <f>"9781956599008"</f>
        <v>9781956599008</v>
      </c>
      <c r="H1618" s="1" t="s">
        <v>6552</v>
      </c>
      <c r="I1618" s="1" t="s">
        <v>31</v>
      </c>
      <c r="J1618" s="1">
        <v>45.0</v>
      </c>
      <c r="K1618" s="1">
        <v>2022.0</v>
      </c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 t="s">
        <v>116</v>
      </c>
      <c r="Y1618" s="1" t="s">
        <v>6553</v>
      </c>
    </row>
    <row r="1619">
      <c r="A1619" s="1">
        <v>1.5031517E7</v>
      </c>
      <c r="B1619" s="1" t="s">
        <v>6554</v>
      </c>
      <c r="C1619" s="1" t="s">
        <v>687</v>
      </c>
      <c r="D1619" s="1" t="s">
        <v>688</v>
      </c>
      <c r="F1619" s="2" t="str">
        <f>"1933758074"</f>
        <v>1933758074</v>
      </c>
      <c r="G1619" s="2" t="str">
        <f>"9781933758077"</f>
        <v>9781933758077</v>
      </c>
      <c r="H1619" s="1" t="s">
        <v>627</v>
      </c>
      <c r="I1619" s="1" t="s">
        <v>31</v>
      </c>
      <c r="J1619" s="1">
        <v>45.0</v>
      </c>
      <c r="K1619" s="1">
        <v>2006.0</v>
      </c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 t="s">
        <v>629</v>
      </c>
      <c r="Y1619" s="1" t="s">
        <v>6555</v>
      </c>
    </row>
    <row r="1620">
      <c r="A1620" s="1">
        <v>2.2165975E7</v>
      </c>
      <c r="B1620" s="1" t="s">
        <v>6556</v>
      </c>
      <c r="C1620" s="1" t="s">
        <v>687</v>
      </c>
      <c r="D1620" s="1" t="s">
        <v>688</v>
      </c>
      <c r="E1620" s="1" t="s">
        <v>6557</v>
      </c>
      <c r="F1620" s="2" t="str">
        <f>"1933758171"</f>
        <v>1933758171</v>
      </c>
      <c r="G1620" s="2" t="str">
        <f>"9781933758176"</f>
        <v>9781933758176</v>
      </c>
      <c r="H1620" s="1" t="s">
        <v>627</v>
      </c>
      <c r="I1620" s="1" t="s">
        <v>108</v>
      </c>
      <c r="J1620" s="1">
        <v>45.0</v>
      </c>
      <c r="K1620" s="1">
        <v>2008.0</v>
      </c>
      <c r="L1620" s="1">
        <v>2008.0</v>
      </c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 t="s">
        <v>629</v>
      </c>
      <c r="Y1620" s="1" t="s">
        <v>6558</v>
      </c>
    </row>
    <row r="1621">
      <c r="A1621" s="1">
        <v>205243.0</v>
      </c>
      <c r="B1621" s="1" t="s">
        <v>6559</v>
      </c>
      <c r="C1621" s="1" t="s">
        <v>6560</v>
      </c>
      <c r="D1621" s="1" t="s">
        <v>6561</v>
      </c>
      <c r="F1621" s="2" t="str">
        <f>"0679891145"</f>
        <v>0679891145</v>
      </c>
      <c r="G1621" s="2" t="str">
        <f>"9780679891147"</f>
        <v>9780679891147</v>
      </c>
      <c r="H1621" s="1" t="s">
        <v>156</v>
      </c>
      <c r="I1621" s="1" t="s">
        <v>31</v>
      </c>
      <c r="J1621" s="1">
        <v>45.0</v>
      </c>
      <c r="K1621" s="1">
        <v>1999.0</v>
      </c>
      <c r="L1621" s="1">
        <v>1999.0</v>
      </c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 t="s">
        <v>1326</v>
      </c>
      <c r="Y1621" s="1" t="s">
        <v>6562</v>
      </c>
    </row>
    <row r="1622">
      <c r="A1622" s="1">
        <v>786256.0</v>
      </c>
      <c r="B1622" s="1" t="s">
        <v>6563</v>
      </c>
      <c r="C1622" s="1" t="s">
        <v>6564</v>
      </c>
      <c r="D1622" s="1" t="s">
        <v>6565</v>
      </c>
      <c r="F1622" s="2" t="str">
        <f t="shared" ref="F1622:G1622" si="109">""</f>
        <v/>
      </c>
      <c r="G1622" s="2" t="str">
        <f t="shared" si="109"/>
        <v/>
      </c>
      <c r="H1622" s="1" t="s">
        <v>6566</v>
      </c>
      <c r="I1622" s="1" t="s">
        <v>31</v>
      </c>
      <c r="J1622" s="1">
        <v>46.0</v>
      </c>
      <c r="K1622" s="1">
        <v>1993.0</v>
      </c>
      <c r="L1622" s="1">
        <v>1993.0</v>
      </c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 t="s">
        <v>317</v>
      </c>
      <c r="Y1622" s="1" t="s">
        <v>6567</v>
      </c>
    </row>
    <row r="1623">
      <c r="A1623" s="1">
        <v>4963572.0</v>
      </c>
      <c r="B1623" s="1" t="s">
        <v>6568</v>
      </c>
      <c r="C1623" s="1" t="s">
        <v>6569</v>
      </c>
      <c r="D1623" s="1" t="s">
        <v>6570</v>
      </c>
      <c r="F1623" s="2" t="str">
        <f>"0816736340"</f>
        <v>0816736340</v>
      </c>
      <c r="G1623" s="2" t="str">
        <f>"9780816736348"</f>
        <v>9780816736348</v>
      </c>
      <c r="H1623" s="1" t="s">
        <v>4374</v>
      </c>
      <c r="I1623" s="1" t="s">
        <v>91</v>
      </c>
      <c r="J1623" s="1">
        <v>46.0</v>
      </c>
      <c r="K1623" s="1">
        <v>1996.0</v>
      </c>
      <c r="L1623" s="1">
        <v>1976.0</v>
      </c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 t="s">
        <v>2254</v>
      </c>
      <c r="Y1623" s="1" t="s">
        <v>6571</v>
      </c>
    </row>
    <row r="1624">
      <c r="A1624" s="1">
        <v>1.9162406E7</v>
      </c>
      <c r="B1624" s="1" t="s">
        <v>6572</v>
      </c>
      <c r="C1624" s="1" t="s">
        <v>6573</v>
      </c>
      <c r="D1624" s="1" t="s">
        <v>6574</v>
      </c>
      <c r="E1624" s="1" t="s">
        <v>6575</v>
      </c>
      <c r="F1624" s="2" t="str">
        <f>"162436005X"</f>
        <v>162436005X</v>
      </c>
      <c r="G1624" s="2" t="str">
        <f>"9781624360053"</f>
        <v>9781624360053</v>
      </c>
      <c r="H1624" s="1" t="s">
        <v>6576</v>
      </c>
      <c r="I1624" s="1" t="s">
        <v>36</v>
      </c>
      <c r="J1624" s="1">
        <v>46.0</v>
      </c>
      <c r="K1624" s="1">
        <v>2013.0</v>
      </c>
      <c r="L1624" s="1">
        <v>2013.0</v>
      </c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 t="s">
        <v>116</v>
      </c>
      <c r="Y1624" s="1" t="s">
        <v>6577</v>
      </c>
    </row>
    <row r="1625">
      <c r="A1625" s="1">
        <v>1293226.0</v>
      </c>
      <c r="B1625" s="1" t="s">
        <v>6578</v>
      </c>
      <c r="C1625" s="1" t="s">
        <v>6579</v>
      </c>
      <c r="D1625" s="1" t="s">
        <v>6580</v>
      </c>
      <c r="F1625" s="2" t="str">
        <f>"0819310395"</f>
        <v>0819310395</v>
      </c>
      <c r="G1625" s="2" t="str">
        <f>"9780819310392"</f>
        <v>9780819310392</v>
      </c>
      <c r="H1625" s="1" t="s">
        <v>6581</v>
      </c>
      <c r="I1625" s="1" t="s">
        <v>31</v>
      </c>
      <c r="J1625" s="1">
        <v>46.0</v>
      </c>
      <c r="K1625" s="1">
        <v>1981.0</v>
      </c>
      <c r="L1625" s="1">
        <v>1981.0</v>
      </c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 t="s">
        <v>317</v>
      </c>
      <c r="Y1625" s="1" t="s">
        <v>6582</v>
      </c>
    </row>
    <row r="1626">
      <c r="A1626" s="1">
        <v>2.3874432E7</v>
      </c>
      <c r="B1626" s="1" t="s">
        <v>6583</v>
      </c>
      <c r="C1626" s="1" t="s">
        <v>4857</v>
      </c>
      <c r="D1626" s="1" t="s">
        <v>4858</v>
      </c>
      <c r="F1626" s="2" t="str">
        <f>"0525428879"</f>
        <v>0525428879</v>
      </c>
      <c r="G1626" s="2" t="str">
        <f>"9780525428879"</f>
        <v>9780525428879</v>
      </c>
      <c r="H1626" s="1" t="s">
        <v>2600</v>
      </c>
      <c r="I1626" s="1" t="s">
        <v>31</v>
      </c>
      <c r="J1626" s="1">
        <v>46.0</v>
      </c>
      <c r="K1626" s="1">
        <v>2015.0</v>
      </c>
      <c r="L1626" s="1">
        <v>2015.0</v>
      </c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 t="s">
        <v>2254</v>
      </c>
      <c r="Y1626" s="1" t="s">
        <v>6584</v>
      </c>
    </row>
    <row r="1627">
      <c r="A1627" s="1">
        <v>4.899871E7</v>
      </c>
      <c r="B1627" s="1" t="s">
        <v>6585</v>
      </c>
      <c r="C1627" s="1" t="s">
        <v>6586</v>
      </c>
      <c r="D1627" s="1" t="s">
        <v>6587</v>
      </c>
      <c r="F1627" s="2" t="str">
        <f t="shared" ref="F1627:G1627" si="110">""</f>
        <v/>
      </c>
      <c r="G1627" s="2" t="str">
        <f t="shared" si="110"/>
        <v/>
      </c>
      <c r="H1627" s="1" t="s">
        <v>5032</v>
      </c>
      <c r="I1627" s="1" t="s">
        <v>31</v>
      </c>
      <c r="J1627" s="1">
        <v>47.0</v>
      </c>
      <c r="K1627" s="1">
        <v>2019.0</v>
      </c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 t="s">
        <v>2279</v>
      </c>
      <c r="Y1627" s="1" t="s">
        <v>6588</v>
      </c>
    </row>
    <row r="1628">
      <c r="A1628" s="1">
        <v>2.9106287E7</v>
      </c>
      <c r="B1628" s="1" t="s">
        <v>6589</v>
      </c>
      <c r="C1628" s="1" t="s">
        <v>687</v>
      </c>
      <c r="D1628" s="1" t="s">
        <v>688</v>
      </c>
      <c r="F1628" s="2" t="str">
        <f>"1933758155"</f>
        <v>1933758155</v>
      </c>
      <c r="G1628" s="2" t="str">
        <f>"9781933758152"</f>
        <v>9781933758152</v>
      </c>
      <c r="H1628" s="1" t="s">
        <v>627</v>
      </c>
      <c r="I1628" s="1" t="s">
        <v>36</v>
      </c>
      <c r="J1628" s="1">
        <v>47.0</v>
      </c>
      <c r="K1628" s="1">
        <v>2009.0</v>
      </c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 t="s">
        <v>629</v>
      </c>
      <c r="Y1628" s="1" t="s">
        <v>6590</v>
      </c>
    </row>
    <row r="1629">
      <c r="A1629" s="1">
        <v>7923813.0</v>
      </c>
      <c r="B1629" s="1" t="s">
        <v>6591</v>
      </c>
      <c r="C1629" s="1" t="s">
        <v>2342</v>
      </c>
      <c r="D1629" s="1" t="s">
        <v>2343</v>
      </c>
      <c r="E1629" s="1" t="s">
        <v>6592</v>
      </c>
      <c r="F1629" s="2" t="str">
        <f>"0061346144"</f>
        <v>0061346144</v>
      </c>
      <c r="G1629" s="2" t="str">
        <f>"9780061346149"</f>
        <v>9780061346149</v>
      </c>
      <c r="H1629" s="1" t="s">
        <v>2736</v>
      </c>
      <c r="I1629" s="1" t="s">
        <v>31</v>
      </c>
      <c r="J1629" s="1">
        <v>48.0</v>
      </c>
      <c r="K1629" s="1">
        <v>2010.0</v>
      </c>
      <c r="L1629" s="1">
        <v>2010.0</v>
      </c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 t="s">
        <v>68</v>
      </c>
      <c r="Y1629" s="1" t="s">
        <v>6593</v>
      </c>
    </row>
    <row r="1630">
      <c r="A1630" s="1">
        <v>2205918.0</v>
      </c>
      <c r="B1630" s="1" t="s">
        <v>6594</v>
      </c>
      <c r="C1630" s="1" t="s">
        <v>1323</v>
      </c>
      <c r="D1630" s="1" t="s">
        <v>1324</v>
      </c>
      <c r="F1630" s="2" t="str">
        <f>"0375812466"</f>
        <v>0375812466</v>
      </c>
      <c r="G1630" s="2" t="str">
        <f>"9780375812460"</f>
        <v>9780375812460</v>
      </c>
      <c r="H1630" s="1" t="s">
        <v>156</v>
      </c>
      <c r="I1630" s="1" t="s">
        <v>31</v>
      </c>
      <c r="J1630" s="1">
        <v>48.0</v>
      </c>
      <c r="K1630" s="1">
        <v>2001.0</v>
      </c>
      <c r="L1630" s="1">
        <v>2001.0</v>
      </c>
    </row>
    <row r="1631">
      <c r="A1631" s="1">
        <v>359240.0</v>
      </c>
      <c r="B1631" s="1" t="s">
        <v>6595</v>
      </c>
      <c r="C1631" s="1" t="s">
        <v>6596</v>
      </c>
      <c r="D1631" s="1" t="s">
        <v>6597</v>
      </c>
      <c r="E1631" s="1" t="s">
        <v>6598</v>
      </c>
      <c r="F1631" s="2" t="str">
        <f>"0590458132"</f>
        <v>0590458132</v>
      </c>
      <c r="G1631" s="2" t="str">
        <f>"9780590458139"</f>
        <v>9780590458139</v>
      </c>
      <c r="H1631" s="1" t="s">
        <v>86</v>
      </c>
      <c r="I1631" s="1" t="s">
        <v>36</v>
      </c>
      <c r="J1631" s="1">
        <v>48.0</v>
      </c>
      <c r="K1631" s="1">
        <v>1992.0</v>
      </c>
      <c r="L1631" s="1">
        <v>1992.0</v>
      </c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 t="s">
        <v>543</v>
      </c>
      <c r="Y1631" s="1" t="s">
        <v>6599</v>
      </c>
    </row>
    <row r="1632">
      <c r="A1632" s="1">
        <v>1.7265251E7</v>
      </c>
      <c r="B1632" s="1" t="s">
        <v>6600</v>
      </c>
      <c r="C1632" s="1" t="s">
        <v>6601</v>
      </c>
      <c r="D1632" s="1" t="s">
        <v>6602</v>
      </c>
      <c r="E1632" s="1" t="s">
        <v>149</v>
      </c>
      <c r="F1632" s="2" t="str">
        <f>"0545563232"</f>
        <v>0545563232</v>
      </c>
      <c r="G1632" s="2" t="str">
        <f>"9780545563239"</f>
        <v>9780545563239</v>
      </c>
      <c r="H1632" s="1" t="s">
        <v>2944</v>
      </c>
      <c r="I1632" s="1" t="s">
        <v>36</v>
      </c>
      <c r="J1632" s="1">
        <v>48.0</v>
      </c>
      <c r="K1632" s="1">
        <v>2013.0</v>
      </c>
      <c r="L1632" s="1">
        <v>2013.0</v>
      </c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 t="s">
        <v>1343</v>
      </c>
      <c r="Y1632" s="1" t="s">
        <v>6603</v>
      </c>
    </row>
    <row r="1633">
      <c r="A1633" s="1">
        <v>1943874.0</v>
      </c>
      <c r="B1633" s="1" t="s">
        <v>6604</v>
      </c>
      <c r="C1633" s="1" t="s">
        <v>149</v>
      </c>
      <c r="D1633" s="1" t="s">
        <v>150</v>
      </c>
      <c r="E1633" s="1" t="s">
        <v>6605</v>
      </c>
      <c r="F1633" s="2" t="str">
        <f>"0439193834"</f>
        <v>0439193834</v>
      </c>
      <c r="G1633" s="2" t="str">
        <f>"9780439193832"</f>
        <v>9780439193832</v>
      </c>
      <c r="H1633" s="1" t="s">
        <v>50</v>
      </c>
      <c r="I1633" s="1" t="s">
        <v>36</v>
      </c>
      <c r="J1633" s="1">
        <v>48.0</v>
      </c>
      <c r="K1633" s="1">
        <v>2002.0</v>
      </c>
      <c r="L1633" s="1">
        <v>2002.0</v>
      </c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 t="s">
        <v>1225</v>
      </c>
      <c r="Y1633" s="1" t="s">
        <v>6606</v>
      </c>
    </row>
    <row r="1634">
      <c r="A1634" s="1">
        <v>1.3586915E7</v>
      </c>
      <c r="B1634" s="1" t="s">
        <v>6607</v>
      </c>
      <c r="C1634" s="1" t="s">
        <v>6608</v>
      </c>
      <c r="D1634" s="1" t="s">
        <v>6609</v>
      </c>
      <c r="F1634" s="2" t="str">
        <f>"0545206383"</f>
        <v>0545206383</v>
      </c>
      <c r="G1634" s="2" t="str">
        <f>"9780545206389"</f>
        <v>9780545206389</v>
      </c>
      <c r="H1634" s="1" t="s">
        <v>2476</v>
      </c>
      <c r="I1634" s="1" t="s">
        <v>31</v>
      </c>
      <c r="J1634" s="1">
        <v>48.0</v>
      </c>
      <c r="K1634" s="1">
        <v>2012.0</v>
      </c>
      <c r="L1634" s="1">
        <v>2012.0</v>
      </c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 t="s">
        <v>131</v>
      </c>
      <c r="Y1634" s="1" t="s">
        <v>6610</v>
      </c>
    </row>
    <row r="1635">
      <c r="A1635" s="1">
        <v>58922.0</v>
      </c>
      <c r="B1635" s="1" t="s">
        <v>6611</v>
      </c>
      <c r="C1635" s="1" t="s">
        <v>1377</v>
      </c>
      <c r="D1635" s="1" t="s">
        <v>1378</v>
      </c>
      <c r="E1635" s="1" t="s">
        <v>2729</v>
      </c>
      <c r="F1635" s="2" t="str">
        <f>"0060775823"</f>
        <v>0060775823</v>
      </c>
      <c r="G1635" s="2" t="str">
        <f>"9780060775827"</f>
        <v>9780060775827</v>
      </c>
      <c r="H1635" s="1" t="s">
        <v>290</v>
      </c>
      <c r="I1635" s="1" t="s">
        <v>31</v>
      </c>
      <c r="J1635" s="1">
        <v>48.0</v>
      </c>
      <c r="K1635" s="1">
        <v>2005.0</v>
      </c>
      <c r="L1635" s="1">
        <v>1942.0</v>
      </c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 t="s">
        <v>2254</v>
      </c>
      <c r="Y1635" s="1" t="s">
        <v>6612</v>
      </c>
    </row>
    <row r="1636">
      <c r="A1636" s="1">
        <v>2156446.0</v>
      </c>
      <c r="B1636" s="1" t="s">
        <v>6613</v>
      </c>
      <c r="C1636" s="1" t="s">
        <v>6614</v>
      </c>
      <c r="D1636" s="1" t="s">
        <v>6615</v>
      </c>
      <c r="E1636" s="1" t="s">
        <v>6616</v>
      </c>
      <c r="F1636" s="2" t="str">
        <f>"1579121004"</f>
        <v>1579121004</v>
      </c>
      <c r="G1636" s="2" t="str">
        <f>"9781579121006"</f>
        <v>9781579121006</v>
      </c>
      <c r="H1636" s="1" t="s">
        <v>6617</v>
      </c>
      <c r="I1636" s="1" t="s">
        <v>31</v>
      </c>
      <c r="J1636" s="1">
        <v>48.0</v>
      </c>
      <c r="K1636" s="1">
        <v>2000.0</v>
      </c>
      <c r="L1636" s="1">
        <v>2000.0</v>
      </c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 t="s">
        <v>6618</v>
      </c>
      <c r="Y1636" s="1" t="s">
        <v>6619</v>
      </c>
    </row>
    <row r="1637">
      <c r="A1637" s="1">
        <v>2618410.0</v>
      </c>
      <c r="B1637" s="1" t="s">
        <v>6620</v>
      </c>
      <c r="C1637" s="1" t="s">
        <v>6614</v>
      </c>
      <c r="D1637" s="1" t="s">
        <v>6615</v>
      </c>
      <c r="E1637" s="1" t="s">
        <v>6616</v>
      </c>
      <c r="F1637" s="2" t="str">
        <f>"1579121020"</f>
        <v>1579121020</v>
      </c>
      <c r="G1637" s="2" t="str">
        <f>"9781579121020"</f>
        <v>9781579121020</v>
      </c>
      <c r="H1637" s="1" t="s">
        <v>6617</v>
      </c>
      <c r="I1637" s="1" t="s">
        <v>31</v>
      </c>
      <c r="J1637" s="1">
        <v>48.0</v>
      </c>
      <c r="K1637" s="1">
        <v>2000.0</v>
      </c>
      <c r="L1637" s="1">
        <v>2000.0</v>
      </c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 t="s">
        <v>6621</v>
      </c>
      <c r="Y1637" s="1" t="s">
        <v>6622</v>
      </c>
    </row>
    <row r="1638">
      <c r="A1638" s="1">
        <v>1422107.0</v>
      </c>
      <c r="B1638" s="1" t="s">
        <v>6623</v>
      </c>
      <c r="C1638" s="1" t="s">
        <v>6564</v>
      </c>
      <c r="D1638" s="1" t="s">
        <v>6565</v>
      </c>
      <c r="F1638" s="2" t="str">
        <f>"8426134459"</f>
        <v>8426134459</v>
      </c>
      <c r="G1638" s="2" t="str">
        <f>"9788426134455"</f>
        <v>9788426134455</v>
      </c>
      <c r="H1638" s="1" t="s">
        <v>5345</v>
      </c>
      <c r="I1638" s="1" t="s">
        <v>31</v>
      </c>
      <c r="J1638" s="1">
        <v>48.0</v>
      </c>
      <c r="K1638" s="1">
        <v>2005.0</v>
      </c>
      <c r="L1638" s="1">
        <v>2004.0</v>
      </c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 t="s">
        <v>109</v>
      </c>
      <c r="Y1638" s="1" t="s">
        <v>6624</v>
      </c>
    </row>
    <row r="1639">
      <c r="A1639" s="1">
        <v>5.0809651E7</v>
      </c>
      <c r="B1639" s="1" t="s">
        <v>6625</v>
      </c>
      <c r="C1639" s="1" t="s">
        <v>6626</v>
      </c>
      <c r="D1639" s="1" t="s">
        <v>6627</v>
      </c>
      <c r="F1639" s="2" t="str">
        <f>"0531130797"</f>
        <v>0531130797</v>
      </c>
      <c r="G1639" s="2" t="str">
        <f>"9780531130797"</f>
        <v>9780531130797</v>
      </c>
      <c r="H1639" s="1" t="s">
        <v>1614</v>
      </c>
      <c r="I1639" s="1" t="s">
        <v>31</v>
      </c>
      <c r="J1639" s="1">
        <v>48.0</v>
      </c>
      <c r="K1639" s="1">
        <v>2020.0</v>
      </c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 t="s">
        <v>1466</v>
      </c>
      <c r="Y1639" s="1" t="s">
        <v>6628</v>
      </c>
    </row>
    <row r="1640">
      <c r="A1640" s="1">
        <v>5.0809609E7</v>
      </c>
      <c r="B1640" s="1" t="s">
        <v>6629</v>
      </c>
      <c r="C1640" s="1" t="s">
        <v>6630</v>
      </c>
      <c r="D1640" s="1" t="s">
        <v>6631</v>
      </c>
      <c r="F1640" s="2" t="str">
        <f>"0531133427"</f>
        <v>0531133427</v>
      </c>
      <c r="G1640" s="2" t="str">
        <f>"9780531133422"</f>
        <v>9780531133422</v>
      </c>
      <c r="H1640" s="1" t="s">
        <v>1614</v>
      </c>
      <c r="I1640" s="1" t="s">
        <v>36</v>
      </c>
      <c r="J1640" s="1">
        <v>48.0</v>
      </c>
      <c r="K1640" s="1">
        <v>2020.0</v>
      </c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 t="s">
        <v>1466</v>
      </c>
      <c r="Y1640" s="1" t="s">
        <v>6632</v>
      </c>
    </row>
    <row r="1641">
      <c r="A1641" s="1">
        <v>2.3655257E7</v>
      </c>
      <c r="B1641" s="1" t="s">
        <v>6633</v>
      </c>
      <c r="C1641" s="1" t="s">
        <v>6634</v>
      </c>
      <c r="D1641" s="1" t="s">
        <v>6635</v>
      </c>
      <c r="E1641" s="1" t="s">
        <v>6636</v>
      </c>
      <c r="F1641" s="2" t="str">
        <f>"1619891123"</f>
        <v>1619891123</v>
      </c>
      <c r="G1641" s="2" t="str">
        <f>"9781619891128"</f>
        <v>9781619891128</v>
      </c>
      <c r="H1641" s="1" t="s">
        <v>6637</v>
      </c>
      <c r="I1641" s="1" t="s">
        <v>31</v>
      </c>
      <c r="J1641" s="1">
        <v>48.0</v>
      </c>
      <c r="K1641" s="1">
        <v>2014.0</v>
      </c>
      <c r="L1641" s="1">
        <v>2014.0</v>
      </c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 t="s">
        <v>863</v>
      </c>
      <c r="Y1641" s="1" t="s">
        <v>6638</v>
      </c>
    </row>
    <row r="1642">
      <c r="A1642" s="1">
        <v>4479939.0</v>
      </c>
      <c r="B1642" s="1" t="s">
        <v>6639</v>
      </c>
      <c r="C1642" s="1" t="s">
        <v>747</v>
      </c>
      <c r="D1642" s="1" t="s">
        <v>748</v>
      </c>
      <c r="E1642" s="1" t="s">
        <v>5869</v>
      </c>
      <c r="F1642" s="2" t="str">
        <f>"0590414305"</f>
        <v>0590414305</v>
      </c>
      <c r="G1642" s="2" t="str">
        <f>"9780590414302"</f>
        <v>9780590414302</v>
      </c>
      <c r="H1642" s="1" t="s">
        <v>817</v>
      </c>
      <c r="I1642" s="1" t="s">
        <v>91</v>
      </c>
      <c r="J1642" s="1">
        <v>48.0</v>
      </c>
      <c r="K1642" s="1">
        <v>1992.0</v>
      </c>
      <c r="L1642" s="1">
        <v>1992.0</v>
      </c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 t="s">
        <v>2238</v>
      </c>
      <c r="Y1642" s="1" t="s">
        <v>6640</v>
      </c>
    </row>
    <row r="1643">
      <c r="A1643" s="1">
        <v>110956.0</v>
      </c>
      <c r="B1643" s="1" t="s">
        <v>6641</v>
      </c>
      <c r="C1643" s="1" t="s">
        <v>747</v>
      </c>
      <c r="D1643" s="1" t="s">
        <v>748</v>
      </c>
      <c r="E1643" s="1" t="s">
        <v>5869</v>
      </c>
      <c r="F1643" s="2" t="str">
        <f>"0590446983"</f>
        <v>0590446983</v>
      </c>
      <c r="G1643" s="2" t="str">
        <f>"9780590446983"</f>
        <v>9780590446983</v>
      </c>
      <c r="H1643" s="1" t="s">
        <v>2944</v>
      </c>
      <c r="I1643" s="1" t="s">
        <v>36</v>
      </c>
      <c r="J1643" s="1">
        <v>48.0</v>
      </c>
      <c r="K1643" s="1">
        <v>2001.0</v>
      </c>
      <c r="L1643" s="1">
        <v>1999.0</v>
      </c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 t="s">
        <v>116</v>
      </c>
      <c r="Y1643" s="1" t="s">
        <v>6642</v>
      </c>
    </row>
    <row r="1644">
      <c r="A1644" s="1">
        <v>2066264.0</v>
      </c>
      <c r="B1644" s="1" t="s">
        <v>6643</v>
      </c>
      <c r="C1644" s="1" t="s">
        <v>747</v>
      </c>
      <c r="D1644" s="1" t="s">
        <v>748</v>
      </c>
      <c r="F1644" s="2" t="str">
        <f>"0590446886"</f>
        <v>0590446886</v>
      </c>
      <c r="G1644" s="2" t="str">
        <f>"9780590446884"</f>
        <v>9780590446884</v>
      </c>
      <c r="H1644" s="1" t="s">
        <v>50</v>
      </c>
      <c r="I1644" s="1" t="s">
        <v>36</v>
      </c>
      <c r="J1644" s="1">
        <v>48.0</v>
      </c>
      <c r="K1644" s="1">
        <v>1994.0</v>
      </c>
      <c r="L1644" s="1">
        <v>1994.0</v>
      </c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 t="s">
        <v>116</v>
      </c>
      <c r="Y1644" s="1" t="s">
        <v>6644</v>
      </c>
    </row>
    <row r="1645">
      <c r="A1645" s="1">
        <v>859077.0</v>
      </c>
      <c r="B1645" s="1" t="s">
        <v>6645</v>
      </c>
      <c r="C1645" s="1" t="s">
        <v>747</v>
      </c>
      <c r="D1645" s="1" t="s">
        <v>748</v>
      </c>
      <c r="E1645" s="1" t="s">
        <v>6646</v>
      </c>
      <c r="F1645" s="2" t="str">
        <f>"0394874714"</f>
        <v>0394874714</v>
      </c>
      <c r="G1645" s="2" t="str">
        <f>"9780394874715"</f>
        <v>9780394874715</v>
      </c>
      <c r="H1645" s="1" t="s">
        <v>1565</v>
      </c>
      <c r="I1645" s="1" t="s">
        <v>36</v>
      </c>
      <c r="J1645" s="1">
        <v>48.0</v>
      </c>
      <c r="K1645" s="1">
        <v>1986.0</v>
      </c>
      <c r="L1645" s="1">
        <v>1986.0</v>
      </c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 t="s">
        <v>6647</v>
      </c>
      <c r="Y1645" s="1" t="s">
        <v>6648</v>
      </c>
    </row>
    <row r="1646">
      <c r="A1646" s="1">
        <v>4.4097162E7</v>
      </c>
      <c r="B1646" s="1" t="s">
        <v>6649</v>
      </c>
      <c r="C1646" s="1" t="s">
        <v>849</v>
      </c>
      <c r="D1646" s="1" t="s">
        <v>850</v>
      </c>
      <c r="F1646" s="2" t="str">
        <f>"8416548862"</f>
        <v>8416548862</v>
      </c>
      <c r="G1646" s="2" t="str">
        <f>"9788416548866"</f>
        <v>9788416548866</v>
      </c>
      <c r="H1646" s="1" t="s">
        <v>6650</v>
      </c>
      <c r="I1646" s="1" t="s">
        <v>36</v>
      </c>
      <c r="J1646" s="1">
        <v>48.0</v>
      </c>
      <c r="K1646" s="1">
        <v>2017.0</v>
      </c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 t="s">
        <v>61</v>
      </c>
      <c r="Y1646" s="1" t="s">
        <v>6651</v>
      </c>
    </row>
    <row r="1647">
      <c r="A1647" s="1">
        <v>74749.0</v>
      </c>
      <c r="B1647" s="1" t="s">
        <v>6652</v>
      </c>
      <c r="C1647" s="1" t="s">
        <v>6653</v>
      </c>
      <c r="D1647" s="1" t="s">
        <v>6654</v>
      </c>
      <c r="E1647" s="1" t="s">
        <v>6655</v>
      </c>
      <c r="F1647" s="2" t="str">
        <f>"0375825673"</f>
        <v>0375825673</v>
      </c>
      <c r="G1647" s="2" t="str">
        <f>"9780375825675"</f>
        <v>9780375825675</v>
      </c>
      <c r="H1647" s="1" t="s">
        <v>5755</v>
      </c>
      <c r="I1647" s="1" t="s">
        <v>36</v>
      </c>
      <c r="J1647" s="1">
        <v>48.0</v>
      </c>
      <c r="K1647" s="1">
        <v>2003.0</v>
      </c>
      <c r="L1647" s="1">
        <v>1994.0</v>
      </c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 t="s">
        <v>742</v>
      </c>
      <c r="Y1647" s="1" t="s">
        <v>6656</v>
      </c>
    </row>
    <row r="1648">
      <c r="A1648" s="1">
        <v>5.0958306E7</v>
      </c>
      <c r="B1648" s="1" t="s">
        <v>6657</v>
      </c>
      <c r="C1648" s="1" t="s">
        <v>6658</v>
      </c>
      <c r="D1648" s="1" t="s">
        <v>6659</v>
      </c>
      <c r="F1648" s="2" t="str">
        <f>"1641525258"</f>
        <v>1641525258</v>
      </c>
      <c r="G1648" s="2" t="str">
        <f>"9781641525251"</f>
        <v>9781641525251</v>
      </c>
      <c r="H1648" s="1" t="s">
        <v>6660</v>
      </c>
      <c r="I1648" s="1" t="s">
        <v>36</v>
      </c>
      <c r="J1648" s="1">
        <v>48.0</v>
      </c>
      <c r="K1648" s="1">
        <v>2019.0</v>
      </c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 t="s">
        <v>1024</v>
      </c>
      <c r="Y1648" s="1" t="s">
        <v>6661</v>
      </c>
    </row>
    <row r="1649">
      <c r="A1649" s="1">
        <v>2.3310161E7</v>
      </c>
      <c r="B1649" s="1" t="s">
        <v>6662</v>
      </c>
      <c r="C1649" s="1" t="s">
        <v>2251</v>
      </c>
      <c r="D1649" s="1" t="s">
        <v>2252</v>
      </c>
      <c r="E1649" s="1" t="s">
        <v>314</v>
      </c>
      <c r="F1649" s="2" t="str">
        <f>"0399172750"</f>
        <v>0399172750</v>
      </c>
      <c r="G1649" s="2" t="str">
        <f>"9780399172755"</f>
        <v>9780399172755</v>
      </c>
      <c r="H1649" s="1" t="s">
        <v>2253</v>
      </c>
      <c r="I1649" s="1" t="s">
        <v>31</v>
      </c>
      <c r="J1649" s="1">
        <v>48.0</v>
      </c>
      <c r="K1649" s="1">
        <v>2015.0</v>
      </c>
      <c r="L1649" s="1">
        <v>2015.0</v>
      </c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 t="s">
        <v>2254</v>
      </c>
      <c r="Y1649" s="1" t="s">
        <v>6663</v>
      </c>
    </row>
    <row r="1650">
      <c r="A1650" s="1">
        <v>5.082694E7</v>
      </c>
      <c r="B1650" s="1" t="s">
        <v>6664</v>
      </c>
      <c r="C1650" s="1" t="s">
        <v>6665</v>
      </c>
      <c r="D1650" s="1" t="s">
        <v>6666</v>
      </c>
      <c r="F1650" s="2" t="str">
        <f>"0531131718"</f>
        <v>0531131718</v>
      </c>
      <c r="G1650" s="2" t="str">
        <f>"9780531131718"</f>
        <v>9780531131718</v>
      </c>
      <c r="H1650" s="1" t="s">
        <v>1614</v>
      </c>
      <c r="I1650" s="1" t="s">
        <v>31</v>
      </c>
      <c r="J1650" s="1">
        <v>48.0</v>
      </c>
      <c r="K1650" s="1">
        <v>2020.0</v>
      </c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 t="s">
        <v>1466</v>
      </c>
      <c r="Y1650" s="1" t="s">
        <v>6667</v>
      </c>
    </row>
    <row r="1651">
      <c r="A1651" s="1">
        <v>1879418.0</v>
      </c>
      <c r="B1651" s="1" t="s">
        <v>6668</v>
      </c>
      <c r="C1651" s="1" t="s">
        <v>6669</v>
      </c>
      <c r="D1651" s="1" t="s">
        <v>6670</v>
      </c>
      <c r="E1651" s="1" t="s">
        <v>6671</v>
      </c>
      <c r="F1651" s="2" t="str">
        <f>"0679861998"</f>
        <v>0679861998</v>
      </c>
      <c r="G1651" s="2" t="str">
        <f>"9780679861997"</f>
        <v>9780679861997</v>
      </c>
      <c r="H1651" s="1" t="s">
        <v>156</v>
      </c>
      <c r="I1651" s="1" t="s">
        <v>36</v>
      </c>
      <c r="J1651" s="1">
        <v>48.0</v>
      </c>
      <c r="K1651" s="1">
        <v>1995.0</v>
      </c>
      <c r="L1651" s="1">
        <v>1995.0</v>
      </c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 t="s">
        <v>863</v>
      </c>
      <c r="Y1651" s="1" t="s">
        <v>6672</v>
      </c>
    </row>
    <row r="1652">
      <c r="A1652" s="1">
        <v>1.7267364E7</v>
      </c>
      <c r="B1652" s="1" t="s">
        <v>6673</v>
      </c>
      <c r="C1652" s="1" t="s">
        <v>6674</v>
      </c>
      <c r="D1652" s="1" t="s">
        <v>6675</v>
      </c>
      <c r="F1652" s="2" t="str">
        <f>"146540869X"</f>
        <v>146540869X</v>
      </c>
      <c r="G1652" s="2" t="str">
        <f>"9781465408693"</f>
        <v>9781465408693</v>
      </c>
      <c r="H1652" s="1" t="s">
        <v>1089</v>
      </c>
      <c r="I1652" s="1" t="s">
        <v>36</v>
      </c>
      <c r="J1652" s="1">
        <v>48.0</v>
      </c>
      <c r="K1652" s="1">
        <v>2013.0</v>
      </c>
      <c r="L1652" s="1">
        <v>2013.0</v>
      </c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 t="s">
        <v>1179</v>
      </c>
      <c r="Y1652" s="1" t="s">
        <v>6676</v>
      </c>
    </row>
    <row r="1653">
      <c r="A1653" s="1">
        <v>5.0809646E7</v>
      </c>
      <c r="B1653" s="1" t="s">
        <v>6677</v>
      </c>
      <c r="C1653" s="1" t="s">
        <v>6678</v>
      </c>
      <c r="D1653" s="1" t="s">
        <v>6679</v>
      </c>
      <c r="F1653" s="2" t="str">
        <f>"0531130800"</f>
        <v>0531130800</v>
      </c>
      <c r="G1653" s="2" t="str">
        <f>"9780531130803"</f>
        <v>9780531130803</v>
      </c>
      <c r="H1653" s="1" t="s">
        <v>1614</v>
      </c>
      <c r="I1653" s="1" t="s">
        <v>31</v>
      </c>
      <c r="J1653" s="1">
        <v>48.0</v>
      </c>
      <c r="K1653" s="1">
        <v>2020.0</v>
      </c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 t="s">
        <v>1195</v>
      </c>
      <c r="Y1653" s="1" t="s">
        <v>6680</v>
      </c>
    </row>
    <row r="1654">
      <c r="A1654" s="1">
        <v>8.0338391E7</v>
      </c>
      <c r="B1654" s="1" t="s">
        <v>6681</v>
      </c>
      <c r="C1654" s="1" t="s">
        <v>1074</v>
      </c>
      <c r="D1654" s="1" t="s">
        <v>6682</v>
      </c>
      <c r="F1654" s="2" t="str">
        <f>"1633469670"</f>
        <v>1633469670</v>
      </c>
      <c r="G1654" s="2" t="str">
        <f>"9781633469679"</f>
        <v>9781633469679</v>
      </c>
      <c r="H1654" s="1" t="s">
        <v>6683</v>
      </c>
      <c r="I1654" s="1" t="s">
        <v>6684</v>
      </c>
      <c r="J1654" s="1">
        <v>48.0</v>
      </c>
      <c r="K1654" s="1">
        <v>2014.0</v>
      </c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 t="s">
        <v>380</v>
      </c>
      <c r="Y1654" s="1" t="s">
        <v>6685</v>
      </c>
    </row>
    <row r="1655">
      <c r="A1655" s="1">
        <v>466881.0</v>
      </c>
      <c r="B1655" s="1" t="s">
        <v>6686</v>
      </c>
      <c r="C1655" s="1" t="s">
        <v>6498</v>
      </c>
      <c r="D1655" s="1" t="s">
        <v>6499</v>
      </c>
      <c r="F1655" s="2" t="str">
        <f>"1416917381"</f>
        <v>1416917381</v>
      </c>
      <c r="G1655" s="2" t="str">
        <f>"9781416917380"</f>
        <v>9781416917380</v>
      </c>
      <c r="H1655" s="1" t="s">
        <v>6687</v>
      </c>
      <c r="I1655" s="1" t="s">
        <v>31</v>
      </c>
      <c r="J1655" s="1">
        <v>48.0</v>
      </c>
      <c r="K1655" s="1">
        <v>2006.0</v>
      </c>
      <c r="L1655" s="1">
        <v>2006.0</v>
      </c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 t="s">
        <v>370</v>
      </c>
      <c r="Y1655" s="1" t="s">
        <v>6688</v>
      </c>
    </row>
    <row r="1656">
      <c r="A1656" s="1">
        <v>2.5785698E7</v>
      </c>
      <c r="B1656" s="1" t="s">
        <v>6689</v>
      </c>
      <c r="C1656" s="1" t="s">
        <v>6690</v>
      </c>
      <c r="D1656" s="1" t="s">
        <v>6691</v>
      </c>
      <c r="E1656" s="1" t="s">
        <v>6692</v>
      </c>
      <c r="F1656" s="2" t="str">
        <f>"1481439782"</f>
        <v>1481439782</v>
      </c>
      <c r="G1656" s="2" t="str">
        <f>"9781481439787"</f>
        <v>9781481439787</v>
      </c>
      <c r="H1656" s="1" t="s">
        <v>3030</v>
      </c>
      <c r="I1656" s="1" t="s">
        <v>31</v>
      </c>
      <c r="J1656" s="1">
        <v>48.0</v>
      </c>
      <c r="K1656" s="1">
        <v>2016.0</v>
      </c>
      <c r="L1656" s="1">
        <v>2016.0</v>
      </c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 t="s">
        <v>2254</v>
      </c>
      <c r="Y1656" s="1" t="s">
        <v>6693</v>
      </c>
    </row>
    <row r="1657">
      <c r="A1657" s="1">
        <v>5.4883652E7</v>
      </c>
      <c r="B1657" s="1" t="s">
        <v>6694</v>
      </c>
      <c r="C1657" s="1" t="s">
        <v>6690</v>
      </c>
      <c r="D1657" s="1" t="s">
        <v>6691</v>
      </c>
      <c r="E1657" s="1" t="s">
        <v>6692</v>
      </c>
      <c r="F1657" s="2" t="str">
        <f>"1534457623"</f>
        <v>1534457623</v>
      </c>
      <c r="G1657" s="2" t="str">
        <f>"9781534457621"</f>
        <v>9781534457621</v>
      </c>
      <c r="H1657" s="1" t="s">
        <v>3030</v>
      </c>
      <c r="I1657" s="1" t="s">
        <v>31</v>
      </c>
      <c r="J1657" s="1">
        <v>48.0</v>
      </c>
      <c r="K1657" s="1">
        <v>2021.0</v>
      </c>
      <c r="L1657" s="1">
        <v>2021.0</v>
      </c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 t="s">
        <v>2254</v>
      </c>
      <c r="Y1657" s="1" t="s">
        <v>6695</v>
      </c>
    </row>
    <row r="1658">
      <c r="A1658" s="1">
        <v>5.2481275E7</v>
      </c>
      <c r="B1658" s="1" t="s">
        <v>6696</v>
      </c>
      <c r="C1658" s="1" t="s">
        <v>6697</v>
      </c>
      <c r="D1658" s="1" t="s">
        <v>6698</v>
      </c>
      <c r="F1658" s="2" t="str">
        <f>"0531130754"</f>
        <v>0531130754</v>
      </c>
      <c r="G1658" s="2" t="str">
        <f>"9780531130759"</f>
        <v>9780531130759</v>
      </c>
      <c r="H1658" s="1" t="s">
        <v>1614</v>
      </c>
      <c r="I1658" s="1" t="s">
        <v>31</v>
      </c>
      <c r="J1658" s="1">
        <v>48.0</v>
      </c>
      <c r="K1658" s="1">
        <v>2020.0</v>
      </c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 t="s">
        <v>116</v>
      </c>
      <c r="Y1658" s="1" t="s">
        <v>6699</v>
      </c>
    </row>
    <row r="1659">
      <c r="A1659" s="1">
        <v>2.360263E7</v>
      </c>
      <c r="B1659" s="1" t="s">
        <v>6700</v>
      </c>
      <c r="C1659" s="1" t="s">
        <v>6701</v>
      </c>
      <c r="D1659" s="1" t="s">
        <v>6702</v>
      </c>
      <c r="F1659" s="2" t="str">
        <f>"1426321333"</f>
        <v>1426321333</v>
      </c>
      <c r="G1659" s="2" t="str">
        <f>"9781426321337"</f>
        <v>9781426321337</v>
      </c>
      <c r="H1659" s="1" t="s">
        <v>1490</v>
      </c>
      <c r="I1659" s="1" t="s">
        <v>36</v>
      </c>
      <c r="J1659" s="1">
        <v>48.0</v>
      </c>
      <c r="K1659" s="1">
        <v>2015.0</v>
      </c>
      <c r="L1659" s="1">
        <v>2015.0</v>
      </c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 t="s">
        <v>629</v>
      </c>
      <c r="Y1659" s="1" t="s">
        <v>6703</v>
      </c>
    </row>
    <row r="1660">
      <c r="A1660" s="1">
        <v>1.0004033E7</v>
      </c>
      <c r="B1660" s="1" t="s">
        <v>6704</v>
      </c>
      <c r="C1660" s="1" t="s">
        <v>3415</v>
      </c>
      <c r="D1660" s="1" t="s">
        <v>3416</v>
      </c>
      <c r="F1660" s="2" t="str">
        <f>"0547370180"</f>
        <v>0547370180</v>
      </c>
      <c r="G1660" s="2" t="str">
        <f>"9780547370187"</f>
        <v>9780547370187</v>
      </c>
      <c r="H1660" s="1" t="s">
        <v>1710</v>
      </c>
      <c r="I1660" s="1" t="s">
        <v>31</v>
      </c>
      <c r="J1660" s="1">
        <v>48.0</v>
      </c>
      <c r="K1660" s="1">
        <v>2011.0</v>
      </c>
      <c r="L1660" s="1">
        <v>1973.0</v>
      </c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 t="s">
        <v>212</v>
      </c>
      <c r="Y1660" s="1" t="s">
        <v>6705</v>
      </c>
    </row>
    <row r="1661">
      <c r="A1661" s="1">
        <v>96125.0</v>
      </c>
      <c r="B1661" s="1" t="s">
        <v>6706</v>
      </c>
      <c r="C1661" s="1" t="s">
        <v>6707</v>
      </c>
      <c r="D1661" s="1" t="s">
        <v>6708</v>
      </c>
      <c r="E1661" s="1" t="s">
        <v>5548</v>
      </c>
      <c r="F1661" s="2" t="str">
        <f>"0399243178"</f>
        <v>0399243178</v>
      </c>
      <c r="G1661" s="2" t="str">
        <f>"9780399243172"</f>
        <v>9780399243172</v>
      </c>
      <c r="H1661" s="1" t="s">
        <v>2253</v>
      </c>
      <c r="I1661" s="1" t="s">
        <v>31</v>
      </c>
      <c r="J1661" s="1">
        <v>48.0</v>
      </c>
      <c r="K1661" s="1">
        <v>2012.0</v>
      </c>
      <c r="L1661" s="1">
        <v>2000.0</v>
      </c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 t="s">
        <v>6709</v>
      </c>
      <c r="Y1661" s="1" t="s">
        <v>6710</v>
      </c>
    </row>
    <row r="1662">
      <c r="A1662" s="1">
        <v>1.8640489E7</v>
      </c>
      <c r="B1662" s="1" t="s">
        <v>6711</v>
      </c>
      <c r="C1662" s="1" t="s">
        <v>3503</v>
      </c>
      <c r="D1662" s="1" t="s">
        <v>3504</v>
      </c>
      <c r="F1662" s="2" t="str">
        <f>"1465420304"</f>
        <v>1465420304</v>
      </c>
      <c r="G1662" s="2" t="str">
        <f>"9781465420305"</f>
        <v>9781465420305</v>
      </c>
      <c r="H1662" s="1" t="s">
        <v>1089</v>
      </c>
      <c r="I1662" s="1" t="s">
        <v>31</v>
      </c>
      <c r="J1662" s="1">
        <v>48.0</v>
      </c>
      <c r="K1662" s="1">
        <v>2014.0</v>
      </c>
      <c r="L1662" s="1">
        <v>2014.0</v>
      </c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 t="s">
        <v>1179</v>
      </c>
      <c r="Y1662" s="1" t="s">
        <v>6712</v>
      </c>
    </row>
    <row r="1663">
      <c r="A1663" s="1">
        <v>5.0809653E7</v>
      </c>
      <c r="B1663" s="1" t="s">
        <v>6713</v>
      </c>
      <c r="C1663" s="1" t="s">
        <v>6714</v>
      </c>
      <c r="D1663" s="1" t="s">
        <v>6715</v>
      </c>
      <c r="F1663" s="2" t="str">
        <f>"0531133419"</f>
        <v>0531133419</v>
      </c>
      <c r="G1663" s="2" t="str">
        <f>"9780531133415"</f>
        <v>9780531133415</v>
      </c>
      <c r="H1663" s="1" t="s">
        <v>1614</v>
      </c>
      <c r="I1663" s="1" t="s">
        <v>36</v>
      </c>
      <c r="J1663" s="1">
        <v>48.0</v>
      </c>
      <c r="K1663" s="1">
        <v>2020.0</v>
      </c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 t="s">
        <v>1466</v>
      </c>
      <c r="Y1663" s="1" t="s">
        <v>6716</v>
      </c>
    </row>
    <row r="1664">
      <c r="A1664" s="1">
        <v>4.4575188E7</v>
      </c>
      <c r="B1664" s="1" t="s">
        <v>6717</v>
      </c>
      <c r="C1664" s="1" t="s">
        <v>6718</v>
      </c>
      <c r="D1664" s="1" t="s">
        <v>6719</v>
      </c>
      <c r="E1664" s="1" t="s">
        <v>6720</v>
      </c>
      <c r="F1664" s="2" t="str">
        <f>"1338340115"</f>
        <v>1338340115</v>
      </c>
      <c r="G1664" s="2" t="str">
        <f>"9781338340112"</f>
        <v>9781338340112</v>
      </c>
      <c r="H1664" s="1" t="s">
        <v>817</v>
      </c>
      <c r="I1664" s="1" t="s">
        <v>91</v>
      </c>
      <c r="J1664" s="1">
        <v>48.0</v>
      </c>
      <c r="K1664" s="1">
        <v>2020.0</v>
      </c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 t="s">
        <v>250</v>
      </c>
      <c r="Y1664" s="1" t="s">
        <v>6721</v>
      </c>
    </row>
    <row r="1665">
      <c r="A1665" s="1">
        <v>4.3319645E7</v>
      </c>
      <c r="B1665" s="1" t="s">
        <v>6722</v>
      </c>
      <c r="C1665" s="1" t="s">
        <v>6718</v>
      </c>
      <c r="D1665" s="1" t="s">
        <v>6719</v>
      </c>
      <c r="E1665" s="1" t="s">
        <v>6720</v>
      </c>
      <c r="F1665" s="2" t="str">
        <f>"1338339982"</f>
        <v>1338339982</v>
      </c>
      <c r="G1665" s="2" t="str">
        <f>"9781338339987"</f>
        <v>9781338339987</v>
      </c>
      <c r="H1665" s="1" t="s">
        <v>817</v>
      </c>
      <c r="I1665" s="1" t="s">
        <v>36</v>
      </c>
      <c r="J1665" s="1">
        <v>48.0</v>
      </c>
      <c r="K1665" s="1">
        <v>2019.0</v>
      </c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 t="s">
        <v>250</v>
      </c>
      <c r="Y1665" s="1" t="s">
        <v>6723</v>
      </c>
    </row>
    <row r="1666">
      <c r="A1666" s="1">
        <v>2916186.0</v>
      </c>
      <c r="B1666" s="1" t="s">
        <v>6724</v>
      </c>
      <c r="C1666" s="1" t="s">
        <v>6725</v>
      </c>
      <c r="D1666" s="1" t="s">
        <v>6726</v>
      </c>
      <c r="E1666" s="1" t="s">
        <v>5853</v>
      </c>
      <c r="F1666" s="2" t="str">
        <f>"1416971440"</f>
        <v>1416971440</v>
      </c>
      <c r="G1666" s="2" t="str">
        <f>"9781416971443"</f>
        <v>9781416971443</v>
      </c>
      <c r="H1666" s="1" t="s">
        <v>3030</v>
      </c>
      <c r="I1666" s="1" t="s">
        <v>31</v>
      </c>
      <c r="J1666" s="1">
        <v>48.0</v>
      </c>
      <c r="K1666" s="1">
        <v>2008.0</v>
      </c>
      <c r="L1666" s="1">
        <v>2008.0</v>
      </c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 t="s">
        <v>742</v>
      </c>
      <c r="Y1666" s="1" t="s">
        <v>6727</v>
      </c>
    </row>
    <row r="1667">
      <c r="A1667" s="1">
        <v>5.0792127E7</v>
      </c>
      <c r="B1667" s="1" t="s">
        <v>6728</v>
      </c>
      <c r="C1667" s="1" t="s">
        <v>6729</v>
      </c>
      <c r="D1667" s="1" t="s">
        <v>6730</v>
      </c>
      <c r="F1667" s="2" t="str">
        <f>"0531133761"</f>
        <v>0531133761</v>
      </c>
      <c r="G1667" s="2" t="str">
        <f>"9780531133767"</f>
        <v>9780531133767</v>
      </c>
      <c r="H1667" s="1" t="s">
        <v>1614</v>
      </c>
      <c r="I1667" s="1" t="s">
        <v>36</v>
      </c>
      <c r="J1667" s="1">
        <v>48.0</v>
      </c>
      <c r="K1667" s="1">
        <v>2020.0</v>
      </c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 t="s">
        <v>116</v>
      </c>
      <c r="Y1667" s="1" t="s">
        <v>6731</v>
      </c>
    </row>
    <row r="1668">
      <c r="A1668" s="1">
        <v>5.4776171E7</v>
      </c>
      <c r="B1668" s="1" t="s">
        <v>6732</v>
      </c>
      <c r="C1668" s="1" t="s">
        <v>6733</v>
      </c>
      <c r="D1668" s="1" t="s">
        <v>6734</v>
      </c>
      <c r="E1668" s="1" t="s">
        <v>6735</v>
      </c>
      <c r="F1668" s="2" t="str">
        <f>"1419750917"</f>
        <v>1419750917</v>
      </c>
      <c r="G1668" s="2" t="str">
        <f>"9781419750915"</f>
        <v>9781419750915</v>
      </c>
      <c r="H1668" s="1" t="s">
        <v>145</v>
      </c>
      <c r="I1668" s="1" t="s">
        <v>31</v>
      </c>
      <c r="J1668" s="1">
        <v>48.0</v>
      </c>
      <c r="K1668" s="1">
        <v>2021.0</v>
      </c>
      <c r="L1668" s="1">
        <v>2021.0</v>
      </c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 t="s">
        <v>2298</v>
      </c>
      <c r="Y1668" s="1" t="s">
        <v>6736</v>
      </c>
    </row>
    <row r="1669">
      <c r="A1669" s="1">
        <v>4.4077268E7</v>
      </c>
      <c r="B1669" s="1" t="s">
        <v>6737</v>
      </c>
      <c r="C1669" s="1" t="s">
        <v>6738</v>
      </c>
      <c r="D1669" s="1" t="s">
        <v>6739</v>
      </c>
      <c r="E1669" s="1" t="s">
        <v>6740</v>
      </c>
      <c r="F1669" s="2" t="str">
        <f>"1629795585"</f>
        <v>1629795585</v>
      </c>
      <c r="G1669" s="2" t="str">
        <f>"9781629795584"</f>
        <v>9781629795584</v>
      </c>
      <c r="H1669" s="1" t="s">
        <v>6741</v>
      </c>
      <c r="I1669" s="1" t="s">
        <v>31</v>
      </c>
      <c r="J1669" s="1">
        <v>48.0</v>
      </c>
      <c r="K1669" s="1">
        <v>2019.0</v>
      </c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 t="s">
        <v>1024</v>
      </c>
      <c r="Y1669" s="1" t="s">
        <v>6742</v>
      </c>
    </row>
    <row r="1670">
      <c r="A1670" s="1">
        <v>736015.0</v>
      </c>
      <c r="B1670" s="1" t="s">
        <v>6743</v>
      </c>
      <c r="C1670" s="1" t="s">
        <v>6744</v>
      </c>
      <c r="D1670" s="1" t="s">
        <v>6745</v>
      </c>
      <c r="F1670" s="2" t="str">
        <f>"1587283751"</f>
        <v>1587283751</v>
      </c>
      <c r="G1670" s="2" t="str">
        <f>"9781587283758"</f>
        <v>9781587283758</v>
      </c>
      <c r="H1670" s="1" t="s">
        <v>6746</v>
      </c>
      <c r="I1670" s="1" t="s">
        <v>31</v>
      </c>
      <c r="J1670" s="1">
        <v>48.0</v>
      </c>
      <c r="K1670" s="1">
        <v>2000.0</v>
      </c>
      <c r="L1670" s="1">
        <v>1994.0</v>
      </c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 t="s">
        <v>629</v>
      </c>
      <c r="Y1670" s="1" t="s">
        <v>6747</v>
      </c>
    </row>
    <row r="1671">
      <c r="A1671" s="1">
        <v>1.5812813E7</v>
      </c>
      <c r="B1671" s="1" t="s">
        <v>6748</v>
      </c>
      <c r="C1671" s="1" t="s">
        <v>6749</v>
      </c>
      <c r="D1671" s="1" t="s">
        <v>6750</v>
      </c>
      <c r="E1671" s="1" t="s">
        <v>6751</v>
      </c>
      <c r="F1671" s="2" t="str">
        <f>"0448455889"</f>
        <v>0448455889</v>
      </c>
      <c r="G1671" s="2" t="str">
        <f>"9780448455884"</f>
        <v>9780448455884</v>
      </c>
      <c r="H1671" s="1" t="s">
        <v>2351</v>
      </c>
      <c r="I1671" s="1" t="s">
        <v>36</v>
      </c>
      <c r="J1671" s="1">
        <v>48.0</v>
      </c>
      <c r="K1671" s="1">
        <v>2013.0</v>
      </c>
      <c r="L1671" s="1">
        <v>1984.0</v>
      </c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 t="s">
        <v>6752</v>
      </c>
      <c r="Y1671" s="1" t="s">
        <v>6753</v>
      </c>
    </row>
    <row r="1672">
      <c r="A1672" s="1">
        <v>974222.0</v>
      </c>
      <c r="B1672" s="1" t="s">
        <v>6754</v>
      </c>
      <c r="C1672" s="1" t="s">
        <v>6749</v>
      </c>
      <c r="D1672" s="1" t="s">
        <v>6750</v>
      </c>
      <c r="E1672" s="1" t="s">
        <v>188</v>
      </c>
      <c r="F1672" s="2" t="str">
        <f>"0394865871"</f>
        <v>0394865871</v>
      </c>
      <c r="G1672" s="2" t="str">
        <f>"9780394865874"</f>
        <v>9780394865874</v>
      </c>
      <c r="H1672" s="1" t="s">
        <v>1565</v>
      </c>
      <c r="I1672" s="1" t="s">
        <v>36</v>
      </c>
      <c r="J1672" s="1">
        <v>48.0</v>
      </c>
      <c r="K1672" s="1">
        <v>1984.0</v>
      </c>
      <c r="L1672" s="1">
        <v>1984.0</v>
      </c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 t="s">
        <v>863</v>
      </c>
      <c r="Y1672" s="1" t="s">
        <v>6755</v>
      </c>
    </row>
    <row r="1673">
      <c r="A1673" s="1">
        <v>3.8532998E7</v>
      </c>
      <c r="B1673" s="1" t="s">
        <v>6756</v>
      </c>
      <c r="C1673" s="1" t="s">
        <v>6757</v>
      </c>
      <c r="D1673" s="1" t="s">
        <v>6758</v>
      </c>
      <c r="E1673" s="1" t="s">
        <v>6759</v>
      </c>
      <c r="F1673" s="2" t="str">
        <f>"153440404X"</f>
        <v>153440404X</v>
      </c>
      <c r="G1673" s="2" t="str">
        <f>"9781534404045"</f>
        <v>9781534404045</v>
      </c>
      <c r="H1673" s="1" t="s">
        <v>3030</v>
      </c>
      <c r="I1673" s="1" t="s">
        <v>31</v>
      </c>
      <c r="J1673" s="1">
        <v>48.0</v>
      </c>
      <c r="K1673" s="1">
        <v>2018.0</v>
      </c>
      <c r="L1673" s="1">
        <v>2018.0</v>
      </c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 t="s">
        <v>510</v>
      </c>
      <c r="Y1673" s="1" t="s">
        <v>6760</v>
      </c>
    </row>
    <row r="1674">
      <c r="A1674" s="1">
        <v>1.6002003E7</v>
      </c>
      <c r="B1674" s="1" t="s">
        <v>6761</v>
      </c>
      <c r="C1674" s="1" t="s">
        <v>6762</v>
      </c>
      <c r="D1674" s="1" t="s">
        <v>6763</v>
      </c>
      <c r="E1674" s="1" t="s">
        <v>6735</v>
      </c>
      <c r="F1674" s="2" t="str">
        <f>"1596433078"</f>
        <v>1596433078</v>
      </c>
      <c r="G1674" s="2" t="str">
        <f>"9781596433076"</f>
        <v>9781596433076</v>
      </c>
      <c r="H1674" s="1" t="s">
        <v>2712</v>
      </c>
      <c r="I1674" s="1" t="s">
        <v>31</v>
      </c>
      <c r="J1674" s="1">
        <v>48.0</v>
      </c>
      <c r="K1674" s="1">
        <v>2013.0</v>
      </c>
      <c r="L1674" s="1">
        <v>2013.0</v>
      </c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 t="s">
        <v>37</v>
      </c>
      <c r="Y1674" s="1" t="s">
        <v>6764</v>
      </c>
    </row>
    <row r="1675">
      <c r="A1675" s="1">
        <v>2.9363086E7</v>
      </c>
      <c r="B1675" s="1" t="s">
        <v>6765</v>
      </c>
      <c r="C1675" s="1" t="s">
        <v>3686</v>
      </c>
      <c r="D1675" s="1" t="s">
        <v>3687</v>
      </c>
      <c r="E1675" s="1" t="s">
        <v>6766</v>
      </c>
      <c r="F1675" s="2" t="str">
        <f>"1405282290"</f>
        <v>1405282290</v>
      </c>
      <c r="G1675" s="2" t="str">
        <f>"9781405282291"</f>
        <v>9781405282291</v>
      </c>
      <c r="H1675" s="1" t="s">
        <v>6767</v>
      </c>
      <c r="I1675" s="1" t="s">
        <v>36</v>
      </c>
      <c r="J1675" s="1">
        <v>48.0</v>
      </c>
      <c r="K1675" s="1">
        <v>2016.0</v>
      </c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 t="s">
        <v>83</v>
      </c>
      <c r="Y1675" s="1" t="s">
        <v>6768</v>
      </c>
    </row>
    <row r="1676">
      <c r="A1676" s="1">
        <v>133907.0</v>
      </c>
      <c r="B1676" s="1" t="s">
        <v>6769</v>
      </c>
      <c r="C1676" s="1" t="s">
        <v>6770</v>
      </c>
      <c r="D1676" s="1" t="s">
        <v>6771</v>
      </c>
      <c r="E1676" s="1" t="s">
        <v>6772</v>
      </c>
      <c r="F1676" s="2" t="str">
        <f>"1402718454"</f>
        <v>1402718454</v>
      </c>
      <c r="G1676" s="2" t="str">
        <f>"9781402718458"</f>
        <v>9781402718458</v>
      </c>
      <c r="H1676" s="1" t="s">
        <v>1271</v>
      </c>
      <c r="I1676" s="1" t="s">
        <v>31</v>
      </c>
      <c r="J1676" s="1">
        <v>48.0</v>
      </c>
      <c r="K1676" s="1">
        <v>2006.0</v>
      </c>
      <c r="L1676" s="1">
        <v>2006.0</v>
      </c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 t="s">
        <v>68</v>
      </c>
      <c r="Y1676" s="1" t="s">
        <v>6773</v>
      </c>
    </row>
    <row r="1677">
      <c r="A1677" s="1">
        <v>295618.0</v>
      </c>
      <c r="B1677" s="1" t="s">
        <v>6774</v>
      </c>
      <c r="C1677" s="1" t="s">
        <v>6775</v>
      </c>
      <c r="D1677" s="1" t="s">
        <v>6776</v>
      </c>
      <c r="E1677" s="1" t="s">
        <v>6777</v>
      </c>
      <c r="F1677" s="2" t="str">
        <f>"0679977058"</f>
        <v>0679977058</v>
      </c>
      <c r="G1677" s="2" t="str">
        <f>"9780679977056"</f>
        <v>9780679977056</v>
      </c>
      <c r="H1677" s="1" t="s">
        <v>156</v>
      </c>
      <c r="I1677" s="1" t="s">
        <v>31</v>
      </c>
      <c r="J1677" s="1">
        <v>48.0</v>
      </c>
      <c r="K1677" s="1">
        <v>2003.0</v>
      </c>
      <c r="L1677" s="1">
        <v>1997.0</v>
      </c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 t="s">
        <v>6778</v>
      </c>
      <c r="Y1677" s="1" t="s">
        <v>6779</v>
      </c>
    </row>
    <row r="1678">
      <c r="A1678" s="1">
        <v>555205.0</v>
      </c>
      <c r="B1678" s="1" t="s">
        <v>6780</v>
      </c>
      <c r="C1678" s="1" t="s">
        <v>6781</v>
      </c>
      <c r="D1678" s="1" t="s">
        <v>6782</v>
      </c>
      <c r="F1678" s="2" t="str">
        <f>"0060210745"</f>
        <v>0060210745</v>
      </c>
      <c r="G1678" s="2" t="str">
        <f>"9780060210748"</f>
        <v>9780060210748</v>
      </c>
      <c r="H1678" s="1" t="s">
        <v>290</v>
      </c>
      <c r="I1678" s="1" t="s">
        <v>31</v>
      </c>
      <c r="J1678" s="1">
        <v>48.0</v>
      </c>
      <c r="K1678" s="1">
        <v>1995.0</v>
      </c>
      <c r="L1678" s="1">
        <v>1988.0</v>
      </c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 t="s">
        <v>543</v>
      </c>
      <c r="Y1678" s="1" t="s">
        <v>6783</v>
      </c>
    </row>
    <row r="1679">
      <c r="A1679" s="1">
        <v>1.8847689E7</v>
      </c>
      <c r="B1679" s="1" t="s">
        <v>6784</v>
      </c>
      <c r="C1679" s="1" t="s">
        <v>6785</v>
      </c>
      <c r="D1679" s="1" t="s">
        <v>6786</v>
      </c>
      <c r="E1679" s="1" t="s">
        <v>935</v>
      </c>
      <c r="F1679" s="2" t="str">
        <f>"0062038486"</f>
        <v>0062038486</v>
      </c>
      <c r="G1679" s="2" t="str">
        <f>"9780062038487"</f>
        <v>9780062038487</v>
      </c>
      <c r="H1679" s="1" t="s">
        <v>290</v>
      </c>
      <c r="I1679" s="1" t="s">
        <v>238</v>
      </c>
      <c r="J1679" s="1">
        <v>48.0</v>
      </c>
      <c r="K1679" s="1">
        <v>2011.0</v>
      </c>
      <c r="L1679" s="1">
        <v>2005.0</v>
      </c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 t="s">
        <v>83</v>
      </c>
      <c r="Y1679" s="1" t="s">
        <v>6787</v>
      </c>
    </row>
    <row r="1680">
      <c r="A1680" s="1">
        <v>2.2746754E7</v>
      </c>
      <c r="B1680" s="1" t="s">
        <v>6788</v>
      </c>
      <c r="C1680" s="1" t="s">
        <v>6789</v>
      </c>
      <c r="D1680" s="1" t="s">
        <v>6790</v>
      </c>
      <c r="F1680" s="2" t="str">
        <f>"1618939696"</f>
        <v>1618939696</v>
      </c>
      <c r="G1680" s="2" t="str">
        <f>"9781618939692"</f>
        <v>9781618939692</v>
      </c>
      <c r="H1680" s="1" t="s">
        <v>6791</v>
      </c>
      <c r="I1680" s="1" t="s">
        <v>238</v>
      </c>
      <c r="J1680" s="1">
        <v>48.0</v>
      </c>
      <c r="K1680" s="1">
        <v>2014.0</v>
      </c>
      <c r="L1680" s="1">
        <v>2013.0</v>
      </c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 t="s">
        <v>116</v>
      </c>
      <c r="Y1680" s="1" t="s">
        <v>6792</v>
      </c>
    </row>
    <row r="1681">
      <c r="A1681" s="1">
        <v>1.7724815E7</v>
      </c>
      <c r="B1681" s="1" t="s">
        <v>6793</v>
      </c>
      <c r="C1681" s="1" t="s">
        <v>6789</v>
      </c>
      <c r="D1681" s="1" t="s">
        <v>6790</v>
      </c>
      <c r="F1681" s="2" t="str">
        <f>"1603209859"</f>
        <v>1603209859</v>
      </c>
      <c r="G1681" s="2" t="str">
        <f>"9781603209854"</f>
        <v>9781603209854</v>
      </c>
      <c r="H1681" s="1" t="s">
        <v>6794</v>
      </c>
      <c r="I1681" s="1" t="s">
        <v>36</v>
      </c>
      <c r="J1681" s="1">
        <v>48.0</v>
      </c>
      <c r="K1681" s="1">
        <v>2014.0</v>
      </c>
      <c r="L1681" s="1">
        <v>2013.0</v>
      </c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 t="s">
        <v>116</v>
      </c>
      <c r="Y1681" s="1" t="s">
        <v>6795</v>
      </c>
    </row>
    <row r="1682">
      <c r="A1682" s="1">
        <v>181375.0</v>
      </c>
      <c r="B1682" s="1" t="s">
        <v>6796</v>
      </c>
      <c r="C1682" s="1" t="s">
        <v>6797</v>
      </c>
      <c r="D1682" s="1" t="s">
        <v>6798</v>
      </c>
      <c r="F1682" s="2" t="str">
        <f>"0763610534"</f>
        <v>0763610534</v>
      </c>
      <c r="G1682" s="2" t="str">
        <f>"9780763610531"</f>
        <v>9780763610531</v>
      </c>
      <c r="H1682" s="1" t="s">
        <v>1454</v>
      </c>
      <c r="I1682" s="1" t="s">
        <v>36</v>
      </c>
      <c r="J1682" s="1">
        <v>48.0</v>
      </c>
      <c r="K1682" s="1">
        <v>2003.0</v>
      </c>
      <c r="L1682" s="1">
        <v>1999.0</v>
      </c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 t="s">
        <v>412</v>
      </c>
      <c r="Y1682" s="1" t="s">
        <v>6799</v>
      </c>
    </row>
    <row r="1683">
      <c r="A1683" s="1">
        <v>24295.0</v>
      </c>
      <c r="B1683" s="1" t="s">
        <v>6800</v>
      </c>
      <c r="C1683" s="1" t="s">
        <v>6801</v>
      </c>
      <c r="D1683" s="1" t="s">
        <v>6802</v>
      </c>
      <c r="E1683" s="1" t="s">
        <v>6803</v>
      </c>
      <c r="F1683" s="2" t="str">
        <f>"0763628174"</f>
        <v>0763628174</v>
      </c>
      <c r="G1683" s="2" t="str">
        <f>"9780763628178"</f>
        <v>9780763628178</v>
      </c>
      <c r="H1683" s="1" t="s">
        <v>1454</v>
      </c>
      <c r="I1683" s="1" t="s">
        <v>36</v>
      </c>
      <c r="J1683" s="1">
        <v>48.0</v>
      </c>
      <c r="K1683" s="1">
        <v>2004.0</v>
      </c>
      <c r="L1683" s="1">
        <v>2004.0</v>
      </c>
    </row>
    <row r="1684">
      <c r="A1684" s="1">
        <v>1.3585773E7</v>
      </c>
      <c r="B1684" s="1" t="s">
        <v>6804</v>
      </c>
      <c r="C1684" s="1" t="s">
        <v>6805</v>
      </c>
      <c r="D1684" s="1" t="s">
        <v>6806</v>
      </c>
      <c r="E1684" s="1" t="s">
        <v>6807</v>
      </c>
      <c r="F1684" s="2" t="str">
        <f>"0843198974"</f>
        <v>0843198974</v>
      </c>
      <c r="G1684" s="2" t="str">
        <f>"9780843198973"</f>
        <v>9780843198973</v>
      </c>
      <c r="H1684" s="1" t="s">
        <v>6805</v>
      </c>
      <c r="I1684" s="1" t="s">
        <v>36</v>
      </c>
      <c r="J1684" s="1">
        <v>48.0</v>
      </c>
      <c r="K1684" s="1">
        <v>2011.0</v>
      </c>
      <c r="L1684" s="1">
        <v>2011.0</v>
      </c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 t="s">
        <v>563</v>
      </c>
      <c r="Y1684" s="1" t="s">
        <v>6808</v>
      </c>
    </row>
    <row r="1685">
      <c r="A1685" s="1">
        <v>1359155.0</v>
      </c>
      <c r="B1685" s="1" t="s">
        <v>6809</v>
      </c>
      <c r="C1685" s="1" t="s">
        <v>6810</v>
      </c>
      <c r="D1685" s="1" t="s">
        <v>6811</v>
      </c>
      <c r="F1685" s="2" t="str">
        <f>"0679877150"</f>
        <v>0679877150</v>
      </c>
      <c r="G1685" s="2" t="str">
        <f>"9780679877158"</f>
        <v>9780679877158</v>
      </c>
      <c r="H1685" s="1" t="s">
        <v>156</v>
      </c>
      <c r="I1685" s="1" t="s">
        <v>31</v>
      </c>
      <c r="J1685" s="1">
        <v>48.0</v>
      </c>
      <c r="K1685" s="1">
        <v>1996.0</v>
      </c>
      <c r="L1685" s="1">
        <v>1996.0</v>
      </c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 t="s">
        <v>1326</v>
      </c>
      <c r="Y1685" s="1" t="s">
        <v>6812</v>
      </c>
    </row>
    <row r="1686">
      <c r="A1686" s="1">
        <v>4.6046255E7</v>
      </c>
      <c r="B1686" s="1" t="s">
        <v>6813</v>
      </c>
      <c r="C1686" s="1" t="s">
        <v>6814</v>
      </c>
      <c r="D1686" s="1" t="s">
        <v>6815</v>
      </c>
      <c r="E1686" s="1" t="s">
        <v>6816</v>
      </c>
      <c r="F1686" s="2" t="str">
        <f>"145493137X"</f>
        <v>145493137X</v>
      </c>
      <c r="G1686" s="2" t="str">
        <f>"9781454931379"</f>
        <v>9781454931379</v>
      </c>
      <c r="H1686" s="1" t="s">
        <v>1271</v>
      </c>
      <c r="I1686" s="1" t="s">
        <v>31</v>
      </c>
      <c r="J1686" s="1">
        <v>48.0</v>
      </c>
      <c r="K1686" s="1">
        <v>2020.0</v>
      </c>
      <c r="L1686" s="1">
        <v>2020.0</v>
      </c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 t="s">
        <v>1024</v>
      </c>
      <c r="Y1686" s="1" t="s">
        <v>6817</v>
      </c>
    </row>
    <row r="1687">
      <c r="A1687" s="1">
        <v>2.2394673E7</v>
      </c>
      <c r="B1687" s="1" t="s">
        <v>6818</v>
      </c>
      <c r="C1687" s="1" t="s">
        <v>6819</v>
      </c>
      <c r="D1687" s="1" t="s">
        <v>6820</v>
      </c>
      <c r="E1687" s="1" t="s">
        <v>6821</v>
      </c>
      <c r="F1687" s="2" t="str">
        <f>"1434298019"</f>
        <v>1434298019</v>
      </c>
      <c r="G1687" s="2" t="str">
        <f>"9781434298010"</f>
        <v>9781434298010</v>
      </c>
      <c r="H1687" s="1" t="s">
        <v>6822</v>
      </c>
      <c r="I1687" s="1" t="s">
        <v>238</v>
      </c>
      <c r="J1687" s="1">
        <v>48.0</v>
      </c>
      <c r="K1687" s="1">
        <v>2014.0</v>
      </c>
      <c r="L1687" s="1">
        <v>2014.0</v>
      </c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 t="s">
        <v>45</v>
      </c>
      <c r="Y1687" s="1" t="s">
        <v>6823</v>
      </c>
    </row>
    <row r="1688">
      <c r="A1688" s="1">
        <v>8708440.0</v>
      </c>
      <c r="B1688" s="1" t="s">
        <v>6824</v>
      </c>
      <c r="C1688" s="1" t="s">
        <v>6825</v>
      </c>
      <c r="D1688" s="1" t="s">
        <v>6826</v>
      </c>
      <c r="F1688" s="2" t="str">
        <f>"0670012289"</f>
        <v>0670012289</v>
      </c>
      <c r="G1688" s="2" t="str">
        <f>"9780670012282"</f>
        <v>9780670012282</v>
      </c>
      <c r="H1688" s="1" t="s">
        <v>2746</v>
      </c>
      <c r="I1688" s="1" t="s">
        <v>31</v>
      </c>
      <c r="J1688" s="1">
        <v>48.0</v>
      </c>
      <c r="K1688" s="1">
        <v>2011.0</v>
      </c>
      <c r="L1688" s="1">
        <v>2011.0</v>
      </c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 t="s">
        <v>370</v>
      </c>
      <c r="Y1688" s="1" t="s">
        <v>6827</v>
      </c>
    </row>
    <row r="1689">
      <c r="A1689" s="1">
        <v>734348.0</v>
      </c>
      <c r="B1689" s="1" t="s">
        <v>6828</v>
      </c>
      <c r="C1689" s="1" t="s">
        <v>6829</v>
      </c>
      <c r="D1689" s="1" t="s">
        <v>6830</v>
      </c>
      <c r="E1689" s="1" t="s">
        <v>4126</v>
      </c>
      <c r="F1689" s="2" t="str">
        <f>"0140365443"</f>
        <v>0140365443</v>
      </c>
      <c r="G1689" s="2" t="str">
        <f>"9780140365443"</f>
        <v>9780140365443</v>
      </c>
      <c r="H1689" s="1" t="s">
        <v>2351</v>
      </c>
      <c r="I1689" s="1" t="s">
        <v>36</v>
      </c>
      <c r="J1689" s="1">
        <v>48.0</v>
      </c>
      <c r="K1689" s="1">
        <v>1985.0</v>
      </c>
      <c r="L1689" s="1">
        <v>1983.0</v>
      </c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 t="s">
        <v>1024</v>
      </c>
      <c r="Y1689" s="1" t="s">
        <v>6831</v>
      </c>
    </row>
    <row r="1690">
      <c r="A1690" s="1">
        <v>408767.0</v>
      </c>
      <c r="B1690" s="1" t="s">
        <v>6832</v>
      </c>
      <c r="C1690" s="1" t="s">
        <v>4126</v>
      </c>
      <c r="D1690" s="1" t="s">
        <v>4127</v>
      </c>
      <c r="F1690" s="2" t="str">
        <f>"0395479460"</f>
        <v>0395479460</v>
      </c>
      <c r="G1690" s="2" t="str">
        <f>"9780395479469"</f>
        <v>9780395479469</v>
      </c>
      <c r="H1690" s="1" t="s">
        <v>1799</v>
      </c>
      <c r="I1690" s="1" t="s">
        <v>36</v>
      </c>
      <c r="J1690" s="1">
        <v>48.0</v>
      </c>
      <c r="K1690" s="1">
        <v>1988.0</v>
      </c>
      <c r="L1690" s="1">
        <v>1984.0</v>
      </c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 t="s">
        <v>1352</v>
      </c>
      <c r="Y1690" s="1" t="s">
        <v>6833</v>
      </c>
    </row>
    <row r="1691">
      <c r="A1691" s="1">
        <v>3.014466E7</v>
      </c>
      <c r="B1691" s="1" t="s">
        <v>6834</v>
      </c>
      <c r="C1691" s="1" t="s">
        <v>6835</v>
      </c>
      <c r="D1691" s="1" t="s">
        <v>6836</v>
      </c>
      <c r="F1691" s="2" t="str">
        <f>"1426326874"</f>
        <v>1426326874</v>
      </c>
      <c r="G1691" s="2" t="str">
        <f>"9781426326875"</f>
        <v>9781426326875</v>
      </c>
      <c r="H1691" s="1" t="s">
        <v>1490</v>
      </c>
      <c r="I1691" s="1" t="s">
        <v>36</v>
      </c>
      <c r="J1691" s="1">
        <v>48.0</v>
      </c>
      <c r="K1691" s="1">
        <v>2017.0</v>
      </c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 t="s">
        <v>835</v>
      </c>
      <c r="Y1691" s="1" t="s">
        <v>6837</v>
      </c>
    </row>
    <row r="1692">
      <c r="A1692" s="1">
        <v>680454.0</v>
      </c>
      <c r="B1692" s="1" t="s">
        <v>6838</v>
      </c>
      <c r="C1692" s="1" t="s">
        <v>6839</v>
      </c>
      <c r="D1692" s="1" t="s">
        <v>6840</v>
      </c>
      <c r="F1692" s="2" t="str">
        <f>"0448401932"</f>
        <v>0448401932</v>
      </c>
      <c r="G1692" s="2" t="str">
        <f>"9780448401935"</f>
        <v>9780448401935</v>
      </c>
      <c r="H1692" s="1" t="s">
        <v>2351</v>
      </c>
      <c r="I1692" s="1" t="s">
        <v>36</v>
      </c>
      <c r="J1692" s="1">
        <v>48.0</v>
      </c>
      <c r="K1692" s="1">
        <v>1993.0</v>
      </c>
      <c r="L1692" s="1">
        <v>1993.0</v>
      </c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 t="s">
        <v>835</v>
      </c>
      <c r="Y1692" s="1" t="s">
        <v>6841</v>
      </c>
    </row>
    <row r="1693">
      <c r="A1693" s="1">
        <v>1002236.0</v>
      </c>
      <c r="B1693" s="1" t="s">
        <v>6842</v>
      </c>
      <c r="C1693" s="1" t="s">
        <v>6843</v>
      </c>
      <c r="D1693" s="1" t="s">
        <v>6844</v>
      </c>
      <c r="F1693" s="2" t="str">
        <f>"0440404959"</f>
        <v>0440404959</v>
      </c>
      <c r="G1693" s="2" t="str">
        <f>"9780440404958"</f>
        <v>9780440404958</v>
      </c>
      <c r="H1693" s="1" t="s">
        <v>6845</v>
      </c>
      <c r="I1693" s="1" t="s">
        <v>36</v>
      </c>
      <c r="J1693" s="1">
        <v>48.0</v>
      </c>
      <c r="K1693" s="1">
        <v>1991.0</v>
      </c>
      <c r="L1693" s="1">
        <v>1962.0</v>
      </c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 t="s">
        <v>116</v>
      </c>
      <c r="Y1693" s="1" t="s">
        <v>6846</v>
      </c>
    </row>
    <row r="1694">
      <c r="A1694" s="1">
        <v>3352666.0</v>
      </c>
      <c r="B1694" s="1" t="s">
        <v>6847</v>
      </c>
      <c r="C1694" s="1" t="s">
        <v>6848</v>
      </c>
      <c r="D1694" s="1" t="s">
        <v>6849</v>
      </c>
      <c r="E1694" s="1" t="s">
        <v>6850</v>
      </c>
      <c r="F1694" s="2" t="str">
        <f>"044841144X"</f>
        <v>044841144X</v>
      </c>
      <c r="G1694" s="2" t="str">
        <f>"9780448411446"</f>
        <v>9780448411446</v>
      </c>
      <c r="H1694" s="1" t="s">
        <v>2014</v>
      </c>
      <c r="I1694" s="1" t="s">
        <v>31</v>
      </c>
      <c r="J1694" s="1">
        <v>48.0</v>
      </c>
      <c r="K1694" s="1">
        <v>1996.0</v>
      </c>
      <c r="L1694" s="1">
        <v>1996.0</v>
      </c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 t="s">
        <v>116</v>
      </c>
      <c r="Y1694" s="1" t="s">
        <v>6851</v>
      </c>
    </row>
    <row r="1695">
      <c r="A1695" s="1">
        <v>2.0821299E7</v>
      </c>
      <c r="B1695" s="1" t="s">
        <v>6852</v>
      </c>
      <c r="C1695" s="1" t="s">
        <v>6853</v>
      </c>
      <c r="D1695" s="1" t="s">
        <v>6854</v>
      </c>
      <c r="F1695" s="2" t="str">
        <f>"0803741715"</f>
        <v>0803741715</v>
      </c>
      <c r="G1695" s="2" t="str">
        <f>"9780803741713"</f>
        <v>9780803741713</v>
      </c>
      <c r="H1695" s="1" t="s">
        <v>2364</v>
      </c>
      <c r="I1695" s="1" t="s">
        <v>31</v>
      </c>
      <c r="J1695" s="1">
        <v>48.0</v>
      </c>
      <c r="K1695" s="1">
        <v>2014.0</v>
      </c>
      <c r="L1695" s="1">
        <v>2014.0</v>
      </c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 t="s">
        <v>897</v>
      </c>
      <c r="Y1695" s="1" t="s">
        <v>6855</v>
      </c>
    </row>
    <row r="1696">
      <c r="A1696" s="1">
        <v>5.7873516E7</v>
      </c>
      <c r="B1696" s="1" t="s">
        <v>6856</v>
      </c>
      <c r="C1696" s="1" t="s">
        <v>6857</v>
      </c>
      <c r="D1696" s="1" t="s">
        <v>6858</v>
      </c>
      <c r="F1696" s="2" t="str">
        <f>"0241394333"</f>
        <v>0241394333</v>
      </c>
      <c r="G1696" s="2" t="str">
        <f>"9780241394335"</f>
        <v>9780241394335</v>
      </c>
      <c r="H1696" s="1" t="s">
        <v>334</v>
      </c>
      <c r="I1696" s="1" t="s">
        <v>36</v>
      </c>
      <c r="J1696" s="1">
        <v>48.0</v>
      </c>
      <c r="K1696" s="1">
        <v>2021.0</v>
      </c>
      <c r="L1696" s="1">
        <v>2019.0</v>
      </c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 t="s">
        <v>1024</v>
      </c>
      <c r="Y1696" s="1" t="s">
        <v>6859</v>
      </c>
    </row>
    <row r="1697">
      <c r="A1697" s="1">
        <v>1635692.0</v>
      </c>
      <c r="B1697" s="1" t="s">
        <v>6860</v>
      </c>
      <c r="C1697" s="1" t="s">
        <v>4512</v>
      </c>
      <c r="D1697" s="1" t="s">
        <v>4513</v>
      </c>
      <c r="F1697" s="2" t="str">
        <f>"043929584X"</f>
        <v>043929584X</v>
      </c>
      <c r="G1697" s="2" t="str">
        <f>"9780439295840"</f>
        <v>9780439295840</v>
      </c>
      <c r="H1697" s="1" t="s">
        <v>2461</v>
      </c>
      <c r="I1697" s="1" t="s">
        <v>36</v>
      </c>
      <c r="J1697" s="1">
        <v>48.0</v>
      </c>
      <c r="K1697" s="1">
        <v>2001.0</v>
      </c>
      <c r="L1697" s="1">
        <v>2001.0</v>
      </c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 t="s">
        <v>96</v>
      </c>
      <c r="Y1697" s="1" t="s">
        <v>6861</v>
      </c>
    </row>
    <row r="1698">
      <c r="A1698" s="1">
        <v>5.0947901E7</v>
      </c>
      <c r="B1698" s="1" t="s">
        <v>6862</v>
      </c>
      <c r="C1698" s="1" t="s">
        <v>6863</v>
      </c>
      <c r="D1698" s="1" t="s">
        <v>6864</v>
      </c>
      <c r="F1698" s="2" t="str">
        <f>"0531131726"</f>
        <v>0531131726</v>
      </c>
      <c r="G1698" s="2" t="str">
        <f>"9780531131725"</f>
        <v>9780531131725</v>
      </c>
      <c r="H1698" s="1" t="s">
        <v>1614</v>
      </c>
      <c r="I1698" s="1" t="s">
        <v>31</v>
      </c>
      <c r="J1698" s="1">
        <v>48.0</v>
      </c>
      <c r="K1698" s="1">
        <v>2020.0</v>
      </c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 t="s">
        <v>1466</v>
      </c>
      <c r="Y1698" s="1" t="s">
        <v>6865</v>
      </c>
    </row>
    <row r="1699">
      <c r="A1699" s="1">
        <v>5.6620826E7</v>
      </c>
      <c r="B1699" s="1" t="s">
        <v>6866</v>
      </c>
      <c r="C1699" s="1" t="s">
        <v>6867</v>
      </c>
      <c r="D1699" s="1" t="s">
        <v>6868</v>
      </c>
      <c r="E1699" s="1" t="s">
        <v>6867</v>
      </c>
      <c r="F1699" s="2" t="str">
        <f>"0316457264"</f>
        <v>0316457264</v>
      </c>
      <c r="G1699" s="2" t="str">
        <f>"9780316457262"</f>
        <v>9780316457262</v>
      </c>
      <c r="H1699" s="1" t="s">
        <v>112</v>
      </c>
      <c r="I1699" s="1" t="s">
        <v>31</v>
      </c>
      <c r="J1699" s="1">
        <v>48.0</v>
      </c>
      <c r="K1699" s="1">
        <v>2021.0</v>
      </c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 t="s">
        <v>1024</v>
      </c>
      <c r="Y1699" s="1" t="s">
        <v>6869</v>
      </c>
    </row>
    <row r="1700">
      <c r="A1700" s="1">
        <v>2.5374558E7</v>
      </c>
      <c r="B1700" s="1" t="s">
        <v>6870</v>
      </c>
      <c r="C1700" s="1" t="s">
        <v>6871</v>
      </c>
      <c r="D1700" s="1" t="s">
        <v>6872</v>
      </c>
      <c r="F1700" s="2" t="str">
        <f>"1465439218"</f>
        <v>1465439218</v>
      </c>
      <c r="G1700" s="2" t="str">
        <f>"9781465439215"</f>
        <v>9781465439215</v>
      </c>
      <c r="H1700" s="1" t="s">
        <v>1089</v>
      </c>
      <c r="I1700" s="1" t="s">
        <v>238</v>
      </c>
      <c r="J1700" s="1">
        <v>48.0</v>
      </c>
      <c r="K1700" s="1">
        <v>2015.0</v>
      </c>
      <c r="L1700" s="1">
        <v>2015.0</v>
      </c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 t="s">
        <v>83</v>
      </c>
      <c r="Y1700" s="1" t="s">
        <v>6873</v>
      </c>
    </row>
    <row r="1701">
      <c r="A1701" s="1">
        <v>496634.0</v>
      </c>
      <c r="B1701" s="1" t="s">
        <v>6874</v>
      </c>
      <c r="C1701" s="1" t="s">
        <v>546</v>
      </c>
      <c r="D1701" s="1" t="s">
        <v>547</v>
      </c>
      <c r="F1701" s="2" t="str">
        <f>"0531059820"</f>
        <v>0531059820</v>
      </c>
      <c r="G1701" s="2" t="str">
        <f>"9780531059821"</f>
        <v>9780531059821</v>
      </c>
      <c r="H1701" s="1" t="s">
        <v>2397</v>
      </c>
      <c r="I1701" s="1" t="s">
        <v>31</v>
      </c>
      <c r="J1701" s="1">
        <v>48.0</v>
      </c>
      <c r="K1701" s="1">
        <v>1992.0</v>
      </c>
      <c r="L1701" s="1">
        <v>1992.0</v>
      </c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 t="s">
        <v>250</v>
      </c>
      <c r="Y1701" s="1" t="s">
        <v>6875</v>
      </c>
    </row>
    <row r="1702">
      <c r="A1702" s="1">
        <v>824204.0</v>
      </c>
      <c r="B1702" s="1" t="s">
        <v>6876</v>
      </c>
      <c r="C1702" s="1" t="s">
        <v>6877</v>
      </c>
      <c r="D1702" s="1" t="s">
        <v>6878</v>
      </c>
      <c r="E1702" s="1" t="s">
        <v>6879</v>
      </c>
      <c r="F1702" s="2" t="str">
        <f>"0448405202"</f>
        <v>0448405202</v>
      </c>
      <c r="G1702" s="2" t="str">
        <f>"9780448405209"</f>
        <v>9780448405209</v>
      </c>
      <c r="H1702" s="1" t="s">
        <v>6880</v>
      </c>
      <c r="I1702" s="1" t="s">
        <v>31</v>
      </c>
      <c r="J1702" s="1">
        <v>48.0</v>
      </c>
      <c r="K1702" s="1">
        <v>2006.0</v>
      </c>
      <c r="L1702" s="1">
        <v>1930.0</v>
      </c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 t="s">
        <v>4231</v>
      </c>
      <c r="Y1702" s="1" t="s">
        <v>6881</v>
      </c>
    </row>
    <row r="1703">
      <c r="A1703" s="1">
        <v>4410053.0</v>
      </c>
      <c r="B1703" s="1" t="s">
        <v>6882</v>
      </c>
      <c r="C1703" s="1" t="s">
        <v>6883</v>
      </c>
      <c r="D1703" s="1" t="s">
        <v>6884</v>
      </c>
      <c r="F1703" s="2" t="str">
        <f>"0516416480"</f>
        <v>0516416480</v>
      </c>
      <c r="G1703" s="2" t="str">
        <f>"9780516416489"</f>
        <v>9780516416489</v>
      </c>
      <c r="H1703" s="1" t="s">
        <v>2679</v>
      </c>
      <c r="I1703" s="1" t="s">
        <v>36</v>
      </c>
      <c r="J1703" s="1">
        <v>48.0</v>
      </c>
      <c r="K1703" s="1">
        <v>1982.0</v>
      </c>
      <c r="L1703" s="1">
        <v>1999.0</v>
      </c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 t="s">
        <v>116</v>
      </c>
      <c r="Y1703" s="1" t="s">
        <v>6885</v>
      </c>
    </row>
    <row r="1704">
      <c r="A1704" s="1">
        <v>203173.0</v>
      </c>
      <c r="B1704" s="1" t="s">
        <v>6886</v>
      </c>
      <c r="C1704" s="1" t="s">
        <v>6887</v>
      </c>
      <c r="D1704" s="1" t="s">
        <v>6888</v>
      </c>
      <c r="E1704" s="1" t="s">
        <v>6889</v>
      </c>
      <c r="F1704" s="2" t="str">
        <f>"0060537205"</f>
        <v>0060537205</v>
      </c>
      <c r="G1704" s="2" t="str">
        <f>"9780060537203"</f>
        <v>9780060537203</v>
      </c>
      <c r="H1704" s="1" t="s">
        <v>290</v>
      </c>
      <c r="I1704" s="1" t="s">
        <v>31</v>
      </c>
      <c r="J1704" s="1">
        <v>48.0</v>
      </c>
      <c r="K1704" s="1">
        <v>2007.0</v>
      </c>
      <c r="L1704" s="1">
        <v>1985.0</v>
      </c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 t="s">
        <v>1179</v>
      </c>
      <c r="Y1704" s="1" t="s">
        <v>6890</v>
      </c>
    </row>
    <row r="1705">
      <c r="A1705" s="1">
        <v>371735.0</v>
      </c>
      <c r="B1705" s="1" t="s">
        <v>6891</v>
      </c>
      <c r="C1705" s="1" t="s">
        <v>566</v>
      </c>
      <c r="D1705" s="1" t="s">
        <v>567</v>
      </c>
      <c r="F1705" s="2" t="str">
        <f>"0843107588"</f>
        <v>0843107588</v>
      </c>
      <c r="G1705" s="2" t="str">
        <f>"9780843107586"</f>
        <v>9780843107586</v>
      </c>
      <c r="H1705" s="1" t="s">
        <v>6805</v>
      </c>
      <c r="I1705" s="1" t="s">
        <v>36</v>
      </c>
      <c r="J1705" s="1">
        <v>48.0</v>
      </c>
      <c r="K1705" s="1">
        <v>2004.0</v>
      </c>
      <c r="L1705" s="1">
        <v>2004.0</v>
      </c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 t="s">
        <v>563</v>
      </c>
      <c r="Y1705" s="1" t="s">
        <v>6892</v>
      </c>
    </row>
    <row r="1706">
      <c r="A1706" s="1">
        <v>2336688.0</v>
      </c>
      <c r="B1706" s="1" t="s">
        <v>6893</v>
      </c>
      <c r="C1706" s="1" t="s">
        <v>566</v>
      </c>
      <c r="D1706" s="1" t="s">
        <v>567</v>
      </c>
      <c r="E1706" s="1" t="s">
        <v>6807</v>
      </c>
      <c r="F1706" s="2" t="str">
        <f>"0843174986"</f>
        <v>0843174986</v>
      </c>
      <c r="G1706" s="2" t="str">
        <f>"9780843174984"</f>
        <v>9780843174984</v>
      </c>
      <c r="H1706" s="1" t="s">
        <v>6805</v>
      </c>
      <c r="I1706" s="1" t="s">
        <v>36</v>
      </c>
      <c r="J1706" s="1">
        <v>48.0</v>
      </c>
      <c r="K1706" s="1">
        <v>1999.0</v>
      </c>
      <c r="L1706" s="1">
        <v>1999.0</v>
      </c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 t="s">
        <v>563</v>
      </c>
      <c r="Y1706" s="1" t="s">
        <v>6894</v>
      </c>
    </row>
    <row r="1707">
      <c r="A1707" s="1">
        <v>1.1737331E7</v>
      </c>
      <c r="B1707" s="1" t="s">
        <v>6895</v>
      </c>
      <c r="C1707" s="1" t="s">
        <v>566</v>
      </c>
      <c r="D1707" s="1" t="s">
        <v>567</v>
      </c>
      <c r="E1707" s="1" t="s">
        <v>6896</v>
      </c>
      <c r="F1707" s="2" t="str">
        <f>"0843199628"</f>
        <v>0843199628</v>
      </c>
      <c r="G1707" s="2" t="str">
        <f>"9780843199628"</f>
        <v>9780843199628</v>
      </c>
      <c r="H1707" s="1" t="s">
        <v>6805</v>
      </c>
      <c r="I1707" s="1" t="s">
        <v>36</v>
      </c>
      <c r="J1707" s="1">
        <v>48.0</v>
      </c>
      <c r="K1707" s="1">
        <v>2010.0</v>
      </c>
      <c r="L1707" s="1">
        <v>2010.0</v>
      </c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 t="s">
        <v>563</v>
      </c>
      <c r="Y1707" s="1" t="s">
        <v>6897</v>
      </c>
    </row>
    <row r="1708">
      <c r="A1708" s="1">
        <v>9172581.0</v>
      </c>
      <c r="B1708" s="1" t="s">
        <v>6898</v>
      </c>
      <c r="C1708" s="1" t="s">
        <v>566</v>
      </c>
      <c r="D1708" s="1" t="s">
        <v>567</v>
      </c>
      <c r="E1708" s="1" t="s">
        <v>6807</v>
      </c>
      <c r="F1708" s="2" t="str">
        <f>"1616871911"</f>
        <v>1616871911</v>
      </c>
      <c r="G1708" s="2" t="str">
        <f>"9781616871918"</f>
        <v>9781616871918</v>
      </c>
      <c r="H1708" s="1" t="s">
        <v>6899</v>
      </c>
      <c r="I1708" s="1" t="s">
        <v>36</v>
      </c>
      <c r="J1708" s="1">
        <v>48.0</v>
      </c>
      <c r="K1708" s="1">
        <v>2010.0</v>
      </c>
      <c r="L1708" s="1">
        <v>2010.0</v>
      </c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 t="s">
        <v>563</v>
      </c>
      <c r="Y1708" s="1" t="s">
        <v>6900</v>
      </c>
    </row>
    <row r="1709">
      <c r="A1709" s="1">
        <v>4.5894182E7</v>
      </c>
      <c r="B1709" s="1" t="s">
        <v>6901</v>
      </c>
      <c r="C1709" s="1" t="s">
        <v>6902</v>
      </c>
      <c r="D1709" s="1" t="s">
        <v>6903</v>
      </c>
      <c r="E1709" s="1" t="s">
        <v>6904</v>
      </c>
      <c r="F1709" s="2" t="str">
        <f>"132400519X"</f>
        <v>132400519X</v>
      </c>
      <c r="G1709" s="2" t="str">
        <f>"9781324005193"</f>
        <v>9781324005193</v>
      </c>
      <c r="H1709" s="1" t="s">
        <v>6905</v>
      </c>
      <c r="I1709" s="1" t="s">
        <v>31</v>
      </c>
      <c r="J1709" s="1">
        <v>48.0</v>
      </c>
      <c r="K1709" s="1">
        <v>2020.0</v>
      </c>
      <c r="L1709" s="1">
        <v>2020.0</v>
      </c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 t="s">
        <v>6906</v>
      </c>
      <c r="Y1709" s="1" t="s">
        <v>6907</v>
      </c>
    </row>
    <row r="1710">
      <c r="A1710" s="1">
        <v>1346194.0</v>
      </c>
      <c r="B1710" s="1" t="s">
        <v>6908</v>
      </c>
      <c r="C1710" s="1" t="s">
        <v>6579</v>
      </c>
      <c r="D1710" s="1" t="s">
        <v>6580</v>
      </c>
      <c r="F1710" s="2" t="str">
        <f>"0375804307"</f>
        <v>0375804307</v>
      </c>
      <c r="G1710" s="2" t="str">
        <f>"9780375804304"</f>
        <v>9780375804304</v>
      </c>
      <c r="H1710" s="1" t="s">
        <v>156</v>
      </c>
      <c r="I1710" s="1" t="s">
        <v>36</v>
      </c>
      <c r="J1710" s="1">
        <v>48.0</v>
      </c>
      <c r="K1710" s="1">
        <v>2001.0</v>
      </c>
      <c r="L1710" s="1">
        <v>2001.0</v>
      </c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 t="s">
        <v>543</v>
      </c>
      <c r="Y1710" s="1" t="s">
        <v>6909</v>
      </c>
    </row>
    <row r="1711">
      <c r="A1711" s="1">
        <v>205242.0</v>
      </c>
      <c r="B1711" s="1" t="s">
        <v>6910</v>
      </c>
      <c r="C1711" s="1" t="s">
        <v>1120</v>
      </c>
      <c r="D1711" s="1" t="s">
        <v>1121</v>
      </c>
      <c r="E1711" s="1" t="s">
        <v>3306</v>
      </c>
      <c r="F1711" s="2" t="str">
        <f>"0679873023"</f>
        <v>0679873023</v>
      </c>
      <c r="G1711" s="2" t="str">
        <f>"9780679873020"</f>
        <v>9780679873020</v>
      </c>
      <c r="H1711" s="1" t="s">
        <v>156</v>
      </c>
      <c r="I1711" s="1" t="s">
        <v>31</v>
      </c>
      <c r="J1711" s="1">
        <v>48.0</v>
      </c>
      <c r="K1711" s="1">
        <v>1998.0</v>
      </c>
      <c r="L1711" s="1">
        <v>1998.0</v>
      </c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 t="s">
        <v>1933</v>
      </c>
      <c r="Y1711" s="1" t="s">
        <v>6911</v>
      </c>
    </row>
    <row r="1712">
      <c r="A1712" s="1">
        <v>277906.0</v>
      </c>
      <c r="B1712" s="1" t="s">
        <v>6912</v>
      </c>
      <c r="C1712" s="1" t="s">
        <v>1120</v>
      </c>
      <c r="D1712" s="1" t="s">
        <v>1121</v>
      </c>
      <c r="E1712" s="1" t="s">
        <v>6913</v>
      </c>
      <c r="F1712" s="2" t="str">
        <f>"037582278X"</f>
        <v>037582278X</v>
      </c>
      <c r="G1712" s="2" t="str">
        <f>"9780375822780"</f>
        <v>9780375822780</v>
      </c>
      <c r="H1712" s="1" t="s">
        <v>156</v>
      </c>
      <c r="I1712" s="1" t="s">
        <v>31</v>
      </c>
      <c r="J1712" s="1">
        <v>48.0</v>
      </c>
      <c r="K1712" s="1">
        <v>2005.0</v>
      </c>
      <c r="L1712" s="1">
        <v>2005.0</v>
      </c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 t="s">
        <v>1326</v>
      </c>
      <c r="Y1712" s="1" t="s">
        <v>6914</v>
      </c>
    </row>
    <row r="1713">
      <c r="A1713" s="1">
        <v>277902.0</v>
      </c>
      <c r="B1713" s="1" t="s">
        <v>6915</v>
      </c>
      <c r="C1713" s="1" t="s">
        <v>1120</v>
      </c>
      <c r="D1713" s="1" t="s">
        <v>1121</v>
      </c>
      <c r="E1713" s="1" t="s">
        <v>6916</v>
      </c>
      <c r="F1713" s="2" t="str">
        <f>"0375810994"</f>
        <v>0375810994</v>
      </c>
      <c r="G1713" s="2" t="str">
        <f>"9780375810992"</f>
        <v>9780375810992</v>
      </c>
      <c r="H1713" s="1" t="s">
        <v>156</v>
      </c>
      <c r="I1713" s="1" t="s">
        <v>31</v>
      </c>
      <c r="J1713" s="1">
        <v>48.0</v>
      </c>
      <c r="K1713" s="1">
        <v>2002.0</v>
      </c>
      <c r="L1713" s="1">
        <v>2002.0</v>
      </c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 t="s">
        <v>239</v>
      </c>
      <c r="Y1713" s="1" t="s">
        <v>6917</v>
      </c>
    </row>
    <row r="1714">
      <c r="A1714" s="1">
        <v>175184.0</v>
      </c>
      <c r="B1714" s="1" t="s">
        <v>6918</v>
      </c>
      <c r="C1714" s="1" t="s">
        <v>1120</v>
      </c>
      <c r="D1714" s="1" t="s">
        <v>1121</v>
      </c>
      <c r="E1714" s="1" t="s">
        <v>6916</v>
      </c>
      <c r="F1714" s="2" t="str">
        <f>"0679891153"</f>
        <v>0679891153</v>
      </c>
      <c r="G1714" s="2" t="str">
        <f>"9780679891154"</f>
        <v>9780679891154</v>
      </c>
      <c r="H1714" s="1" t="s">
        <v>156</v>
      </c>
      <c r="I1714" s="1" t="s">
        <v>31</v>
      </c>
      <c r="J1714" s="1">
        <v>48.0</v>
      </c>
      <c r="K1714" s="1">
        <v>2009.0</v>
      </c>
      <c r="L1714" s="1">
        <v>1999.0</v>
      </c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 t="s">
        <v>6919</v>
      </c>
      <c r="Y1714" s="1" t="s">
        <v>6920</v>
      </c>
    </row>
    <row r="1715">
      <c r="A1715" s="1">
        <v>645090.0</v>
      </c>
      <c r="B1715" s="1" t="s">
        <v>6921</v>
      </c>
      <c r="C1715" s="1" t="s">
        <v>6922</v>
      </c>
      <c r="D1715" s="1" t="s">
        <v>6923</v>
      </c>
      <c r="E1715" s="1" t="s">
        <v>6924</v>
      </c>
      <c r="F1715" s="2" t="str">
        <f>"0689713533"</f>
        <v>0689713533</v>
      </c>
      <c r="G1715" s="2" t="str">
        <f>"9780689713538"</f>
        <v>9780689713538</v>
      </c>
      <c r="H1715" s="1" t="s">
        <v>2496</v>
      </c>
      <c r="I1715" s="1" t="s">
        <v>36</v>
      </c>
      <c r="J1715" s="1">
        <v>48.0</v>
      </c>
      <c r="K1715" s="1">
        <v>1989.0</v>
      </c>
      <c r="L1715" s="1">
        <v>1964.0</v>
      </c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 t="s">
        <v>6925</v>
      </c>
      <c r="Y1715" s="1" t="s">
        <v>6926</v>
      </c>
    </row>
    <row r="1716">
      <c r="A1716" s="1">
        <v>3.1491773E7</v>
      </c>
      <c r="B1716" s="1" t="s">
        <v>6927</v>
      </c>
      <c r="C1716" s="1" t="s">
        <v>4760</v>
      </c>
      <c r="D1716" s="1" t="s">
        <v>4761</v>
      </c>
      <c r="E1716" s="1" t="s">
        <v>4762</v>
      </c>
      <c r="F1716" s="2" t="str">
        <f>"1442402989"</f>
        <v>1442402989</v>
      </c>
      <c r="G1716" s="2" t="str">
        <f>"9781442402980"</f>
        <v>9781442402980</v>
      </c>
      <c r="H1716" s="1" t="s">
        <v>3030</v>
      </c>
      <c r="I1716" s="1" t="s">
        <v>31</v>
      </c>
      <c r="J1716" s="1">
        <v>48.0</v>
      </c>
      <c r="K1716" s="1">
        <v>2017.0</v>
      </c>
      <c r="L1716" s="1">
        <v>2017.0</v>
      </c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 t="s">
        <v>2254</v>
      </c>
      <c r="Y1716" s="1" t="s">
        <v>6928</v>
      </c>
    </row>
    <row r="1717">
      <c r="A1717" s="1">
        <v>2.6192551E7</v>
      </c>
      <c r="B1717" s="1" t="s">
        <v>6929</v>
      </c>
      <c r="C1717" s="1" t="s">
        <v>6930</v>
      </c>
      <c r="D1717" s="1" t="s">
        <v>6931</v>
      </c>
      <c r="E1717" s="1" t="s">
        <v>6932</v>
      </c>
      <c r="F1717" s="2" t="str">
        <f>"0553523163"</f>
        <v>0553523163</v>
      </c>
      <c r="G1717" s="2" t="str">
        <f>"9780553523164"</f>
        <v>9780553523164</v>
      </c>
      <c r="H1717" s="1" t="s">
        <v>1565</v>
      </c>
      <c r="I1717" s="1" t="s">
        <v>36</v>
      </c>
      <c r="J1717" s="1">
        <v>48.0</v>
      </c>
      <c r="K1717" s="1">
        <v>2016.0</v>
      </c>
      <c r="L1717" s="1">
        <v>2016.0</v>
      </c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 t="s">
        <v>1179</v>
      </c>
      <c r="Y1717" s="1" t="s">
        <v>6933</v>
      </c>
    </row>
    <row r="1718">
      <c r="A1718" s="1">
        <v>3.995252E7</v>
      </c>
      <c r="B1718" s="1" t="s">
        <v>6934</v>
      </c>
      <c r="C1718" s="1" t="s">
        <v>6935</v>
      </c>
      <c r="D1718" s="1" t="s">
        <v>6936</v>
      </c>
      <c r="E1718" s="1" t="s">
        <v>6937</v>
      </c>
      <c r="F1718" s="2" t="str">
        <f>"1607341956"</f>
        <v>1607341956</v>
      </c>
      <c r="G1718" s="2" t="str">
        <f>"9781607341956"</f>
        <v>9781607341956</v>
      </c>
      <c r="H1718" s="1" t="s">
        <v>6938</v>
      </c>
      <c r="I1718" s="1" t="s">
        <v>1278</v>
      </c>
      <c r="J1718" s="1">
        <v>48.0</v>
      </c>
      <c r="K1718" s="1">
        <v>2010.0</v>
      </c>
      <c r="L1718" s="1">
        <v>2006.0</v>
      </c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 t="s">
        <v>245</v>
      </c>
      <c r="Y1718" s="1" t="s">
        <v>6939</v>
      </c>
    </row>
    <row r="1719">
      <c r="A1719" s="1">
        <v>2.4950149E7</v>
      </c>
      <c r="B1719" s="1" t="s">
        <v>6940</v>
      </c>
      <c r="C1719" s="1" t="s">
        <v>6941</v>
      </c>
      <c r="D1719" s="1" t="s">
        <v>6942</v>
      </c>
      <c r="E1719" s="1" t="s">
        <v>6943</v>
      </c>
      <c r="F1719" s="2" t="str">
        <f>"1560376295"</f>
        <v>1560376295</v>
      </c>
      <c r="G1719" s="2" t="str">
        <f>"9781560376293"</f>
        <v>9781560376293</v>
      </c>
      <c r="H1719" s="1" t="s">
        <v>6944</v>
      </c>
      <c r="I1719" s="1" t="s">
        <v>36</v>
      </c>
      <c r="J1719" s="1">
        <v>48.0</v>
      </c>
      <c r="K1719" s="1">
        <v>2015.0</v>
      </c>
      <c r="L1719" s="1">
        <v>2015.0</v>
      </c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 t="s">
        <v>6945</v>
      </c>
      <c r="Y1719" s="1" t="s">
        <v>6946</v>
      </c>
    </row>
    <row r="1720">
      <c r="A1720" s="1">
        <v>2314803.0</v>
      </c>
      <c r="B1720" s="1" t="s">
        <v>6947</v>
      </c>
      <c r="C1720" s="1" t="s">
        <v>6948</v>
      </c>
      <c r="D1720" s="1" t="s">
        <v>6949</v>
      </c>
      <c r="F1720" s="2" t="str">
        <f>"1423100115"</f>
        <v>1423100115</v>
      </c>
      <c r="G1720" s="2" t="str">
        <f>"9781423100119"</f>
        <v>9781423100119</v>
      </c>
      <c r="H1720" s="1" t="s">
        <v>2786</v>
      </c>
      <c r="I1720" s="1" t="s">
        <v>31</v>
      </c>
      <c r="J1720" s="1">
        <v>48.0</v>
      </c>
      <c r="K1720" s="1">
        <v>2008.0</v>
      </c>
      <c r="L1720" s="1">
        <v>2008.0</v>
      </c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 t="s">
        <v>317</v>
      </c>
      <c r="Y1720" s="1" t="s">
        <v>6950</v>
      </c>
    </row>
    <row r="1721">
      <c r="A1721" s="1">
        <v>1.8225019E7</v>
      </c>
      <c r="B1721" s="1" t="s">
        <v>6951</v>
      </c>
      <c r="C1721" s="1" t="s">
        <v>6275</v>
      </c>
      <c r="D1721" s="1" t="s">
        <v>6276</v>
      </c>
      <c r="E1721" s="1" t="s">
        <v>6952</v>
      </c>
      <c r="F1721" s="2" t="str">
        <f>"0375972064"</f>
        <v>0375972064</v>
      </c>
      <c r="G1721" s="2" t="str">
        <f>"9780375972065"</f>
        <v>9780375972065</v>
      </c>
      <c r="H1721" s="1" t="s">
        <v>156</v>
      </c>
      <c r="I1721" s="1" t="s">
        <v>91</v>
      </c>
      <c r="J1721" s="1">
        <v>48.0</v>
      </c>
      <c r="K1721" s="1">
        <v>2014.0</v>
      </c>
      <c r="L1721" s="1">
        <v>2014.0</v>
      </c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 t="s">
        <v>6953</v>
      </c>
      <c r="Y1721" s="1" t="s">
        <v>6954</v>
      </c>
    </row>
    <row r="1722">
      <c r="A1722" s="1">
        <v>366709.0</v>
      </c>
      <c r="B1722" s="1" t="s">
        <v>6955</v>
      </c>
      <c r="C1722" s="1" t="s">
        <v>4864</v>
      </c>
      <c r="D1722" s="1" t="s">
        <v>4865</v>
      </c>
      <c r="E1722" s="1" t="s">
        <v>6286</v>
      </c>
      <c r="F1722" s="2" t="str">
        <f>"068981013X"</f>
        <v>068981013X</v>
      </c>
      <c r="G1722" s="2" t="str">
        <f>"9780689810138"</f>
        <v>9780689810138</v>
      </c>
      <c r="H1722" s="1" t="s">
        <v>1371</v>
      </c>
      <c r="I1722" s="1" t="s">
        <v>36</v>
      </c>
      <c r="J1722" s="1">
        <v>48.0</v>
      </c>
      <c r="K1722" s="1">
        <v>1996.0</v>
      </c>
      <c r="L1722" s="1">
        <v>1990.0</v>
      </c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 t="s">
        <v>83</v>
      </c>
      <c r="Y1722" s="1" t="s">
        <v>6956</v>
      </c>
    </row>
    <row r="1723">
      <c r="A1723" s="1">
        <v>1067612.0</v>
      </c>
      <c r="B1723" s="1" t="s">
        <v>6957</v>
      </c>
      <c r="C1723" s="1" t="s">
        <v>4864</v>
      </c>
      <c r="D1723" s="1" t="s">
        <v>4865</v>
      </c>
      <c r="E1723" s="1" t="s">
        <v>6286</v>
      </c>
      <c r="F1723" s="2" t="str">
        <f>"0689832842"</f>
        <v>0689832842</v>
      </c>
      <c r="G1723" s="2" t="str">
        <f>"9780689832840"</f>
        <v>9780689832840</v>
      </c>
      <c r="H1723" s="1" t="s">
        <v>1371</v>
      </c>
      <c r="I1723" s="1" t="s">
        <v>36</v>
      </c>
      <c r="J1723" s="1">
        <v>48.0</v>
      </c>
      <c r="K1723" s="1">
        <v>2000.0</v>
      </c>
      <c r="L1723" s="1">
        <v>1998.0</v>
      </c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 t="s">
        <v>83</v>
      </c>
      <c r="Y1723" s="1" t="s">
        <v>6958</v>
      </c>
    </row>
    <row r="1724">
      <c r="A1724" s="1">
        <v>399067.0</v>
      </c>
      <c r="B1724" s="1" t="s">
        <v>6959</v>
      </c>
      <c r="C1724" s="1" t="s">
        <v>4864</v>
      </c>
      <c r="D1724" s="1" t="s">
        <v>4865</v>
      </c>
      <c r="E1724" s="1" t="s">
        <v>6286</v>
      </c>
      <c r="F1724" s="2" t="str">
        <f>"0874994411"</f>
        <v>0874994411</v>
      </c>
      <c r="G1724" s="2" t="str">
        <f>"9780874994414"</f>
        <v>9780874994414</v>
      </c>
      <c r="H1724" s="1" t="s">
        <v>6960</v>
      </c>
      <c r="I1724" s="1" t="s">
        <v>36</v>
      </c>
      <c r="J1724" s="1">
        <v>48.0</v>
      </c>
      <c r="K1724" s="1">
        <v>1998.0</v>
      </c>
      <c r="L1724" s="1">
        <v>1987.0</v>
      </c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 t="s">
        <v>83</v>
      </c>
      <c r="Y1724" s="1" t="s">
        <v>6961</v>
      </c>
    </row>
    <row r="1725">
      <c r="A1725" s="1">
        <v>414963.0</v>
      </c>
      <c r="B1725" s="1" t="s">
        <v>6962</v>
      </c>
      <c r="C1725" s="1" t="s">
        <v>4864</v>
      </c>
      <c r="D1725" s="1" t="s">
        <v>4865</v>
      </c>
      <c r="E1725" s="1" t="s">
        <v>6963</v>
      </c>
      <c r="F1725" s="2" t="str">
        <f>"0060534508"</f>
        <v>0060534508</v>
      </c>
      <c r="G1725" s="2" t="str">
        <f>"9780060534509"</f>
        <v>9780060534509</v>
      </c>
      <c r="H1725" s="1" t="s">
        <v>1570</v>
      </c>
      <c r="I1725" s="1" t="s">
        <v>36</v>
      </c>
      <c r="J1725" s="1">
        <v>48.0</v>
      </c>
      <c r="K1725" s="1">
        <v>2006.0</v>
      </c>
      <c r="L1725" s="1">
        <v>2004.0</v>
      </c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 t="s">
        <v>83</v>
      </c>
      <c r="Y1725" s="1" t="s">
        <v>6964</v>
      </c>
    </row>
    <row r="1726">
      <c r="A1726" s="1">
        <v>1.7679551E7</v>
      </c>
      <c r="B1726" s="1" t="s">
        <v>6965</v>
      </c>
      <c r="C1726" s="1" t="s">
        <v>6966</v>
      </c>
      <c r="D1726" s="1" t="s">
        <v>6967</v>
      </c>
      <c r="E1726" s="1" t="s">
        <v>6968</v>
      </c>
      <c r="F1726" s="2" t="str">
        <f>"0375971513"</f>
        <v>0375971513</v>
      </c>
      <c r="G1726" s="2" t="str">
        <f>"9780375971518"</f>
        <v>9780375971518</v>
      </c>
      <c r="H1726" s="1" t="s">
        <v>156</v>
      </c>
      <c r="I1726" s="1" t="s">
        <v>91</v>
      </c>
      <c r="J1726" s="1">
        <v>48.0</v>
      </c>
      <c r="K1726" s="1">
        <v>2014.0</v>
      </c>
      <c r="L1726" s="1">
        <v>2014.0</v>
      </c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 t="s">
        <v>1326</v>
      </c>
      <c r="Y1726" s="1" t="s">
        <v>6969</v>
      </c>
    </row>
    <row r="1727">
      <c r="A1727" s="1">
        <v>4953345.0</v>
      </c>
      <c r="B1727" s="1" t="s">
        <v>6970</v>
      </c>
      <c r="C1727" s="1" t="s">
        <v>6971</v>
      </c>
      <c r="D1727" s="1" t="s">
        <v>6972</v>
      </c>
      <c r="F1727" s="2" t="str">
        <f>"0545138329"</f>
        <v>0545138329</v>
      </c>
      <c r="G1727" s="2" t="str">
        <f>"9780545138321"</f>
        <v>9780545138321</v>
      </c>
      <c r="H1727" s="1" t="s">
        <v>6973</v>
      </c>
      <c r="I1727" s="1" t="s">
        <v>36</v>
      </c>
      <c r="J1727" s="1">
        <v>48.0</v>
      </c>
      <c r="K1727" s="1">
        <v>2009.0</v>
      </c>
      <c r="L1727" s="1">
        <v>2009.0</v>
      </c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 t="s">
        <v>146</v>
      </c>
      <c r="Y1727" s="1" t="s">
        <v>6974</v>
      </c>
    </row>
    <row r="1728">
      <c r="A1728" s="1">
        <v>117173.0</v>
      </c>
      <c r="B1728" s="1" t="s">
        <v>6975</v>
      </c>
      <c r="C1728" s="1" t="s">
        <v>1923</v>
      </c>
      <c r="D1728" s="1" t="s">
        <v>1924</v>
      </c>
      <c r="F1728" s="2" t="str">
        <f>"0307168034"</f>
        <v>0307168034</v>
      </c>
      <c r="G1728" s="2" t="str">
        <f>"9780307168030"</f>
        <v>9780307168030</v>
      </c>
      <c r="H1728" s="1" t="s">
        <v>2009</v>
      </c>
      <c r="I1728" s="1" t="s">
        <v>31</v>
      </c>
      <c r="J1728" s="1">
        <v>48.0</v>
      </c>
      <c r="K1728" s="1">
        <v>2000.0</v>
      </c>
      <c r="L1728" s="1">
        <v>1992.0</v>
      </c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 t="s">
        <v>452</v>
      </c>
      <c r="Y1728" s="1" t="s">
        <v>6976</v>
      </c>
    </row>
    <row r="1729">
      <c r="A1729" s="1">
        <v>71260.0</v>
      </c>
      <c r="B1729" s="1" t="s">
        <v>6977</v>
      </c>
      <c r="C1729" s="1" t="s">
        <v>1619</v>
      </c>
      <c r="D1729" s="1" t="s">
        <v>5719</v>
      </c>
      <c r="F1729" s="2" t="str">
        <f>"0064434222"</f>
        <v>0064434222</v>
      </c>
      <c r="G1729" s="2" t="str">
        <f>"9780064434225"</f>
        <v>9780064434225</v>
      </c>
      <c r="H1729" s="1" t="s">
        <v>2736</v>
      </c>
      <c r="I1729" s="1" t="s">
        <v>36</v>
      </c>
      <c r="J1729" s="1">
        <v>48.0</v>
      </c>
      <c r="K1729" s="1">
        <v>1996.0</v>
      </c>
      <c r="L1729" s="1">
        <v>1963.0</v>
      </c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 t="s">
        <v>6978</v>
      </c>
      <c r="Y1729" s="1" t="s">
        <v>6979</v>
      </c>
    </row>
    <row r="1730">
      <c r="A1730" s="1">
        <v>2.4968109E7</v>
      </c>
      <c r="B1730" s="1" t="s">
        <v>6980</v>
      </c>
      <c r="C1730" s="1" t="s">
        <v>1182</v>
      </c>
      <c r="D1730" s="1" t="s">
        <v>1183</v>
      </c>
      <c r="F1730" s="2" t="str">
        <f>"0553524267"</f>
        <v>0553524267</v>
      </c>
      <c r="G1730" s="2" t="str">
        <f>"9780553524260"</f>
        <v>9780553524260</v>
      </c>
      <c r="H1730" s="1" t="s">
        <v>6981</v>
      </c>
      <c r="I1730" s="1" t="s">
        <v>31</v>
      </c>
      <c r="J1730" s="1">
        <v>48.0</v>
      </c>
      <c r="K1730" s="1">
        <v>2015.0</v>
      </c>
      <c r="L1730" s="1">
        <v>2015.0</v>
      </c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 t="s">
        <v>6982</v>
      </c>
      <c r="Y1730" s="1" t="s">
        <v>6983</v>
      </c>
    </row>
    <row r="1731">
      <c r="A1731" s="1">
        <v>833046.0</v>
      </c>
      <c r="B1731" s="1" t="s">
        <v>6984</v>
      </c>
      <c r="C1731" s="1" t="s">
        <v>1182</v>
      </c>
      <c r="D1731" s="1" t="s">
        <v>1183</v>
      </c>
      <c r="E1731" s="1" t="s">
        <v>6985</v>
      </c>
      <c r="F1731" s="2" t="str">
        <f>"0394892178"</f>
        <v>0394892178</v>
      </c>
      <c r="G1731" s="2" t="str">
        <f>"9780394892177"</f>
        <v>9780394892177</v>
      </c>
      <c r="H1731" s="1" t="s">
        <v>156</v>
      </c>
      <c r="I1731" s="1" t="s">
        <v>31</v>
      </c>
      <c r="J1731" s="1">
        <v>48.0</v>
      </c>
      <c r="K1731" s="1">
        <v>1987.0</v>
      </c>
      <c r="L1731" s="1">
        <v>1987.0</v>
      </c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 t="s">
        <v>1326</v>
      </c>
      <c r="Y1731" s="1" t="s">
        <v>6986</v>
      </c>
    </row>
    <row r="1732">
      <c r="A1732" s="1">
        <v>7783.0</v>
      </c>
      <c r="B1732" s="1" t="s">
        <v>6987</v>
      </c>
      <c r="C1732" s="1" t="s">
        <v>1182</v>
      </c>
      <c r="D1732" s="1" t="s">
        <v>1183</v>
      </c>
      <c r="F1732" s="2" t="str">
        <f>"0007175221"</f>
        <v>0007175221</v>
      </c>
      <c r="G1732" s="2" t="str">
        <f>"9780007175222"</f>
        <v>9780007175222</v>
      </c>
      <c r="H1732" s="1" t="s">
        <v>6988</v>
      </c>
      <c r="I1732" s="1" t="s">
        <v>36</v>
      </c>
      <c r="J1732" s="1">
        <v>48.0</v>
      </c>
      <c r="K1732" s="1">
        <v>2005.0</v>
      </c>
      <c r="L1732" s="1">
        <v>1979.0</v>
      </c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 t="s">
        <v>536</v>
      </c>
      <c r="Y1732" s="1" t="s">
        <v>6989</v>
      </c>
    </row>
    <row r="1733">
      <c r="A1733" s="1">
        <v>925370.0</v>
      </c>
      <c r="B1733" s="1" t="s">
        <v>6990</v>
      </c>
      <c r="C1733" s="1" t="s">
        <v>6991</v>
      </c>
      <c r="D1733" s="1" t="s">
        <v>6992</v>
      </c>
      <c r="E1733" s="1" t="s">
        <v>5040</v>
      </c>
      <c r="F1733" s="2" t="str">
        <f>"0440463025"</f>
        <v>0440463025</v>
      </c>
      <c r="G1733" s="2" t="str">
        <f>"9780440463023"</f>
        <v>9780440463023</v>
      </c>
      <c r="H1733" s="1" t="s">
        <v>6845</v>
      </c>
      <c r="I1733" s="1" t="s">
        <v>36</v>
      </c>
      <c r="J1733" s="1">
        <v>48.0</v>
      </c>
      <c r="K1733" s="1">
        <v>1978.0</v>
      </c>
      <c r="L1733" s="1">
        <v>1974.0</v>
      </c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 t="s">
        <v>1397</v>
      </c>
      <c r="Y1733" s="1" t="s">
        <v>6993</v>
      </c>
    </row>
    <row r="1734">
      <c r="A1734" s="1">
        <v>2.1065391E7</v>
      </c>
      <c r="B1734" s="1" t="s">
        <v>6994</v>
      </c>
      <c r="C1734" s="1" t="s">
        <v>6995</v>
      </c>
      <c r="D1734" s="1" t="s">
        <v>6996</v>
      </c>
      <c r="E1734" s="1" t="s">
        <v>2884</v>
      </c>
      <c r="F1734" s="2" t="str">
        <f>"1409550583"</f>
        <v>1409550583</v>
      </c>
      <c r="G1734" s="2" t="str">
        <f>"9781409550587"</f>
        <v>9781409550587</v>
      </c>
      <c r="H1734" s="1" t="s">
        <v>6997</v>
      </c>
      <c r="I1734" s="1" t="s">
        <v>31</v>
      </c>
      <c r="J1734" s="1">
        <v>48.0</v>
      </c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 t="s">
        <v>212</v>
      </c>
      <c r="Y1734" s="1" t="s">
        <v>6998</v>
      </c>
    </row>
    <row r="1735">
      <c r="A1735" s="1">
        <v>775597.0</v>
      </c>
      <c r="B1735" s="1" t="s">
        <v>6999</v>
      </c>
      <c r="C1735" s="1" t="s">
        <v>7000</v>
      </c>
      <c r="D1735" s="1" t="s">
        <v>7001</v>
      </c>
      <c r="F1735" s="2" t="str">
        <f>"0064431436"</f>
        <v>0064431436</v>
      </c>
      <c r="G1735" s="2" t="str">
        <f>"9780064431439"</f>
        <v>9780064431439</v>
      </c>
      <c r="H1735" s="1" t="s">
        <v>290</v>
      </c>
      <c r="I1735" s="1" t="s">
        <v>36</v>
      </c>
      <c r="J1735" s="1">
        <v>48.0</v>
      </c>
      <c r="K1735" s="1">
        <v>2015.0</v>
      </c>
      <c r="L1735" s="1">
        <v>1940.0</v>
      </c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 t="s">
        <v>7002</v>
      </c>
      <c r="Y1735" s="1" t="s">
        <v>7003</v>
      </c>
    </row>
    <row r="1736">
      <c r="A1736" s="1">
        <v>3.5488216E7</v>
      </c>
      <c r="B1736" s="1" t="s">
        <v>7004</v>
      </c>
      <c r="C1736" s="1" t="s">
        <v>7005</v>
      </c>
      <c r="D1736" s="1" t="s">
        <v>7006</v>
      </c>
      <c r="F1736" s="2" t="str">
        <f>"0760357854"</f>
        <v>0760357854</v>
      </c>
      <c r="G1736" s="2" t="str">
        <f>"9780760357859"</f>
        <v>9780760357859</v>
      </c>
      <c r="H1736" s="1" t="s">
        <v>7007</v>
      </c>
      <c r="I1736" s="1" t="s">
        <v>31</v>
      </c>
      <c r="J1736" s="1">
        <v>48.0</v>
      </c>
      <c r="K1736" s="1">
        <v>2018.0</v>
      </c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 t="s">
        <v>1494</v>
      </c>
      <c r="Y1736" s="1" t="s">
        <v>7008</v>
      </c>
    </row>
    <row r="1737">
      <c r="A1737" s="1">
        <v>371745.0</v>
      </c>
      <c r="B1737" s="1" t="s">
        <v>7009</v>
      </c>
      <c r="C1737" s="1" t="s">
        <v>6807</v>
      </c>
      <c r="D1737" s="1" t="s">
        <v>7010</v>
      </c>
      <c r="F1737" s="2" t="str">
        <f>"0843108533"</f>
        <v>0843108533</v>
      </c>
      <c r="G1737" s="2" t="str">
        <f>"9780843108538"</f>
        <v>9780843108538</v>
      </c>
      <c r="H1737" s="1" t="s">
        <v>6805</v>
      </c>
      <c r="I1737" s="1" t="s">
        <v>36</v>
      </c>
      <c r="J1737" s="1">
        <v>48.0</v>
      </c>
      <c r="K1737" s="1">
        <v>2004.0</v>
      </c>
      <c r="L1737" s="1">
        <v>2004.0</v>
      </c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 t="s">
        <v>563</v>
      </c>
      <c r="Y1737" s="1" t="s">
        <v>7011</v>
      </c>
    </row>
    <row r="1738">
      <c r="A1738" s="1">
        <v>9932856.0</v>
      </c>
      <c r="B1738" s="1" t="s">
        <v>7012</v>
      </c>
      <c r="C1738" s="1" t="s">
        <v>5141</v>
      </c>
      <c r="D1738" s="1" t="s">
        <v>5142</v>
      </c>
      <c r="F1738" s="2" t="str">
        <f>"1426307578"</f>
        <v>1426307578</v>
      </c>
      <c r="G1738" s="2" t="str">
        <f>"9781426307577"</f>
        <v>9781426307577</v>
      </c>
      <c r="H1738" s="1" t="s">
        <v>1490</v>
      </c>
      <c r="I1738" s="1" t="s">
        <v>36</v>
      </c>
      <c r="J1738" s="1">
        <v>48.0</v>
      </c>
      <c r="K1738" s="1">
        <v>2011.0</v>
      </c>
      <c r="L1738" s="1">
        <v>2011.0</v>
      </c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 t="s">
        <v>835</v>
      </c>
      <c r="Y1738" s="1" t="s">
        <v>7013</v>
      </c>
    </row>
    <row r="1739">
      <c r="A1739" s="1">
        <v>1.932653E7</v>
      </c>
      <c r="B1739" s="1" t="s">
        <v>7014</v>
      </c>
      <c r="C1739" s="1" t="s">
        <v>5141</v>
      </c>
      <c r="D1739" s="1" t="s">
        <v>5142</v>
      </c>
      <c r="F1739" s="2" t="str">
        <f>"1426314744"</f>
        <v>1426314744</v>
      </c>
      <c r="G1739" s="2" t="str">
        <f>"9781426314742"</f>
        <v>9781426314742</v>
      </c>
      <c r="H1739" s="1" t="s">
        <v>1490</v>
      </c>
      <c r="I1739" s="1" t="s">
        <v>36</v>
      </c>
      <c r="J1739" s="1">
        <v>48.0</v>
      </c>
      <c r="K1739" s="1">
        <v>2014.0</v>
      </c>
      <c r="L1739" s="1">
        <v>2014.0</v>
      </c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 t="s">
        <v>629</v>
      </c>
      <c r="Y1739" s="1" t="s">
        <v>7015</v>
      </c>
    </row>
    <row r="1740">
      <c r="A1740" s="1">
        <v>2805961.0</v>
      </c>
      <c r="B1740" s="1" t="s">
        <v>7016</v>
      </c>
      <c r="C1740" s="1" t="s">
        <v>7017</v>
      </c>
      <c r="D1740" s="1" t="s">
        <v>7018</v>
      </c>
      <c r="E1740" s="1" t="s">
        <v>7019</v>
      </c>
      <c r="F1740" s="2" t="str">
        <f>"043920657X"</f>
        <v>043920657X</v>
      </c>
      <c r="G1740" s="2" t="str">
        <f>"9780439206570"</f>
        <v>9780439206570</v>
      </c>
      <c r="H1740" s="1" t="s">
        <v>7020</v>
      </c>
      <c r="I1740" s="1" t="s">
        <v>36</v>
      </c>
      <c r="J1740" s="1">
        <v>48.0</v>
      </c>
      <c r="K1740" s="1">
        <v>2000.0</v>
      </c>
      <c r="L1740" s="1">
        <v>2000.0</v>
      </c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 t="s">
        <v>835</v>
      </c>
      <c r="Y1740" s="1" t="s">
        <v>7021</v>
      </c>
    </row>
    <row r="1741">
      <c r="A1741" s="1">
        <v>5.0809672E7</v>
      </c>
      <c r="B1741" s="1" t="s">
        <v>7022</v>
      </c>
      <c r="C1741" s="1" t="s">
        <v>7023</v>
      </c>
      <c r="D1741" s="1" t="s">
        <v>7024</v>
      </c>
      <c r="F1741" s="2" t="str">
        <f>"0531130819"</f>
        <v>0531130819</v>
      </c>
      <c r="G1741" s="2" t="str">
        <f>"9780531130810"</f>
        <v>9780531130810</v>
      </c>
      <c r="H1741" s="1" t="s">
        <v>1614</v>
      </c>
      <c r="I1741" s="1" t="s">
        <v>91</v>
      </c>
      <c r="J1741" s="1">
        <v>48.0</v>
      </c>
      <c r="K1741" s="1">
        <v>2020.0</v>
      </c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 t="s">
        <v>1466</v>
      </c>
      <c r="Y1741" s="1" t="s">
        <v>7025</v>
      </c>
    </row>
    <row r="1742">
      <c r="A1742" s="1">
        <v>1012363.0</v>
      </c>
      <c r="B1742" s="1" t="s">
        <v>7026</v>
      </c>
      <c r="C1742" s="1" t="s">
        <v>708</v>
      </c>
      <c r="D1742" s="1" t="s">
        <v>709</v>
      </c>
      <c r="E1742" s="1" t="s">
        <v>5681</v>
      </c>
      <c r="F1742" s="2" t="str">
        <f>"0375833234"</f>
        <v>0375833234</v>
      </c>
      <c r="G1742" s="2" t="str">
        <f>"9780375833236"</f>
        <v>9780375833236</v>
      </c>
      <c r="H1742" s="1" t="s">
        <v>1565</v>
      </c>
      <c r="I1742" s="1" t="s">
        <v>36</v>
      </c>
      <c r="J1742" s="1">
        <v>48.0</v>
      </c>
      <c r="K1742" s="1">
        <v>2006.0</v>
      </c>
      <c r="L1742" s="1">
        <v>2006.0</v>
      </c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 t="s">
        <v>1179</v>
      </c>
      <c r="Y1742" s="1" t="s">
        <v>7027</v>
      </c>
    </row>
    <row r="1743">
      <c r="A1743" s="1">
        <v>624744.0</v>
      </c>
      <c r="B1743" s="1" t="s">
        <v>7028</v>
      </c>
      <c r="C1743" s="1" t="s">
        <v>724</v>
      </c>
      <c r="D1743" s="1" t="s">
        <v>725</v>
      </c>
      <c r="F1743" s="2" t="str">
        <f>"0786852941"</f>
        <v>0786852941</v>
      </c>
      <c r="G1743" s="2" t="str">
        <f>"9780786852949"</f>
        <v>9780786852949</v>
      </c>
      <c r="H1743" s="1" t="s">
        <v>6415</v>
      </c>
      <c r="I1743" s="1" t="s">
        <v>31</v>
      </c>
      <c r="J1743" s="1">
        <v>48.0</v>
      </c>
      <c r="K1743" s="1">
        <v>2005.0</v>
      </c>
      <c r="L1743" s="1">
        <v>2005.0</v>
      </c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 t="s">
        <v>1317</v>
      </c>
      <c r="Y1743" s="1" t="s">
        <v>7029</v>
      </c>
    </row>
    <row r="1744">
      <c r="A1744" s="1">
        <v>163492.0</v>
      </c>
      <c r="B1744" s="1" t="s">
        <v>7030</v>
      </c>
      <c r="C1744" s="1" t="s">
        <v>6560</v>
      </c>
      <c r="D1744" s="1" t="s">
        <v>6561</v>
      </c>
      <c r="E1744" s="1" t="s">
        <v>6916</v>
      </c>
      <c r="F1744" s="2" t="str">
        <f>"0375822798"</f>
        <v>0375822798</v>
      </c>
      <c r="G1744" s="2" t="str">
        <f>"9780375822797"</f>
        <v>9780375822797</v>
      </c>
      <c r="H1744" s="1" t="s">
        <v>156</v>
      </c>
      <c r="I1744" s="1" t="s">
        <v>31</v>
      </c>
      <c r="J1744" s="1">
        <v>48.0</v>
      </c>
      <c r="K1744" s="1">
        <v>2006.0</v>
      </c>
      <c r="L1744" s="1">
        <v>2006.0</v>
      </c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 t="s">
        <v>1933</v>
      </c>
      <c r="Y1744" s="1" t="s">
        <v>7031</v>
      </c>
    </row>
    <row r="1745">
      <c r="A1745" s="1">
        <v>560829.0</v>
      </c>
      <c r="B1745" s="1" t="s">
        <v>7032</v>
      </c>
      <c r="C1745" s="1" t="s">
        <v>6560</v>
      </c>
      <c r="D1745" s="1" t="s">
        <v>6561</v>
      </c>
      <c r="E1745" s="1" t="s">
        <v>1122</v>
      </c>
      <c r="F1745" s="2" t="str">
        <f>"0375822771"</f>
        <v>0375822771</v>
      </c>
      <c r="G1745" s="2" t="str">
        <f>"9780375822773"</f>
        <v>9780375822773</v>
      </c>
      <c r="H1745" s="1" t="s">
        <v>156</v>
      </c>
      <c r="I1745" s="1" t="s">
        <v>31</v>
      </c>
      <c r="J1745" s="1">
        <v>48.0</v>
      </c>
      <c r="K1745" s="1">
        <v>2006.0</v>
      </c>
      <c r="L1745" s="1">
        <v>2006.0</v>
      </c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 t="s">
        <v>1326</v>
      </c>
      <c r="Y1745" s="1" t="s">
        <v>7033</v>
      </c>
    </row>
    <row r="1746">
      <c r="A1746" s="1">
        <v>209737.0</v>
      </c>
      <c r="B1746" s="1" t="s">
        <v>7034</v>
      </c>
      <c r="C1746" s="1" t="s">
        <v>6560</v>
      </c>
      <c r="D1746" s="1" t="s">
        <v>6561</v>
      </c>
      <c r="E1746" s="1" t="s">
        <v>6916</v>
      </c>
      <c r="F1746" s="2" t="str">
        <f>"0375810978"</f>
        <v>0375810978</v>
      </c>
      <c r="G1746" s="2" t="str">
        <f>"9780375810978"</f>
        <v>9780375810978</v>
      </c>
      <c r="H1746" s="1" t="s">
        <v>156</v>
      </c>
      <c r="I1746" s="1" t="s">
        <v>31</v>
      </c>
      <c r="J1746" s="1">
        <v>48.0</v>
      </c>
      <c r="K1746" s="1">
        <v>2003.0</v>
      </c>
      <c r="L1746" s="1">
        <v>2003.0</v>
      </c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 t="s">
        <v>6982</v>
      </c>
      <c r="Y1746" s="1" t="s">
        <v>7035</v>
      </c>
    </row>
    <row r="1747">
      <c r="A1747" s="1">
        <v>1.3642633E7</v>
      </c>
      <c r="B1747" s="1" t="s">
        <v>7036</v>
      </c>
      <c r="C1747" s="1" t="s">
        <v>6560</v>
      </c>
      <c r="D1747" s="1" t="s">
        <v>6561</v>
      </c>
      <c r="E1747" s="1" t="s">
        <v>1122</v>
      </c>
      <c r="F1747" s="2" t="str">
        <f>"0375970738"</f>
        <v>0375970738</v>
      </c>
      <c r="G1747" s="2" t="str">
        <f>"9780375970733"</f>
        <v>9780375970733</v>
      </c>
      <c r="H1747" s="1" t="s">
        <v>156</v>
      </c>
      <c r="I1747" s="1" t="s">
        <v>91</v>
      </c>
      <c r="J1747" s="1">
        <v>48.0</v>
      </c>
      <c r="K1747" s="1">
        <v>2013.0</v>
      </c>
      <c r="L1747" s="1">
        <v>2013.0</v>
      </c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 t="s">
        <v>1933</v>
      </c>
      <c r="Y1747" s="1" t="s">
        <v>7037</v>
      </c>
    </row>
    <row r="1748">
      <c r="A1748" s="1">
        <v>2.5046608E7</v>
      </c>
      <c r="B1748" s="1" t="s">
        <v>7038</v>
      </c>
      <c r="C1748" s="1" t="s">
        <v>7039</v>
      </c>
      <c r="D1748" s="1" t="s">
        <v>7040</v>
      </c>
      <c r="E1748" s="1" t="s">
        <v>7041</v>
      </c>
      <c r="F1748" s="2" t="str">
        <f>"1496521897"</f>
        <v>1496521897</v>
      </c>
      <c r="G1748" s="2" t="str">
        <f>"9781496521897"</f>
        <v>9781496521897</v>
      </c>
      <c r="H1748" s="1" t="s">
        <v>6822</v>
      </c>
      <c r="I1748" s="1" t="s">
        <v>238</v>
      </c>
      <c r="J1748" s="1">
        <v>49.0</v>
      </c>
      <c r="K1748" s="1">
        <v>2015.0</v>
      </c>
      <c r="L1748" s="1">
        <v>2015.0</v>
      </c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 t="s">
        <v>6317</v>
      </c>
      <c r="Y1748" s="1" t="s">
        <v>7042</v>
      </c>
    </row>
    <row r="1749">
      <c r="A1749" s="1">
        <v>2.5045021E7</v>
      </c>
      <c r="B1749" s="1" t="s">
        <v>7043</v>
      </c>
      <c r="C1749" s="1" t="s">
        <v>4906</v>
      </c>
      <c r="D1749" s="1" t="s">
        <v>4907</v>
      </c>
      <c r="E1749" s="1" t="s">
        <v>7041</v>
      </c>
      <c r="F1749" s="2" t="str">
        <f>"1496521862"</f>
        <v>1496521862</v>
      </c>
      <c r="G1749" s="2" t="str">
        <f>"9781496521866"</f>
        <v>9781496521866</v>
      </c>
      <c r="H1749" s="1" t="s">
        <v>6822</v>
      </c>
      <c r="I1749" s="1" t="s">
        <v>238</v>
      </c>
      <c r="J1749" s="1">
        <v>49.0</v>
      </c>
      <c r="K1749" s="1">
        <v>2015.0</v>
      </c>
      <c r="L1749" s="1">
        <v>2015.0</v>
      </c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 t="s">
        <v>6317</v>
      </c>
      <c r="Y1749" s="1" t="s">
        <v>7044</v>
      </c>
    </row>
    <row r="1750">
      <c r="A1750" s="1">
        <v>2.234831E7</v>
      </c>
      <c r="B1750" s="1" t="s">
        <v>7045</v>
      </c>
      <c r="C1750" s="1" t="s">
        <v>687</v>
      </c>
      <c r="D1750" s="1" t="s">
        <v>688</v>
      </c>
      <c r="F1750" s="2" t="str">
        <f>"1933758007"</f>
        <v>1933758007</v>
      </c>
      <c r="G1750" s="2" t="str">
        <f>"9781933758008"</f>
        <v>9781933758008</v>
      </c>
      <c r="H1750" s="1" t="s">
        <v>6446</v>
      </c>
      <c r="I1750" s="1" t="s">
        <v>36</v>
      </c>
      <c r="J1750" s="1">
        <v>49.0</v>
      </c>
      <c r="K1750" s="1">
        <v>2005.0</v>
      </c>
      <c r="L1750" s="1">
        <v>2005.0</v>
      </c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 t="s">
        <v>629</v>
      </c>
      <c r="Y1750" s="1" t="s">
        <v>7046</v>
      </c>
    </row>
    <row r="1751">
      <c r="A1751" s="1">
        <v>2.9986449E7</v>
      </c>
      <c r="B1751" s="1" t="s">
        <v>7047</v>
      </c>
      <c r="C1751" s="1" t="s">
        <v>7048</v>
      </c>
      <c r="D1751" s="1" t="s">
        <v>7049</v>
      </c>
      <c r="F1751" s="2" t="str">
        <f t="shared" ref="F1751:G1751" si="111">""</f>
        <v/>
      </c>
      <c r="G1751" s="2" t="str">
        <f t="shared" si="111"/>
        <v/>
      </c>
      <c r="H1751" s="1" t="s">
        <v>7050</v>
      </c>
      <c r="I1751" s="1" t="s">
        <v>238</v>
      </c>
      <c r="J1751" s="1">
        <v>50.0</v>
      </c>
      <c r="K1751" s="1">
        <v>2016.0</v>
      </c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 t="s">
        <v>239</v>
      </c>
      <c r="Y1751" s="1" t="s">
        <v>7051</v>
      </c>
    </row>
    <row r="1752">
      <c r="A1752" s="1">
        <v>2014063.0</v>
      </c>
      <c r="B1752" s="1" t="s">
        <v>7052</v>
      </c>
      <c r="C1752" s="1" t="s">
        <v>7053</v>
      </c>
      <c r="D1752" s="1" t="s">
        <v>7054</v>
      </c>
      <c r="F1752" s="2" t="str">
        <f>"081091381X"</f>
        <v>081091381X</v>
      </c>
      <c r="G1752" s="2" t="str">
        <f>"9780810913813"</f>
        <v>9780810913813</v>
      </c>
      <c r="H1752" s="1" t="s">
        <v>2568</v>
      </c>
      <c r="I1752" s="1" t="s">
        <v>31</v>
      </c>
      <c r="J1752" s="1">
        <v>52.0</v>
      </c>
      <c r="K1752" s="1">
        <v>2007.0</v>
      </c>
      <c r="L1752" s="1">
        <v>2007.0</v>
      </c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 t="s">
        <v>3709</v>
      </c>
      <c r="Y1752" s="1" t="s">
        <v>7055</v>
      </c>
    </row>
    <row r="1753">
      <c r="A1753" s="1">
        <v>1054399.0</v>
      </c>
      <c r="B1753" s="1" t="s">
        <v>7056</v>
      </c>
      <c r="C1753" s="1" t="s">
        <v>7057</v>
      </c>
      <c r="D1753" s="1" t="s">
        <v>7058</v>
      </c>
      <c r="F1753" s="2" t="str">
        <f>"0811855198"</f>
        <v>0811855198</v>
      </c>
      <c r="G1753" s="2" t="str">
        <f>"9780811855198"</f>
        <v>9780811855198</v>
      </c>
      <c r="H1753" s="1" t="s">
        <v>1593</v>
      </c>
      <c r="I1753" s="1" t="s">
        <v>31</v>
      </c>
      <c r="J1753" s="1">
        <v>52.0</v>
      </c>
      <c r="K1753" s="1">
        <v>2006.0</v>
      </c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 t="s">
        <v>2298</v>
      </c>
      <c r="Y1753" s="1" t="s">
        <v>7059</v>
      </c>
    </row>
    <row r="1754">
      <c r="A1754" s="1">
        <v>7784196.0</v>
      </c>
      <c r="B1754" s="1" t="s">
        <v>7060</v>
      </c>
      <c r="C1754" s="1" t="s">
        <v>724</v>
      </c>
      <c r="D1754" s="1" t="s">
        <v>725</v>
      </c>
      <c r="F1754" s="2" t="str">
        <f>"0061929573"</f>
        <v>0061929573</v>
      </c>
      <c r="G1754" s="2" t="str">
        <f>"9780061929571"</f>
        <v>9780061929571</v>
      </c>
      <c r="H1754" s="1" t="s">
        <v>290</v>
      </c>
      <c r="I1754" s="1" t="s">
        <v>31</v>
      </c>
      <c r="J1754" s="1">
        <v>52.0</v>
      </c>
      <c r="K1754" s="1">
        <v>2010.0</v>
      </c>
      <c r="L1754" s="1">
        <v>2010.0</v>
      </c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 t="s">
        <v>727</v>
      </c>
      <c r="Y1754" s="1" t="s">
        <v>7061</v>
      </c>
    </row>
    <row r="1755">
      <c r="A1755" s="1">
        <v>99367.0</v>
      </c>
      <c r="B1755" s="1" t="s">
        <v>7062</v>
      </c>
      <c r="C1755" s="1" t="s">
        <v>4864</v>
      </c>
      <c r="D1755" s="1" t="s">
        <v>4865</v>
      </c>
      <c r="F1755" s="2" t="str">
        <f>"0152057501"</f>
        <v>0152057501</v>
      </c>
      <c r="G1755" s="2" t="str">
        <f>"9780152057503"</f>
        <v>9780152057503</v>
      </c>
      <c r="H1755" s="1" t="s">
        <v>1799</v>
      </c>
      <c r="I1755" s="1" t="s">
        <v>36</v>
      </c>
      <c r="J1755" s="1">
        <v>53.0</v>
      </c>
      <c r="K1755" s="1">
        <v>2006.0</v>
      </c>
      <c r="L1755" s="1">
        <v>1995.0</v>
      </c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 t="s">
        <v>45</v>
      </c>
      <c r="Y1755" s="1" t="s">
        <v>7063</v>
      </c>
    </row>
    <row r="1756">
      <c r="A1756" s="1">
        <v>6.0656846E7</v>
      </c>
      <c r="B1756" s="1" t="s">
        <v>7064</v>
      </c>
      <c r="C1756" s="1" t="s">
        <v>7065</v>
      </c>
      <c r="D1756" s="1" t="s">
        <v>7066</v>
      </c>
      <c r="E1756" s="1" t="s">
        <v>7067</v>
      </c>
      <c r="F1756" s="2" t="str">
        <f>"031647312X"</f>
        <v>031647312X</v>
      </c>
      <c r="G1756" s="2" t="str">
        <f>"9780316473125"</f>
        <v>9780316473125</v>
      </c>
      <c r="H1756" s="1" t="s">
        <v>112</v>
      </c>
      <c r="I1756" s="1" t="s">
        <v>31</v>
      </c>
      <c r="J1756" s="1">
        <v>56.0</v>
      </c>
      <c r="K1756" s="1">
        <v>2023.0</v>
      </c>
      <c r="L1756" s="1">
        <v>2023.0</v>
      </c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 t="s">
        <v>742</v>
      </c>
      <c r="Y1756" s="1" t="s">
        <v>7068</v>
      </c>
    </row>
    <row r="1757">
      <c r="A1757" s="1">
        <v>944066.0</v>
      </c>
      <c r="B1757" s="1" t="s">
        <v>7069</v>
      </c>
      <c r="C1757" s="1" t="s">
        <v>7053</v>
      </c>
      <c r="D1757" s="1" t="s">
        <v>7054</v>
      </c>
      <c r="F1757" s="2" t="str">
        <f>"0810958546"</f>
        <v>0810958546</v>
      </c>
      <c r="G1757" s="2" t="str">
        <f>"9780810958548"</f>
        <v>9780810958548</v>
      </c>
      <c r="H1757" s="1" t="s">
        <v>2568</v>
      </c>
      <c r="I1757" s="1" t="s">
        <v>31</v>
      </c>
      <c r="J1757" s="1">
        <v>56.0</v>
      </c>
      <c r="K1757" s="1">
        <v>2005.0</v>
      </c>
      <c r="L1757" s="1">
        <v>2005.0</v>
      </c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 t="s">
        <v>3709</v>
      </c>
      <c r="Y1757" s="1" t="s">
        <v>7070</v>
      </c>
    </row>
    <row r="1758">
      <c r="A1758" s="1">
        <v>2.6485263E7</v>
      </c>
      <c r="B1758" s="1" t="s">
        <v>7071</v>
      </c>
      <c r="C1758" s="1" t="s">
        <v>7072</v>
      </c>
      <c r="D1758" s="1" t="s">
        <v>7073</v>
      </c>
      <c r="F1758" s="2" t="str">
        <f>"1623260507"</f>
        <v>1623260507</v>
      </c>
      <c r="G1758" s="2" t="str">
        <f>"9781623260507"</f>
        <v>9781623260507</v>
      </c>
      <c r="H1758" s="1" t="s">
        <v>7074</v>
      </c>
      <c r="I1758" s="1" t="s">
        <v>31</v>
      </c>
      <c r="J1758" s="1">
        <v>56.0</v>
      </c>
      <c r="K1758" s="1">
        <v>2015.0</v>
      </c>
      <c r="L1758" s="1">
        <v>2015.0</v>
      </c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 t="s">
        <v>841</v>
      </c>
      <c r="Y1758" s="1" t="s">
        <v>7075</v>
      </c>
    </row>
    <row r="1759">
      <c r="A1759" s="1">
        <v>2372135.0</v>
      </c>
      <c r="B1759" s="1" t="s">
        <v>7076</v>
      </c>
      <c r="C1759" s="1" t="s">
        <v>7077</v>
      </c>
      <c r="D1759" s="1" t="s">
        <v>7078</v>
      </c>
      <c r="E1759" s="1" t="s">
        <v>7079</v>
      </c>
      <c r="F1759" s="2" t="str">
        <f>"0938317601"</f>
        <v>0938317601</v>
      </c>
      <c r="G1759" s="2" t="str">
        <f>"9780938317609"</f>
        <v>9780938317609</v>
      </c>
      <c r="H1759" s="1" t="s">
        <v>4874</v>
      </c>
      <c r="I1759" s="1" t="s">
        <v>31</v>
      </c>
      <c r="J1759" s="1">
        <v>56.0</v>
      </c>
      <c r="K1759" s="1">
        <v>2002.0</v>
      </c>
      <c r="L1759" s="1">
        <v>2002.0</v>
      </c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 t="s">
        <v>68</v>
      </c>
      <c r="Y1759" s="1" t="s">
        <v>7080</v>
      </c>
    </row>
    <row r="1760">
      <c r="A1760" s="1">
        <v>1.58154E7</v>
      </c>
      <c r="B1760" s="1" t="s">
        <v>7081</v>
      </c>
      <c r="C1760" s="1" t="s">
        <v>6275</v>
      </c>
      <c r="D1760" s="1" t="s">
        <v>6276</v>
      </c>
      <c r="E1760" s="1" t="s">
        <v>4791</v>
      </c>
      <c r="F1760" s="2" t="str">
        <f>"0545436796"</f>
        <v>0545436796</v>
      </c>
      <c r="G1760" s="2" t="str">
        <f>"9780545436793"</f>
        <v>9780545436793</v>
      </c>
      <c r="H1760" s="1" t="s">
        <v>857</v>
      </c>
      <c r="I1760" s="1" t="s">
        <v>31</v>
      </c>
      <c r="J1760" s="1">
        <v>56.0</v>
      </c>
      <c r="K1760" s="1">
        <v>2013.0</v>
      </c>
      <c r="L1760" s="1">
        <v>2013.0</v>
      </c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 t="s">
        <v>1084</v>
      </c>
      <c r="Y1760" s="1" t="s">
        <v>7082</v>
      </c>
    </row>
    <row r="1761">
      <c r="A1761" s="1">
        <v>1106375.0</v>
      </c>
      <c r="B1761" s="1" t="s">
        <v>7083</v>
      </c>
      <c r="C1761" s="1" t="s">
        <v>4864</v>
      </c>
      <c r="D1761" s="1" t="s">
        <v>4865</v>
      </c>
      <c r="E1761" s="1" t="s">
        <v>682</v>
      </c>
      <c r="F1761" s="2" t="str">
        <f>"0590848380"</f>
        <v>0590848380</v>
      </c>
      <c r="G1761" s="2" t="str">
        <f>"9780590848381"</f>
        <v>9780590848381</v>
      </c>
      <c r="H1761" s="1" t="s">
        <v>3076</v>
      </c>
      <c r="I1761" s="1" t="s">
        <v>36</v>
      </c>
      <c r="J1761" s="1">
        <v>56.0</v>
      </c>
      <c r="K1761" s="1">
        <v>2001.0</v>
      </c>
      <c r="L1761" s="1">
        <v>2001.0</v>
      </c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 t="s">
        <v>3564</v>
      </c>
      <c r="Y1761" s="1" t="s">
        <v>7084</v>
      </c>
    </row>
    <row r="1762">
      <c r="A1762" s="1">
        <v>821032.0</v>
      </c>
      <c r="B1762" s="1" t="s">
        <v>7085</v>
      </c>
      <c r="C1762" s="1" t="s">
        <v>4864</v>
      </c>
      <c r="D1762" s="1" t="s">
        <v>4865</v>
      </c>
      <c r="E1762" s="1" t="s">
        <v>682</v>
      </c>
      <c r="F1762" s="2" t="str">
        <f>"0590847880"</f>
        <v>0590847880</v>
      </c>
      <c r="G1762" s="2" t="str">
        <f>"9780590847889"</f>
        <v>9780590847889</v>
      </c>
      <c r="H1762" s="1" t="s">
        <v>3076</v>
      </c>
      <c r="I1762" s="1" t="s">
        <v>36</v>
      </c>
      <c r="J1762" s="1">
        <v>56.0</v>
      </c>
      <c r="K1762" s="1">
        <v>1998.0</v>
      </c>
      <c r="L1762" s="1">
        <v>1997.0</v>
      </c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 t="s">
        <v>239</v>
      </c>
      <c r="Y1762" s="1" t="s">
        <v>7086</v>
      </c>
    </row>
    <row r="1763">
      <c r="A1763" s="1">
        <v>1638760.0</v>
      </c>
      <c r="B1763" s="1" t="s">
        <v>7087</v>
      </c>
      <c r="C1763" s="1" t="s">
        <v>4864</v>
      </c>
      <c r="D1763" s="1" t="s">
        <v>4865</v>
      </c>
      <c r="E1763" s="1" t="s">
        <v>682</v>
      </c>
      <c r="F1763" s="2" t="str">
        <f>"0590847945"</f>
        <v>0590847945</v>
      </c>
      <c r="G1763" s="2" t="str">
        <f>"9780590847940"</f>
        <v>9780590847940</v>
      </c>
      <c r="H1763" s="1" t="s">
        <v>3076</v>
      </c>
      <c r="I1763" s="1" t="s">
        <v>36</v>
      </c>
      <c r="J1763" s="1">
        <v>56.0</v>
      </c>
      <c r="K1763" s="1">
        <v>1999.0</v>
      </c>
      <c r="L1763" s="1">
        <v>1999.0</v>
      </c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 t="s">
        <v>5330</v>
      </c>
      <c r="Y1763" s="1" t="s">
        <v>7088</v>
      </c>
    </row>
    <row r="1764">
      <c r="A1764" s="1">
        <v>7789.0</v>
      </c>
      <c r="B1764" s="1" t="s">
        <v>7089</v>
      </c>
      <c r="C1764" s="1" t="s">
        <v>1182</v>
      </c>
      <c r="D1764" s="1" t="s">
        <v>1183</v>
      </c>
      <c r="F1764" s="2" t="str">
        <f>"0679867120"</f>
        <v>0679867120</v>
      </c>
      <c r="G1764" s="2" t="str">
        <f>"9780679867128"</f>
        <v>9780679867128</v>
      </c>
      <c r="H1764" s="1" t="s">
        <v>1072</v>
      </c>
      <c r="I1764" s="1" t="s">
        <v>31</v>
      </c>
      <c r="J1764" s="1">
        <v>56.0</v>
      </c>
      <c r="K1764" s="1">
        <v>1995.0</v>
      </c>
      <c r="L1764" s="1">
        <v>1994.0</v>
      </c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 t="s">
        <v>6982</v>
      </c>
      <c r="Y1764" s="1" t="s">
        <v>7090</v>
      </c>
    </row>
    <row r="1765">
      <c r="A1765" s="1">
        <v>275325.0</v>
      </c>
      <c r="B1765" s="1" t="s">
        <v>7091</v>
      </c>
      <c r="C1765" s="1" t="s">
        <v>1182</v>
      </c>
      <c r="D1765" s="1" t="s">
        <v>1183</v>
      </c>
      <c r="F1765" s="2" t="str">
        <f>"0394865804"</f>
        <v>0394865804</v>
      </c>
      <c r="G1765" s="2" t="str">
        <f>"9780394865805"</f>
        <v>9780394865805</v>
      </c>
      <c r="H1765" s="1" t="s">
        <v>7092</v>
      </c>
      <c r="I1765" s="1" t="s">
        <v>91</v>
      </c>
      <c r="J1765" s="1">
        <v>56.0</v>
      </c>
      <c r="K1765" s="1">
        <v>1984.0</v>
      </c>
      <c r="L1765" s="1">
        <v>1984.0</v>
      </c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 t="s">
        <v>6982</v>
      </c>
      <c r="Y1765" s="1" t="s">
        <v>7093</v>
      </c>
    </row>
    <row r="1766">
      <c r="A1766" s="1">
        <v>9677870.0</v>
      </c>
      <c r="B1766" s="1" t="s">
        <v>7094</v>
      </c>
      <c r="C1766" s="1" t="s">
        <v>5239</v>
      </c>
      <c r="D1766" s="1" t="s">
        <v>5240</v>
      </c>
      <c r="E1766" s="1" t="s">
        <v>7095</v>
      </c>
      <c r="F1766" s="2" t="str">
        <f>"0811879542"</f>
        <v>0811879542</v>
      </c>
      <c r="G1766" s="2" t="str">
        <f>"9780811879545"</f>
        <v>9780811879545</v>
      </c>
      <c r="H1766" s="1" t="s">
        <v>1593</v>
      </c>
      <c r="I1766" s="1" t="s">
        <v>31</v>
      </c>
      <c r="J1766" s="1">
        <v>56.0</v>
      </c>
      <c r="K1766" s="1">
        <v>2011.0</v>
      </c>
      <c r="L1766" s="1">
        <v>2010.0</v>
      </c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 t="s">
        <v>897</v>
      </c>
      <c r="Y1766" s="1" t="s">
        <v>7096</v>
      </c>
    </row>
    <row r="1767">
      <c r="A1767" s="1">
        <v>2451036.0</v>
      </c>
      <c r="B1767" s="1" t="s">
        <v>7097</v>
      </c>
      <c r="C1767" s="1" t="s">
        <v>724</v>
      </c>
      <c r="D1767" s="1" t="s">
        <v>725</v>
      </c>
      <c r="F1767" s="2" t="str">
        <f>"1423109619"</f>
        <v>1423109619</v>
      </c>
      <c r="G1767" s="2" t="str">
        <f>"9781423109617"</f>
        <v>9781423109617</v>
      </c>
      <c r="H1767" s="1" t="s">
        <v>6415</v>
      </c>
      <c r="I1767" s="1" t="s">
        <v>31</v>
      </c>
      <c r="J1767" s="1">
        <v>57.0</v>
      </c>
      <c r="K1767" s="1">
        <v>2008.0</v>
      </c>
      <c r="L1767" s="1">
        <v>2008.0</v>
      </c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 t="s">
        <v>727</v>
      </c>
      <c r="Y1767" s="1" t="s">
        <v>7098</v>
      </c>
    </row>
    <row r="1768">
      <c r="A1768" s="1">
        <v>3906708.0</v>
      </c>
      <c r="B1768" s="1" t="s">
        <v>7099</v>
      </c>
      <c r="C1768" s="1" t="s">
        <v>42</v>
      </c>
      <c r="D1768" s="1" t="s">
        <v>43</v>
      </c>
      <c r="E1768" s="1" t="s">
        <v>2350</v>
      </c>
      <c r="F1768" s="2" t="str">
        <f>"0670200395"</f>
        <v>0670200395</v>
      </c>
      <c r="G1768" s="2" t="str">
        <f>"9780670200399"</f>
        <v>9780670200399</v>
      </c>
      <c r="H1768" s="1" t="s">
        <v>2916</v>
      </c>
      <c r="I1768" s="1" t="s">
        <v>31</v>
      </c>
      <c r="J1768" s="1">
        <v>58.0</v>
      </c>
      <c r="K1768" s="1">
        <v>1980.0</v>
      </c>
      <c r="L1768" s="1">
        <v>1980.0</v>
      </c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 t="s">
        <v>45</v>
      </c>
      <c r="Y1768" s="1" t="s">
        <v>7100</v>
      </c>
    </row>
    <row r="1769">
      <c r="A1769" s="1">
        <v>7772.0</v>
      </c>
      <c r="B1769" s="1" t="s">
        <v>7101</v>
      </c>
      <c r="C1769" s="1" t="s">
        <v>1182</v>
      </c>
      <c r="D1769" s="1" t="s">
        <v>1183</v>
      </c>
      <c r="F1769" s="2" t="str">
        <f t="shared" ref="F1769:G1769" si="112">""</f>
        <v/>
      </c>
      <c r="G1769" s="2" t="str">
        <f t="shared" si="112"/>
        <v/>
      </c>
      <c r="H1769" s="1" t="s">
        <v>7092</v>
      </c>
      <c r="I1769" s="1" t="s">
        <v>31</v>
      </c>
      <c r="J1769" s="1">
        <v>58.0</v>
      </c>
      <c r="K1769" s="1">
        <v>2012.0</v>
      </c>
      <c r="L1769" s="1">
        <v>1962.0</v>
      </c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 t="s">
        <v>7102</v>
      </c>
      <c r="Y1769" s="1" t="s">
        <v>7103</v>
      </c>
    </row>
    <row r="1770">
      <c r="A1770" s="1">
        <v>769954.0</v>
      </c>
      <c r="B1770" s="1" t="s">
        <v>7104</v>
      </c>
      <c r="C1770" s="1" t="s">
        <v>747</v>
      </c>
      <c r="D1770" s="1" t="s">
        <v>748</v>
      </c>
      <c r="E1770" s="1" t="s">
        <v>5869</v>
      </c>
      <c r="F1770" s="2" t="str">
        <f>"0590407600"</f>
        <v>0590407600</v>
      </c>
      <c r="G1770" s="2" t="str">
        <f>"9780590407601"</f>
        <v>9780590407601</v>
      </c>
      <c r="H1770" s="1" t="s">
        <v>7105</v>
      </c>
      <c r="I1770" s="1" t="s">
        <v>36</v>
      </c>
      <c r="J1770" s="1">
        <v>60.0</v>
      </c>
      <c r="K1770" s="1">
        <v>1989.0</v>
      </c>
      <c r="L1770" s="1">
        <v>1987.0</v>
      </c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 t="s">
        <v>116</v>
      </c>
      <c r="Y1770" s="1" t="s">
        <v>7106</v>
      </c>
    </row>
    <row r="1771">
      <c r="A1771" s="1">
        <v>1021004.0</v>
      </c>
      <c r="B1771" s="1" t="s">
        <v>7107</v>
      </c>
      <c r="C1771" s="1" t="s">
        <v>7108</v>
      </c>
      <c r="D1771" s="1" t="s">
        <v>7109</v>
      </c>
      <c r="E1771" s="1" t="s">
        <v>7110</v>
      </c>
      <c r="F1771" s="2" t="str">
        <f>"0439855799"</f>
        <v>0439855799</v>
      </c>
      <c r="G1771" s="2" t="str">
        <f>"9780439855792"</f>
        <v>9780439855792</v>
      </c>
      <c r="H1771" s="1" t="s">
        <v>50</v>
      </c>
      <c r="I1771" s="1" t="s">
        <v>36</v>
      </c>
      <c r="J1771" s="1">
        <v>60.0</v>
      </c>
      <c r="K1771" s="1">
        <v>2006.0</v>
      </c>
      <c r="L1771" s="1">
        <v>2003.0</v>
      </c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 t="s">
        <v>7111</v>
      </c>
      <c r="Y1771" s="1" t="s">
        <v>7112</v>
      </c>
    </row>
    <row r="1772">
      <c r="A1772" s="1">
        <v>1.6669264E7</v>
      </c>
      <c r="B1772" s="1" t="s">
        <v>7113</v>
      </c>
      <c r="C1772" s="1" t="s">
        <v>724</v>
      </c>
      <c r="D1772" s="1" t="s">
        <v>725</v>
      </c>
      <c r="F1772" s="2" t="str">
        <f>"1423179587"</f>
        <v>1423179587</v>
      </c>
      <c r="G1772" s="2" t="str">
        <f>"9781423179580"</f>
        <v>9781423179580</v>
      </c>
      <c r="H1772" s="1" t="s">
        <v>6415</v>
      </c>
      <c r="I1772" s="1" t="s">
        <v>31</v>
      </c>
      <c r="J1772" s="1">
        <v>60.0</v>
      </c>
      <c r="K1772" s="1">
        <v>2014.0</v>
      </c>
      <c r="L1772" s="1">
        <v>2014.0</v>
      </c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 t="s">
        <v>727</v>
      </c>
      <c r="Y1772" s="1" t="s">
        <v>7114</v>
      </c>
    </row>
    <row r="1773">
      <c r="A1773" s="1">
        <v>1.7447071E7</v>
      </c>
      <c r="B1773" s="1" t="s">
        <v>7115</v>
      </c>
      <c r="C1773" s="1" t="s">
        <v>7116</v>
      </c>
      <c r="D1773" s="1" t="s">
        <v>7117</v>
      </c>
      <c r="F1773" s="2" t="str">
        <f t="shared" ref="F1773:G1773" si="113">""</f>
        <v/>
      </c>
      <c r="G1773" s="2" t="str">
        <f t="shared" si="113"/>
        <v/>
      </c>
      <c r="H1773" s="1" t="s">
        <v>7118</v>
      </c>
      <c r="I1773" s="1" t="s">
        <v>238</v>
      </c>
      <c r="J1773" s="1">
        <v>61.0</v>
      </c>
      <c r="K1773" s="1">
        <v>2012.0</v>
      </c>
      <c r="L1773" s="1">
        <v>2012.0</v>
      </c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 t="s">
        <v>45</v>
      </c>
      <c r="Y1773" s="1" t="s">
        <v>7119</v>
      </c>
    </row>
    <row r="1774">
      <c r="A1774" s="1">
        <v>233093.0</v>
      </c>
      <c r="B1774" s="1" t="s">
        <v>7120</v>
      </c>
      <c r="C1774" s="1" t="s">
        <v>1182</v>
      </c>
      <c r="D1774" s="1" t="s">
        <v>1183</v>
      </c>
      <c r="F1774" s="2" t="str">
        <f>"039480001X"</f>
        <v>039480001X</v>
      </c>
      <c r="G1774" s="2" t="str">
        <f>"9780394800011"</f>
        <v>9780394800011</v>
      </c>
      <c r="H1774" s="1" t="s">
        <v>156</v>
      </c>
      <c r="I1774" s="1" t="s">
        <v>31</v>
      </c>
      <c r="J1774" s="1">
        <v>61.0</v>
      </c>
      <c r="K1774" s="1">
        <v>1985.0</v>
      </c>
      <c r="L1774" s="1">
        <v>1957.0</v>
      </c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 t="s">
        <v>7102</v>
      </c>
      <c r="Y1774" s="1" t="s">
        <v>7121</v>
      </c>
    </row>
    <row r="1775">
      <c r="A1775" s="1">
        <v>1.35704975E8</v>
      </c>
      <c r="B1775" s="1" t="s">
        <v>7122</v>
      </c>
      <c r="C1775" s="1" t="s">
        <v>7123</v>
      </c>
      <c r="D1775" s="1" t="s">
        <v>7124</v>
      </c>
      <c r="F1775" s="2" t="str">
        <f>"1989573010"</f>
        <v>1989573010</v>
      </c>
      <c r="G1775" s="2" t="str">
        <f>"9781989573013"</f>
        <v>9781989573013</v>
      </c>
      <c r="H1775" s="1" t="s">
        <v>7125</v>
      </c>
      <c r="I1775" s="1" t="s">
        <v>36</v>
      </c>
      <c r="J1775" s="1">
        <v>62.0</v>
      </c>
      <c r="K1775" s="1">
        <v>2023.0</v>
      </c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 t="s">
        <v>92</v>
      </c>
      <c r="Y1775" s="1" t="s">
        <v>7126</v>
      </c>
    </row>
    <row r="1776">
      <c r="A1776" s="1">
        <v>518065.0</v>
      </c>
      <c r="B1776" s="1" t="s">
        <v>7127</v>
      </c>
      <c r="C1776" s="1" t="s">
        <v>5509</v>
      </c>
      <c r="D1776" s="1" t="s">
        <v>5510</v>
      </c>
      <c r="F1776" s="2" t="str">
        <f>"842043048X"</f>
        <v>842043048X</v>
      </c>
      <c r="G1776" s="2" t="str">
        <f>"9788420430485"</f>
        <v>9788420430485</v>
      </c>
      <c r="H1776" s="1" t="s">
        <v>5512</v>
      </c>
      <c r="I1776" s="1" t="s">
        <v>36</v>
      </c>
      <c r="J1776" s="1">
        <v>62.0</v>
      </c>
      <c r="K1776" s="1">
        <v>1982.0</v>
      </c>
      <c r="L1776" s="1">
        <v>1959.0</v>
      </c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 t="s">
        <v>61</v>
      </c>
      <c r="Y1776" s="1" t="s">
        <v>7128</v>
      </c>
    </row>
    <row r="1777">
      <c r="A1777" s="1">
        <v>225181.0</v>
      </c>
      <c r="B1777" s="1" t="s">
        <v>7129</v>
      </c>
      <c r="C1777" s="1" t="s">
        <v>1182</v>
      </c>
      <c r="D1777" s="1" t="s">
        <v>1183</v>
      </c>
      <c r="E1777" s="1" t="s">
        <v>4115</v>
      </c>
      <c r="F1777" s="2" t="str">
        <f>"1880507013"</f>
        <v>1880507013</v>
      </c>
      <c r="G1777" s="2" t="str">
        <f>"9781880507018"</f>
        <v>9781880507018</v>
      </c>
      <c r="H1777" s="1" t="s">
        <v>191</v>
      </c>
      <c r="I1777" s="1" t="s">
        <v>91</v>
      </c>
      <c r="J1777" s="1">
        <v>62.0</v>
      </c>
      <c r="K1777" s="1">
        <v>1992.0</v>
      </c>
      <c r="L1777" s="1">
        <v>1960.0</v>
      </c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 t="s">
        <v>1326</v>
      </c>
      <c r="Y1777" s="1" t="s">
        <v>7130</v>
      </c>
    </row>
    <row r="1778">
      <c r="A1778" s="1">
        <v>4.3334367E7</v>
      </c>
      <c r="B1778" s="1" t="s">
        <v>7131</v>
      </c>
      <c r="C1778" s="1" t="s">
        <v>7132</v>
      </c>
      <c r="D1778" s="1" t="s">
        <v>7133</v>
      </c>
      <c r="F1778" s="2" t="str">
        <f>"1719891907"</f>
        <v>1719891907</v>
      </c>
      <c r="G1778" s="2" t="str">
        <f>"9781719891905"</f>
        <v>9781719891905</v>
      </c>
      <c r="H1778" s="1" t="s">
        <v>5692</v>
      </c>
      <c r="I1778" s="1" t="s">
        <v>36</v>
      </c>
      <c r="J1778" s="1">
        <v>63.0</v>
      </c>
      <c r="K1778" s="1">
        <v>2018.0</v>
      </c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 t="s">
        <v>1024</v>
      </c>
      <c r="Y1778" s="1" t="s">
        <v>7134</v>
      </c>
    </row>
    <row r="1779">
      <c r="A1779" s="1">
        <v>774001.0</v>
      </c>
      <c r="B1779" s="1" t="s">
        <v>7135</v>
      </c>
      <c r="C1779" s="1" t="s">
        <v>7136</v>
      </c>
      <c r="D1779" s="1" t="s">
        <v>7137</v>
      </c>
      <c r="E1779" s="1" t="s">
        <v>7138</v>
      </c>
      <c r="F1779" s="2" t="str">
        <f>"0064441555"</f>
        <v>0064441555</v>
      </c>
      <c r="G1779" s="2" t="str">
        <f>"9780064441551"</f>
        <v>9780064441551</v>
      </c>
      <c r="H1779" s="1" t="s">
        <v>7139</v>
      </c>
      <c r="I1779" s="1" t="s">
        <v>36</v>
      </c>
      <c r="J1779" s="1">
        <v>63.0</v>
      </c>
      <c r="K1779" s="1">
        <v>1992.0</v>
      </c>
      <c r="L1779" s="1">
        <v>1963.0</v>
      </c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 t="s">
        <v>1562</v>
      </c>
      <c r="Y1779" s="1" t="s">
        <v>7140</v>
      </c>
    </row>
    <row r="1780">
      <c r="A1780" s="1">
        <v>667234.0</v>
      </c>
      <c r="B1780" s="1" t="s">
        <v>7141</v>
      </c>
      <c r="C1780" s="1" t="s">
        <v>1182</v>
      </c>
      <c r="D1780" s="1" t="s">
        <v>1183</v>
      </c>
      <c r="F1780" s="2" t="str">
        <f>"0394800028"</f>
        <v>0394800028</v>
      </c>
      <c r="G1780" s="2" t="str">
        <f>"9780394800028"</f>
        <v>9780394800028</v>
      </c>
      <c r="H1780" s="1" t="s">
        <v>7142</v>
      </c>
      <c r="I1780" s="1" t="s">
        <v>31</v>
      </c>
      <c r="J1780" s="1">
        <v>63.0</v>
      </c>
      <c r="K1780" s="1">
        <v>2000.0</v>
      </c>
      <c r="L1780" s="1">
        <v>1958.0</v>
      </c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 t="s">
        <v>1326</v>
      </c>
      <c r="Y1780" s="1" t="s">
        <v>7143</v>
      </c>
    </row>
    <row r="1781">
      <c r="A1781" s="1">
        <v>252923.0</v>
      </c>
      <c r="B1781" s="1" t="s">
        <v>7144</v>
      </c>
      <c r="C1781" s="1" t="s">
        <v>2342</v>
      </c>
      <c r="D1781" s="1" t="s">
        <v>2343</v>
      </c>
      <c r="E1781" s="1" t="s">
        <v>7145</v>
      </c>
      <c r="F1781" s="2" t="str">
        <f>"0688160190"</f>
        <v>0688160190</v>
      </c>
      <c r="G1781" s="2" t="str">
        <f>"9780688160197"</f>
        <v>9780688160197</v>
      </c>
      <c r="H1781" s="1" t="s">
        <v>2736</v>
      </c>
      <c r="I1781" s="1" t="s">
        <v>31</v>
      </c>
      <c r="J1781" s="1">
        <v>64.0</v>
      </c>
      <c r="K1781" s="1">
        <v>2003.0</v>
      </c>
      <c r="L1781" s="1">
        <v>2003.0</v>
      </c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 t="s">
        <v>68</v>
      </c>
      <c r="Y1781" s="1" t="s">
        <v>7146</v>
      </c>
    </row>
    <row r="1782">
      <c r="A1782" s="1">
        <v>3.753439E7</v>
      </c>
      <c r="B1782" s="1" t="s">
        <v>7147</v>
      </c>
      <c r="C1782" s="1" t="s">
        <v>7148</v>
      </c>
      <c r="D1782" s="1" t="s">
        <v>7149</v>
      </c>
      <c r="F1782" s="2" t="str">
        <f>"1626724946"</f>
        <v>1626724946</v>
      </c>
      <c r="G1782" s="2" t="str">
        <f>"9781626724945"</f>
        <v>9781626724945</v>
      </c>
      <c r="H1782" s="1" t="s">
        <v>340</v>
      </c>
      <c r="I1782" s="1" t="s">
        <v>31</v>
      </c>
      <c r="J1782" s="1">
        <v>64.0</v>
      </c>
      <c r="K1782" s="1">
        <v>2018.0</v>
      </c>
      <c r="L1782" s="1">
        <v>2014.0</v>
      </c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 t="s">
        <v>1562</v>
      </c>
      <c r="Y1782" s="1" t="s">
        <v>7150</v>
      </c>
    </row>
    <row r="1783">
      <c r="A1783" s="1">
        <v>3.3206833E7</v>
      </c>
      <c r="B1783" s="1" t="s">
        <v>7151</v>
      </c>
      <c r="C1783" s="1" t="s">
        <v>2436</v>
      </c>
      <c r="D1783" s="1" t="s">
        <v>2437</v>
      </c>
      <c r="F1783" s="2" t="str">
        <f>"133814913X"</f>
        <v>133814913X</v>
      </c>
      <c r="G1783" s="2" t="str">
        <f>"9781338149135"</f>
        <v>9781338149135</v>
      </c>
      <c r="H1783" s="1" t="s">
        <v>817</v>
      </c>
      <c r="I1783" s="1" t="s">
        <v>36</v>
      </c>
      <c r="J1783" s="1">
        <v>64.0</v>
      </c>
      <c r="K1783" s="1">
        <v>2017.0</v>
      </c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 t="s">
        <v>291</v>
      </c>
      <c r="Y1783" s="1" t="s">
        <v>7152</v>
      </c>
    </row>
    <row r="1784">
      <c r="A1784" s="1">
        <v>3562450.0</v>
      </c>
      <c r="B1784" s="1" t="s">
        <v>7153</v>
      </c>
      <c r="C1784" s="1" t="s">
        <v>7154</v>
      </c>
      <c r="D1784" s="1" t="s">
        <v>7155</v>
      </c>
      <c r="E1784" s="1" t="s">
        <v>7156</v>
      </c>
      <c r="F1784" s="2" t="str">
        <f>"0395696232"</f>
        <v>0395696232</v>
      </c>
      <c r="G1784" s="2" t="str">
        <f>"9780395696231"</f>
        <v>9780395696231</v>
      </c>
      <c r="H1784" s="1" t="s">
        <v>1799</v>
      </c>
      <c r="I1784" s="1" t="s">
        <v>31</v>
      </c>
      <c r="J1784" s="1">
        <v>64.0</v>
      </c>
      <c r="K1784" s="1">
        <v>1996.0</v>
      </c>
      <c r="L1784" s="1">
        <v>1996.0</v>
      </c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 t="s">
        <v>742</v>
      </c>
      <c r="Y1784" s="1" t="s">
        <v>7157</v>
      </c>
    </row>
    <row r="1785">
      <c r="A1785" s="1">
        <v>3.5273266E7</v>
      </c>
      <c r="B1785" s="1" t="s">
        <v>7158</v>
      </c>
      <c r="C1785" s="1" t="s">
        <v>7159</v>
      </c>
      <c r="D1785" s="1" t="s">
        <v>7160</v>
      </c>
      <c r="F1785" s="2" t="str">
        <f t="shared" ref="F1785:G1785" si="114">""</f>
        <v/>
      </c>
      <c r="G1785" s="2" t="str">
        <f t="shared" si="114"/>
        <v/>
      </c>
      <c r="H1785" s="1" t="s">
        <v>7161</v>
      </c>
      <c r="I1785" s="1" t="s">
        <v>238</v>
      </c>
      <c r="J1785" s="1">
        <v>64.0</v>
      </c>
      <c r="K1785" s="1">
        <v>2015.0</v>
      </c>
      <c r="L1785" s="1">
        <v>2001.0</v>
      </c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 t="s">
        <v>491</v>
      </c>
      <c r="Y1785" s="1" t="s">
        <v>7162</v>
      </c>
    </row>
    <row r="1786">
      <c r="A1786" s="1">
        <v>144783.0</v>
      </c>
      <c r="B1786" s="1" t="s">
        <v>7163</v>
      </c>
      <c r="C1786" s="1" t="s">
        <v>188</v>
      </c>
      <c r="D1786" s="1" t="s">
        <v>189</v>
      </c>
      <c r="E1786" s="1" t="s">
        <v>7164</v>
      </c>
      <c r="F1786" s="2" t="str">
        <f>"0316122955"</f>
        <v>0316122955</v>
      </c>
      <c r="G1786" s="2" t="str">
        <f>"9780316122955"</f>
        <v>9780316122955</v>
      </c>
      <c r="H1786" s="1" t="s">
        <v>112</v>
      </c>
      <c r="I1786" s="1" t="s">
        <v>36</v>
      </c>
      <c r="J1786" s="1">
        <v>64.0</v>
      </c>
      <c r="K1786" s="1">
        <v>1999.0</v>
      </c>
      <c r="L1786" s="1">
        <v>1999.0</v>
      </c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 t="s">
        <v>291</v>
      </c>
      <c r="Y1786" s="1" t="s">
        <v>7165</v>
      </c>
    </row>
    <row r="1787">
      <c r="A1787" s="1">
        <v>108169.0</v>
      </c>
      <c r="B1787" s="1" t="s">
        <v>7166</v>
      </c>
      <c r="C1787" s="1" t="s">
        <v>7167</v>
      </c>
      <c r="D1787" s="1" t="s">
        <v>7168</v>
      </c>
      <c r="F1787" s="2" t="str">
        <f>"1552092291"</f>
        <v>1552092291</v>
      </c>
      <c r="G1787" s="2" t="str">
        <f>"9781552092293"</f>
        <v>9781552092293</v>
      </c>
      <c r="H1787" s="1" t="s">
        <v>1628</v>
      </c>
      <c r="I1787" s="1" t="s">
        <v>36</v>
      </c>
      <c r="J1787" s="1">
        <v>64.0</v>
      </c>
      <c r="K1787" s="1">
        <v>1998.0</v>
      </c>
      <c r="L1787" s="1">
        <v>1998.0</v>
      </c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 t="s">
        <v>212</v>
      </c>
      <c r="Y1787" s="1" t="s">
        <v>7169</v>
      </c>
    </row>
    <row r="1788">
      <c r="A1788" s="1">
        <v>2.8503853E7</v>
      </c>
      <c r="B1788" s="1" t="s">
        <v>7170</v>
      </c>
      <c r="C1788" s="1" t="s">
        <v>7171</v>
      </c>
      <c r="D1788" s="1" t="s">
        <v>7172</v>
      </c>
      <c r="F1788" s="2" t="str">
        <f>"1101918713"</f>
        <v>1101918713</v>
      </c>
      <c r="G1788" s="2" t="str">
        <f>"9781101918715"</f>
        <v>9781101918715</v>
      </c>
      <c r="H1788" s="1" t="s">
        <v>7173</v>
      </c>
      <c r="I1788" s="1" t="s">
        <v>36</v>
      </c>
      <c r="J1788" s="1">
        <v>64.0</v>
      </c>
      <c r="K1788" s="1">
        <v>2016.0</v>
      </c>
      <c r="L1788" s="1">
        <v>2016.0</v>
      </c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 t="s">
        <v>1352</v>
      </c>
      <c r="Y1788" s="1" t="s">
        <v>7174</v>
      </c>
    </row>
    <row r="1789">
      <c r="A1789" s="1">
        <v>3.1852015E7</v>
      </c>
      <c r="B1789" s="1" t="s">
        <v>7175</v>
      </c>
      <c r="C1789" s="1" t="s">
        <v>7171</v>
      </c>
      <c r="D1789" s="1" t="s">
        <v>7172</v>
      </c>
      <c r="F1789" s="2" t="str">
        <f>"1101919191"</f>
        <v>1101919191</v>
      </c>
      <c r="G1789" s="2" t="str">
        <f>"9781101919194"</f>
        <v>9781101919194</v>
      </c>
      <c r="H1789" s="1" t="s">
        <v>7173</v>
      </c>
      <c r="I1789" s="1" t="s">
        <v>36</v>
      </c>
      <c r="J1789" s="1">
        <v>64.0</v>
      </c>
      <c r="K1789" s="1">
        <v>2018.0</v>
      </c>
      <c r="L1789" s="1">
        <v>2017.0</v>
      </c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 t="s">
        <v>1352</v>
      </c>
      <c r="Y1789" s="1" t="s">
        <v>7176</v>
      </c>
    </row>
    <row r="1790">
      <c r="A1790" s="1">
        <v>3747749.0</v>
      </c>
      <c r="B1790" s="1" t="s">
        <v>7177</v>
      </c>
      <c r="C1790" s="1" t="s">
        <v>7178</v>
      </c>
      <c r="D1790" s="1" t="s">
        <v>7179</v>
      </c>
      <c r="E1790" s="1" t="s">
        <v>7180</v>
      </c>
      <c r="F1790" s="2" t="str">
        <f>"0545002346"</f>
        <v>0545002346</v>
      </c>
      <c r="G1790" s="2" t="str">
        <f>"9780545002349"</f>
        <v>9780545002349</v>
      </c>
      <c r="H1790" s="1" t="s">
        <v>50</v>
      </c>
      <c r="J1790" s="1">
        <v>64.0</v>
      </c>
      <c r="K1790" s="1">
        <v>2007.0</v>
      </c>
      <c r="L1790" s="1">
        <v>2007.0</v>
      </c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 t="s">
        <v>180</v>
      </c>
      <c r="Y1790" s="1" t="s">
        <v>7181</v>
      </c>
    </row>
    <row r="1791">
      <c r="A1791" s="1">
        <v>17506.0</v>
      </c>
      <c r="B1791" s="1" t="s">
        <v>7182</v>
      </c>
      <c r="C1791" s="1" t="s">
        <v>7183</v>
      </c>
      <c r="D1791" s="1" t="s">
        <v>7184</v>
      </c>
      <c r="E1791" s="1" t="s">
        <v>7185</v>
      </c>
      <c r="F1791" s="2" t="str">
        <f>"9812468234"</f>
        <v>9812468234</v>
      </c>
      <c r="G1791" s="2" t="str">
        <f>"9789812468239"</f>
        <v>9789812468239</v>
      </c>
      <c r="H1791" s="1" t="s">
        <v>7186</v>
      </c>
      <c r="I1791" s="1" t="s">
        <v>31</v>
      </c>
      <c r="J1791" s="1">
        <v>64.0</v>
      </c>
      <c r="K1791" s="1">
        <v>2006.0</v>
      </c>
      <c r="L1791" s="1">
        <v>1996.0</v>
      </c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 t="s">
        <v>61</v>
      </c>
      <c r="Y1791" s="1" t="s">
        <v>7187</v>
      </c>
    </row>
    <row r="1792">
      <c r="A1792" s="1">
        <v>160988.0</v>
      </c>
      <c r="B1792" s="1" t="s">
        <v>7188</v>
      </c>
      <c r="C1792" s="1" t="s">
        <v>3229</v>
      </c>
      <c r="D1792" s="1" t="s">
        <v>3230</v>
      </c>
      <c r="F1792" s="2" t="str">
        <f>"0394800516"</f>
        <v>0394800516</v>
      </c>
      <c r="G1792" s="2" t="str">
        <f>"9780394800516"</f>
        <v>9780394800516</v>
      </c>
      <c r="H1792" s="1" t="s">
        <v>156</v>
      </c>
      <c r="I1792" s="1" t="s">
        <v>31</v>
      </c>
      <c r="J1792" s="1">
        <v>64.0</v>
      </c>
      <c r="K1792" s="1">
        <v>1968.0</v>
      </c>
      <c r="L1792" s="1">
        <v>1968.0</v>
      </c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 t="s">
        <v>1403</v>
      </c>
      <c r="Y1792" s="1" t="s">
        <v>7189</v>
      </c>
    </row>
    <row r="1793">
      <c r="A1793" s="1">
        <v>460548.0</v>
      </c>
      <c r="B1793" s="1" t="s">
        <v>7190</v>
      </c>
      <c r="C1793" s="1" t="s">
        <v>3229</v>
      </c>
      <c r="D1793" s="1" t="s">
        <v>3230</v>
      </c>
      <c r="F1793" s="2" t="str">
        <f>"0394800206"</f>
        <v>0394800206</v>
      </c>
      <c r="G1793" s="2" t="str">
        <f>"9780394800202"</f>
        <v>9780394800202</v>
      </c>
      <c r="H1793" s="1" t="s">
        <v>1072</v>
      </c>
      <c r="I1793" s="1" t="s">
        <v>31</v>
      </c>
      <c r="J1793" s="1">
        <v>64.0</v>
      </c>
      <c r="K1793" s="1">
        <v>1961.0</v>
      </c>
      <c r="L1793" s="1">
        <v>1961.0</v>
      </c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 t="s">
        <v>7102</v>
      </c>
      <c r="Y1793" s="1" t="s">
        <v>7191</v>
      </c>
    </row>
    <row r="1794">
      <c r="A1794" s="1">
        <v>197084.0</v>
      </c>
      <c r="B1794" s="1" t="s">
        <v>7192</v>
      </c>
      <c r="C1794" s="1" t="s">
        <v>3229</v>
      </c>
      <c r="D1794" s="1" t="s">
        <v>3230</v>
      </c>
      <c r="F1794" s="2" t="str">
        <f>"0001713221"</f>
        <v>0001713221</v>
      </c>
      <c r="G1794" s="2" t="str">
        <f>"9780001713222"</f>
        <v>9780001713222</v>
      </c>
      <c r="H1794" s="1" t="s">
        <v>7193</v>
      </c>
      <c r="I1794" s="1" t="s">
        <v>36</v>
      </c>
      <c r="J1794" s="1">
        <v>64.0</v>
      </c>
      <c r="K1794" s="1">
        <v>1962.0</v>
      </c>
      <c r="L1794" s="1">
        <v>1960.0</v>
      </c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 t="s">
        <v>6982</v>
      </c>
      <c r="Y1794" s="1" t="s">
        <v>7194</v>
      </c>
    </row>
    <row r="1795">
      <c r="A1795" s="1">
        <v>1.7334578E7</v>
      </c>
      <c r="B1795" s="1" t="s">
        <v>7195</v>
      </c>
      <c r="C1795" s="1" t="s">
        <v>5970</v>
      </c>
      <c r="D1795" s="1" t="s">
        <v>5971</v>
      </c>
      <c r="F1795" s="2" t="str">
        <f>"1416994157"</f>
        <v>1416994157</v>
      </c>
      <c r="G1795" s="2" t="str">
        <f>"9781416994152"</f>
        <v>9781416994152</v>
      </c>
      <c r="H1795" s="1" t="s">
        <v>2537</v>
      </c>
      <c r="I1795" s="1" t="s">
        <v>31</v>
      </c>
      <c r="J1795" s="1">
        <v>64.0</v>
      </c>
      <c r="K1795" s="1">
        <v>2013.0</v>
      </c>
      <c r="L1795" s="1">
        <v>2013.0</v>
      </c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 t="s">
        <v>2298</v>
      </c>
      <c r="Y1795" s="1" t="s">
        <v>7196</v>
      </c>
    </row>
    <row r="1796">
      <c r="A1796" s="1">
        <v>816653.0</v>
      </c>
      <c r="B1796" s="1" t="s">
        <v>7197</v>
      </c>
      <c r="C1796" s="1" t="s">
        <v>7198</v>
      </c>
      <c r="D1796" s="1" t="s">
        <v>7199</v>
      </c>
      <c r="E1796" s="1" t="s">
        <v>7200</v>
      </c>
      <c r="F1796" s="2" t="str">
        <f>"0448413418"</f>
        <v>0448413418</v>
      </c>
      <c r="G1796" s="2" t="str">
        <f>"9780448413419"</f>
        <v>9780448413419</v>
      </c>
      <c r="H1796" s="1" t="s">
        <v>2014</v>
      </c>
      <c r="I1796" s="1" t="s">
        <v>36</v>
      </c>
      <c r="J1796" s="1">
        <v>64.0</v>
      </c>
      <c r="K1796" s="1">
        <v>1997.0</v>
      </c>
      <c r="L1796" s="1">
        <v>1997.0</v>
      </c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 t="s">
        <v>285</v>
      </c>
      <c r="Y1796" s="1" t="s">
        <v>7201</v>
      </c>
    </row>
    <row r="1797">
      <c r="A1797" s="1">
        <v>7183015.0</v>
      </c>
      <c r="B1797" s="1" t="s">
        <v>7202</v>
      </c>
      <c r="C1797" s="1" t="s">
        <v>7203</v>
      </c>
      <c r="D1797" s="1" t="s">
        <v>7204</v>
      </c>
      <c r="F1797" s="2" t="str">
        <f>"1435117107"</f>
        <v>1435117107</v>
      </c>
      <c r="G1797" s="2" t="str">
        <f>"9781435117105"</f>
        <v>9781435117105</v>
      </c>
      <c r="H1797" s="1" t="s">
        <v>7205</v>
      </c>
      <c r="I1797" s="1" t="s">
        <v>31</v>
      </c>
      <c r="J1797" s="1">
        <v>64.0</v>
      </c>
      <c r="K1797" s="1">
        <v>2001.0</v>
      </c>
      <c r="L1797" s="1">
        <v>2001.0</v>
      </c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 t="s">
        <v>543</v>
      </c>
      <c r="Y1797" s="1" t="s">
        <v>7206</v>
      </c>
    </row>
    <row r="1798">
      <c r="A1798" s="1">
        <v>6.1207998E7</v>
      </c>
      <c r="B1798" s="1" t="s">
        <v>7207</v>
      </c>
      <c r="C1798" s="1" t="s">
        <v>817</v>
      </c>
      <c r="D1798" s="1" t="s">
        <v>896</v>
      </c>
      <c r="F1798" s="2" t="str">
        <f>"133859849X"</f>
        <v>133859849X</v>
      </c>
      <c r="G1798" s="2" t="str">
        <f>"9781338598490"</f>
        <v>9781338598490</v>
      </c>
      <c r="H1798" s="1" t="s">
        <v>50</v>
      </c>
      <c r="J1798" s="1">
        <v>64.0</v>
      </c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 t="s">
        <v>96</v>
      </c>
      <c r="Y1798" s="1" t="s">
        <v>7208</v>
      </c>
    </row>
    <row r="1799">
      <c r="A1799" s="1">
        <v>98581.0</v>
      </c>
      <c r="B1799" s="1" t="s">
        <v>7209</v>
      </c>
      <c r="C1799" s="1" t="s">
        <v>7210</v>
      </c>
      <c r="D1799" s="1" t="s">
        <v>7211</v>
      </c>
      <c r="F1799" s="2" t="str">
        <f>"0064430243"</f>
        <v>0064430243</v>
      </c>
      <c r="G1799" s="2" t="str">
        <f>"9780064430241"</f>
        <v>9780064430241</v>
      </c>
      <c r="H1799" s="1" t="s">
        <v>290</v>
      </c>
      <c r="I1799" s="1" t="s">
        <v>36</v>
      </c>
      <c r="J1799" s="1">
        <v>64.0</v>
      </c>
      <c r="K1799" s="1">
        <v>1981.0</v>
      </c>
      <c r="L1799" s="1">
        <v>1959.0</v>
      </c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 t="s">
        <v>1839</v>
      </c>
      <c r="Y1799" s="1" t="s">
        <v>7212</v>
      </c>
    </row>
    <row r="1800">
      <c r="A1800" s="1">
        <v>98582.0</v>
      </c>
      <c r="B1800" s="1" t="s">
        <v>7213</v>
      </c>
      <c r="C1800" s="1" t="s">
        <v>7210</v>
      </c>
      <c r="D1800" s="1" t="s">
        <v>7211</v>
      </c>
      <c r="E1800" s="1" t="s">
        <v>5138</v>
      </c>
      <c r="F1800" s="2" t="str">
        <f>"0064434028"</f>
        <v>0064434028</v>
      </c>
      <c r="G1800" s="2" t="str">
        <f>"9780064434027"</f>
        <v>9780064434027</v>
      </c>
      <c r="H1800" s="1" t="s">
        <v>2736</v>
      </c>
      <c r="I1800" s="1" t="s">
        <v>36</v>
      </c>
      <c r="J1800" s="1">
        <v>64.0</v>
      </c>
      <c r="K1800" s="1">
        <v>1995.0</v>
      </c>
      <c r="L1800" s="1">
        <v>1955.0</v>
      </c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 t="s">
        <v>7214</v>
      </c>
      <c r="Y1800" s="1" t="s">
        <v>7215</v>
      </c>
    </row>
    <row r="1801">
      <c r="A1801" s="1">
        <v>1306029.0</v>
      </c>
      <c r="B1801" s="1" t="s">
        <v>7216</v>
      </c>
      <c r="C1801" s="1" t="s">
        <v>7180</v>
      </c>
      <c r="D1801" s="1" t="s">
        <v>7217</v>
      </c>
      <c r="E1801" s="1" t="s">
        <v>7218</v>
      </c>
      <c r="F1801" s="2" t="str">
        <f>"0439876303"</f>
        <v>0439876303</v>
      </c>
      <c r="G1801" s="2" t="str">
        <f>"9780439876308"</f>
        <v>9780439876308</v>
      </c>
      <c r="H1801" s="1" t="s">
        <v>50</v>
      </c>
      <c r="I1801" s="1" t="s">
        <v>36</v>
      </c>
      <c r="J1801" s="1">
        <v>64.0</v>
      </c>
      <c r="K1801" s="1">
        <v>2006.0</v>
      </c>
      <c r="L1801" s="1">
        <v>2006.0</v>
      </c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 t="s">
        <v>180</v>
      </c>
      <c r="Y1801" s="1" t="s">
        <v>7219</v>
      </c>
    </row>
    <row r="1802">
      <c r="A1802" s="1">
        <v>4.0697807E7</v>
      </c>
      <c r="B1802" s="1" t="s">
        <v>7220</v>
      </c>
      <c r="C1802" s="1" t="s">
        <v>7221</v>
      </c>
      <c r="D1802" s="1" t="s">
        <v>7222</v>
      </c>
      <c r="E1802" s="1" t="s">
        <v>7223</v>
      </c>
      <c r="F1802" s="2" t="str">
        <f>"1786038757"</f>
        <v>1786038757</v>
      </c>
      <c r="G1802" s="2" t="str">
        <f>"9781786038753"</f>
        <v>9781786038753</v>
      </c>
      <c r="H1802" s="1" t="s">
        <v>7224</v>
      </c>
      <c r="I1802" s="1" t="s">
        <v>31</v>
      </c>
      <c r="J1802" s="1">
        <v>64.0</v>
      </c>
      <c r="K1802" s="1">
        <v>2019.0</v>
      </c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 t="s">
        <v>742</v>
      </c>
      <c r="Y1802" s="1" t="s">
        <v>7225</v>
      </c>
    </row>
    <row r="1803">
      <c r="A1803" s="1">
        <v>1890975.0</v>
      </c>
      <c r="B1803" s="1" t="s">
        <v>7226</v>
      </c>
      <c r="C1803" s="1" t="s">
        <v>7227</v>
      </c>
      <c r="D1803" s="1" t="s">
        <v>7228</v>
      </c>
      <c r="E1803" s="1" t="s">
        <v>7229</v>
      </c>
      <c r="F1803" s="2" t="str">
        <f>"0140381112"</f>
        <v>0140381112</v>
      </c>
      <c r="G1803" s="2" t="str">
        <f>"9780140381115"</f>
        <v>9780140381115</v>
      </c>
      <c r="H1803" s="1" t="s">
        <v>44</v>
      </c>
      <c r="I1803" s="1" t="s">
        <v>36</v>
      </c>
      <c r="J1803" s="1">
        <v>64.0</v>
      </c>
      <c r="K1803" s="1">
        <v>1996.0</v>
      </c>
      <c r="L1803" s="1">
        <v>1979.0</v>
      </c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 t="s">
        <v>716</v>
      </c>
      <c r="Y1803" s="1" t="s">
        <v>7230</v>
      </c>
    </row>
    <row r="1804">
      <c r="A1804" s="1">
        <v>2034709.0</v>
      </c>
      <c r="B1804" s="1" t="s">
        <v>7231</v>
      </c>
      <c r="C1804" s="1" t="s">
        <v>7232</v>
      </c>
      <c r="D1804" s="1" t="s">
        <v>7233</v>
      </c>
      <c r="F1804" s="2" t="str">
        <f>"1552978303"</f>
        <v>1552978303</v>
      </c>
      <c r="G1804" s="2" t="str">
        <f>"9781552978306"</f>
        <v>9781552978306</v>
      </c>
      <c r="H1804" s="1" t="s">
        <v>1628</v>
      </c>
      <c r="I1804" s="1" t="s">
        <v>31</v>
      </c>
      <c r="J1804" s="1">
        <v>64.0</v>
      </c>
      <c r="K1804" s="1">
        <v>2003.0</v>
      </c>
      <c r="L1804" s="1">
        <v>2003.0</v>
      </c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 t="s">
        <v>1045</v>
      </c>
      <c r="Y1804" s="1" t="s">
        <v>7234</v>
      </c>
    </row>
    <row r="1805">
      <c r="A1805" s="1">
        <v>94803.0</v>
      </c>
      <c r="B1805" s="1" t="s">
        <v>7235</v>
      </c>
      <c r="C1805" s="1" t="s">
        <v>383</v>
      </c>
      <c r="D1805" s="1" t="s">
        <v>384</v>
      </c>
      <c r="F1805" s="2" t="str">
        <f>"069401298X"</f>
        <v>069401298X</v>
      </c>
      <c r="G1805" s="2" t="str">
        <f>"9780694012985"</f>
        <v>9780694012985</v>
      </c>
      <c r="H1805" s="1" t="s">
        <v>290</v>
      </c>
      <c r="I1805" s="1" t="s">
        <v>31</v>
      </c>
      <c r="J1805" s="1">
        <v>64.0</v>
      </c>
      <c r="K1805" s="1">
        <v>1999.0</v>
      </c>
      <c r="L1805" s="1">
        <v>1972.0</v>
      </c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 t="s">
        <v>7236</v>
      </c>
      <c r="Y1805" s="1" t="s">
        <v>7237</v>
      </c>
    </row>
    <row r="1806">
      <c r="A1806" s="1">
        <v>94804.0</v>
      </c>
      <c r="B1806" s="1" t="s">
        <v>7238</v>
      </c>
      <c r="C1806" s="1" t="s">
        <v>383</v>
      </c>
      <c r="D1806" s="1" t="s">
        <v>384</v>
      </c>
      <c r="F1806" s="2" t="str">
        <f>"0064440583"</f>
        <v>0064440583</v>
      </c>
      <c r="G1806" s="2" t="str">
        <f>"9780064440585"</f>
        <v>9780064440585</v>
      </c>
      <c r="H1806" s="1" t="s">
        <v>290</v>
      </c>
      <c r="I1806" s="1" t="s">
        <v>36</v>
      </c>
      <c r="J1806" s="1">
        <v>64.0</v>
      </c>
      <c r="K1806" s="1">
        <v>1984.0</v>
      </c>
      <c r="L1806" s="1">
        <v>1979.0</v>
      </c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 t="s">
        <v>83</v>
      </c>
      <c r="Y1806" s="1" t="s">
        <v>7239</v>
      </c>
    </row>
    <row r="1807">
      <c r="A1807" s="1">
        <v>833549.0</v>
      </c>
      <c r="B1807" s="1" t="s">
        <v>7240</v>
      </c>
      <c r="C1807" s="1" t="s">
        <v>383</v>
      </c>
      <c r="D1807" s="1" t="s">
        <v>384</v>
      </c>
      <c r="F1807" s="2" t="str">
        <f t="shared" ref="F1807:G1807" si="115">""</f>
        <v/>
      </c>
      <c r="G1807" s="2" t="str">
        <f t="shared" si="115"/>
        <v/>
      </c>
      <c r="H1807" s="1" t="s">
        <v>290</v>
      </c>
      <c r="I1807" s="1" t="s">
        <v>36</v>
      </c>
      <c r="J1807" s="1">
        <v>64.0</v>
      </c>
      <c r="K1807" s="1">
        <v>1984.0</v>
      </c>
      <c r="L1807" s="1">
        <v>1976.0</v>
      </c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 t="s">
        <v>83</v>
      </c>
      <c r="Y1807" s="1" t="s">
        <v>7241</v>
      </c>
    </row>
    <row r="1808">
      <c r="A1808" s="1">
        <v>537296.0</v>
      </c>
      <c r="B1808" s="1" t="s">
        <v>7242</v>
      </c>
      <c r="C1808" s="1" t="s">
        <v>383</v>
      </c>
      <c r="D1808" s="1" t="s">
        <v>384</v>
      </c>
      <c r="F1808" s="2" t="str">
        <f t="shared" ref="F1808:G1808" si="116">""</f>
        <v/>
      </c>
      <c r="G1808" s="2" t="str">
        <f t="shared" si="116"/>
        <v/>
      </c>
      <c r="H1808" s="1" t="s">
        <v>290</v>
      </c>
      <c r="I1808" s="1" t="s">
        <v>36</v>
      </c>
      <c r="J1808" s="1">
        <v>64.0</v>
      </c>
      <c r="K1808" s="1">
        <v>2003.0</v>
      </c>
      <c r="L1808" s="1">
        <v>1970.0</v>
      </c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 t="s">
        <v>7243</v>
      </c>
      <c r="Y1808" s="1" t="s">
        <v>7244</v>
      </c>
    </row>
    <row r="1809">
      <c r="A1809" s="1">
        <v>5.8719164E7</v>
      </c>
      <c r="B1809" s="1" t="s">
        <v>7245</v>
      </c>
      <c r="C1809" s="1" t="s">
        <v>4364</v>
      </c>
      <c r="D1809" s="1" t="s">
        <v>7246</v>
      </c>
      <c r="F1809" s="2" t="str">
        <f>"1338726323"</f>
        <v>1338726323</v>
      </c>
      <c r="G1809" s="2" t="str">
        <f>"9781338726329"</f>
        <v>9781338726329</v>
      </c>
      <c r="H1809" s="1" t="s">
        <v>640</v>
      </c>
      <c r="I1809" s="1" t="s">
        <v>36</v>
      </c>
      <c r="J1809" s="1">
        <v>64.0</v>
      </c>
      <c r="K1809" s="1">
        <v>2022.0</v>
      </c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 t="s">
        <v>1024</v>
      </c>
      <c r="Y1809" s="1" t="s">
        <v>7247</v>
      </c>
    </row>
    <row r="1810">
      <c r="A1810" s="1">
        <v>29291.0</v>
      </c>
      <c r="B1810" s="1" t="s">
        <v>7248</v>
      </c>
      <c r="C1810" s="1" t="s">
        <v>7249</v>
      </c>
      <c r="D1810" s="1" t="s">
        <v>7250</v>
      </c>
      <c r="F1810" s="2" t="str">
        <f>"0670035386"</f>
        <v>0670035386</v>
      </c>
      <c r="G1810" s="2" t="str">
        <f>"9780670035380"</f>
        <v>9780670035380</v>
      </c>
      <c r="H1810" s="1" t="s">
        <v>7251</v>
      </c>
      <c r="I1810" s="1" t="s">
        <v>31</v>
      </c>
      <c r="J1810" s="1">
        <v>64.0</v>
      </c>
      <c r="K1810" s="1">
        <v>2001.0</v>
      </c>
      <c r="L1810" s="1">
        <v>1941.0</v>
      </c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 t="s">
        <v>1317</v>
      </c>
      <c r="Y1810" s="1" t="s">
        <v>7252</v>
      </c>
    </row>
    <row r="1811">
      <c r="A1811" s="1">
        <v>547730.0</v>
      </c>
      <c r="B1811" s="1" t="s">
        <v>7253</v>
      </c>
      <c r="C1811" s="1" t="s">
        <v>5509</v>
      </c>
      <c r="D1811" s="1" t="s">
        <v>5510</v>
      </c>
      <c r="F1811" s="2" t="str">
        <f>"9681906233"</f>
        <v>9681906233</v>
      </c>
      <c r="G1811" s="2" t="str">
        <f>"9789681906238"</f>
        <v>9789681906238</v>
      </c>
      <c r="H1811" s="1" t="s">
        <v>715</v>
      </c>
      <c r="I1811" s="1" t="s">
        <v>36</v>
      </c>
      <c r="J1811" s="1">
        <v>64.0</v>
      </c>
      <c r="K1811" s="1">
        <v>2006.0</v>
      </c>
      <c r="L1811" s="1">
        <v>1961.0</v>
      </c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 t="s">
        <v>716</v>
      </c>
      <c r="Y1811" s="1" t="s">
        <v>7254</v>
      </c>
    </row>
    <row r="1812">
      <c r="A1812" s="1">
        <v>1232672.0</v>
      </c>
      <c r="B1812" s="1" t="s">
        <v>7255</v>
      </c>
      <c r="C1812" s="1" t="s">
        <v>5509</v>
      </c>
      <c r="D1812" s="1" t="s">
        <v>5510</v>
      </c>
      <c r="E1812" s="1" t="s">
        <v>7256</v>
      </c>
      <c r="F1812" s="2" t="str">
        <f>"8420430498"</f>
        <v>8420430498</v>
      </c>
      <c r="G1812" s="2" t="str">
        <f>"9788420430492"</f>
        <v>9788420430492</v>
      </c>
      <c r="H1812" s="1" t="s">
        <v>5512</v>
      </c>
      <c r="I1812" s="1" t="s">
        <v>36</v>
      </c>
      <c r="J1812" s="1">
        <v>64.0</v>
      </c>
      <c r="K1812" s="1">
        <v>1984.0</v>
      </c>
      <c r="L1812" s="1">
        <v>1960.0</v>
      </c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 t="s">
        <v>716</v>
      </c>
      <c r="Y1812" s="1" t="s">
        <v>7257</v>
      </c>
    </row>
    <row r="1813">
      <c r="A1813" s="1">
        <v>1220787.0</v>
      </c>
      <c r="B1813" s="1" t="s">
        <v>6756</v>
      </c>
      <c r="C1813" s="1" t="s">
        <v>1701</v>
      </c>
      <c r="D1813" s="1" t="s">
        <v>1702</v>
      </c>
      <c r="E1813" s="1" t="s">
        <v>7258</v>
      </c>
      <c r="F1813" s="2" t="str">
        <f>"0439364094"</f>
        <v>0439364094</v>
      </c>
      <c r="G1813" s="2" t="str">
        <f>"9780439364096"</f>
        <v>9780439364096</v>
      </c>
      <c r="H1813" s="1" t="s">
        <v>4705</v>
      </c>
      <c r="I1813" s="1" t="s">
        <v>31</v>
      </c>
      <c r="J1813" s="1">
        <v>64.0</v>
      </c>
      <c r="K1813" s="1">
        <v>2003.0</v>
      </c>
      <c r="L1813" s="1">
        <v>1998.0</v>
      </c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 t="s">
        <v>68</v>
      </c>
      <c r="Y1813" s="1" t="s">
        <v>7259</v>
      </c>
    </row>
    <row r="1814">
      <c r="A1814" s="1">
        <v>110596.0</v>
      </c>
      <c r="B1814" s="1" t="s">
        <v>7260</v>
      </c>
      <c r="C1814" s="1" t="s">
        <v>7261</v>
      </c>
      <c r="D1814" s="1" t="s">
        <v>7262</v>
      </c>
      <c r="E1814" s="1" t="s">
        <v>7261</v>
      </c>
      <c r="F1814" s="2" t="str">
        <f>"0064440435"</f>
        <v>0064440435</v>
      </c>
      <c r="G1814" s="2" t="str">
        <f>"9780064440431"</f>
        <v>9780064440431</v>
      </c>
      <c r="H1814" s="1" t="s">
        <v>290</v>
      </c>
      <c r="I1814" s="1" t="s">
        <v>36</v>
      </c>
      <c r="J1814" s="1">
        <v>64.0</v>
      </c>
      <c r="K1814" s="1">
        <v>1983.0</v>
      </c>
      <c r="L1814" s="1">
        <v>1975.0</v>
      </c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 t="s">
        <v>7263</v>
      </c>
      <c r="Y1814" s="1" t="s">
        <v>7264</v>
      </c>
    </row>
    <row r="1815">
      <c r="A1815" s="1">
        <v>110598.0</v>
      </c>
      <c r="B1815" s="1" t="s">
        <v>7265</v>
      </c>
      <c r="C1815" s="1" t="s">
        <v>7266</v>
      </c>
      <c r="D1815" s="1" t="s">
        <v>7267</v>
      </c>
      <c r="E1815" s="1" t="s">
        <v>7268</v>
      </c>
      <c r="F1815" s="2" t="str">
        <f>"0064441865"</f>
        <v>0064441865</v>
      </c>
      <c r="G1815" s="2" t="str">
        <f>"9780064441865"</f>
        <v>9780064441865</v>
      </c>
      <c r="H1815" s="1" t="s">
        <v>290</v>
      </c>
      <c r="I1815" s="1" t="s">
        <v>36</v>
      </c>
      <c r="J1815" s="1">
        <v>64.0</v>
      </c>
      <c r="K1815" s="1">
        <v>1995.0</v>
      </c>
      <c r="L1815" s="1">
        <v>1989.0</v>
      </c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 t="s">
        <v>83</v>
      </c>
      <c r="Y1815" s="1" t="s">
        <v>7269</v>
      </c>
    </row>
    <row r="1816">
      <c r="A1816" s="1">
        <v>155107.0</v>
      </c>
      <c r="B1816" s="1" t="s">
        <v>7270</v>
      </c>
      <c r="C1816" s="1" t="s">
        <v>494</v>
      </c>
      <c r="D1816" s="1" t="s">
        <v>495</v>
      </c>
      <c r="E1816" s="1" t="s">
        <v>7271</v>
      </c>
      <c r="F1816" s="2" t="str">
        <f>"0060518898"</f>
        <v>0060518898</v>
      </c>
      <c r="G1816" s="2" t="str">
        <f>"9780060518899"</f>
        <v>9780060518899</v>
      </c>
      <c r="H1816" s="1" t="s">
        <v>7272</v>
      </c>
      <c r="I1816" s="1" t="s">
        <v>36</v>
      </c>
      <c r="J1816" s="1">
        <v>64.0</v>
      </c>
      <c r="K1816" s="1">
        <v>2015.0</v>
      </c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 t="s">
        <v>83</v>
      </c>
      <c r="Y1816" s="1" t="s">
        <v>7273</v>
      </c>
    </row>
    <row r="1817">
      <c r="A1817" s="1">
        <v>284939.0</v>
      </c>
      <c r="B1817" s="1" t="s">
        <v>7274</v>
      </c>
      <c r="C1817" s="1" t="s">
        <v>7136</v>
      </c>
      <c r="D1817" s="1" t="s">
        <v>7137</v>
      </c>
      <c r="E1817" s="1" t="s">
        <v>7275</v>
      </c>
      <c r="F1817" s="2" t="str">
        <f>"0060267003"</f>
        <v>0060267003</v>
      </c>
      <c r="G1817" s="2" t="str">
        <f>"9780060267001"</f>
        <v>9780060267001</v>
      </c>
      <c r="H1817" s="1" t="s">
        <v>1570</v>
      </c>
      <c r="I1817" s="1" t="s">
        <v>31</v>
      </c>
      <c r="J1817" s="1">
        <v>64.0</v>
      </c>
      <c r="K1817" s="1">
        <v>1996.0</v>
      </c>
      <c r="L1817" s="1">
        <v>1972.0</v>
      </c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 t="s">
        <v>87</v>
      </c>
      <c r="Y1817" s="1" t="s">
        <v>7276</v>
      </c>
    </row>
    <row r="1818">
      <c r="A1818" s="1">
        <v>4.2368618E7</v>
      </c>
      <c r="B1818" s="1" t="s">
        <v>7277</v>
      </c>
      <c r="C1818" s="1" t="s">
        <v>7278</v>
      </c>
      <c r="D1818" s="1" t="s">
        <v>7279</v>
      </c>
      <c r="E1818" s="1" t="s">
        <v>7280</v>
      </c>
      <c r="F1818" s="2" t="str">
        <f>"1524790451"</f>
        <v>1524790451</v>
      </c>
      <c r="G1818" s="2" t="str">
        <f>"9781524790455"</f>
        <v>9781524790455</v>
      </c>
      <c r="H1818" s="1" t="s">
        <v>7281</v>
      </c>
      <c r="I1818" s="1" t="s">
        <v>36</v>
      </c>
      <c r="J1818" s="1">
        <v>64.0</v>
      </c>
      <c r="K1818" s="1">
        <v>2019.0</v>
      </c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 t="s">
        <v>87</v>
      </c>
      <c r="Y1818" s="1" t="s">
        <v>7282</v>
      </c>
    </row>
    <row r="1819">
      <c r="A1819" s="1">
        <v>3.6204671E7</v>
      </c>
      <c r="B1819" s="1" t="s">
        <v>7283</v>
      </c>
      <c r="C1819" s="1" t="s">
        <v>6735</v>
      </c>
      <c r="D1819" s="1" t="s">
        <v>7284</v>
      </c>
      <c r="E1819" s="1" t="s">
        <v>724</v>
      </c>
      <c r="F1819" s="2" t="str">
        <f>"1368005640"</f>
        <v>1368005640</v>
      </c>
      <c r="G1819" s="2" t="str">
        <f>"9781368005647"</f>
        <v>9781368005647</v>
      </c>
      <c r="H1819" s="1" t="s">
        <v>6415</v>
      </c>
      <c r="I1819" s="1" t="s">
        <v>31</v>
      </c>
      <c r="J1819" s="1">
        <v>64.0</v>
      </c>
      <c r="K1819" s="1">
        <v>2018.0</v>
      </c>
      <c r="L1819" s="1">
        <v>2018.0</v>
      </c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 t="s">
        <v>727</v>
      </c>
      <c r="Y1819" s="1" t="s">
        <v>7285</v>
      </c>
    </row>
    <row r="1820">
      <c r="A1820" s="1">
        <v>5.5977986E7</v>
      </c>
      <c r="B1820" s="1" t="s">
        <v>7286</v>
      </c>
      <c r="C1820" s="1" t="s">
        <v>546</v>
      </c>
      <c r="D1820" s="1" t="s">
        <v>547</v>
      </c>
      <c r="F1820" s="2" t="str">
        <f>"1338767518"</f>
        <v>1338767518</v>
      </c>
      <c r="G1820" s="2" t="str">
        <f>"9781338767513"</f>
        <v>9781338767513</v>
      </c>
      <c r="H1820" s="1" t="s">
        <v>1575</v>
      </c>
      <c r="I1820" s="1" t="s">
        <v>36</v>
      </c>
      <c r="J1820" s="1">
        <v>64.0</v>
      </c>
      <c r="K1820" s="1">
        <v>2021.0</v>
      </c>
      <c r="L1820" s="1">
        <v>1991.0</v>
      </c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 t="s">
        <v>250</v>
      </c>
      <c r="Y1820" s="1" t="s">
        <v>7287</v>
      </c>
    </row>
    <row r="1821">
      <c r="A1821" s="1">
        <v>19336.0</v>
      </c>
      <c r="B1821" s="1" t="s">
        <v>7288</v>
      </c>
      <c r="C1821" s="1" t="s">
        <v>2203</v>
      </c>
      <c r="D1821" s="1" t="s">
        <v>2204</v>
      </c>
      <c r="F1821" s="2" t="str">
        <f>"0723247781"</f>
        <v>0723247781</v>
      </c>
      <c r="G1821" s="2" t="str">
        <f>"9780723247784"</f>
        <v>9780723247784</v>
      </c>
      <c r="H1821" s="1" t="s">
        <v>7289</v>
      </c>
      <c r="I1821" s="1" t="s">
        <v>36</v>
      </c>
      <c r="J1821" s="1">
        <v>64.0</v>
      </c>
      <c r="K1821" s="1">
        <v>2002.0</v>
      </c>
      <c r="L1821" s="1">
        <v>1908.0</v>
      </c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 t="s">
        <v>3263</v>
      </c>
      <c r="Y1821" s="1" t="s">
        <v>7290</v>
      </c>
    </row>
    <row r="1822">
      <c r="A1822" s="1">
        <v>2.5524362E7</v>
      </c>
      <c r="B1822" s="1" t="s">
        <v>7291</v>
      </c>
      <c r="C1822" s="1" t="s">
        <v>7292</v>
      </c>
      <c r="D1822" s="1" t="s">
        <v>7293</v>
      </c>
      <c r="F1822" s="2" t="str">
        <f>"2764324731"</f>
        <v>2764324731</v>
      </c>
      <c r="G1822" s="2" t="str">
        <f>"9782764324738"</f>
        <v>9782764324738</v>
      </c>
      <c r="H1822" s="1" t="s">
        <v>7294</v>
      </c>
      <c r="I1822" s="1" t="s">
        <v>36</v>
      </c>
      <c r="J1822" s="1">
        <v>64.0</v>
      </c>
      <c r="K1822" s="1">
        <v>2014.0</v>
      </c>
      <c r="L1822" s="1">
        <v>2014.0</v>
      </c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 t="s">
        <v>380</v>
      </c>
      <c r="Y1822" s="1" t="s">
        <v>7295</v>
      </c>
    </row>
    <row r="1823">
      <c r="A1823" s="1">
        <v>1.9288437E7</v>
      </c>
      <c r="B1823" s="1" t="s">
        <v>7296</v>
      </c>
      <c r="C1823" s="1" t="s">
        <v>7297</v>
      </c>
      <c r="D1823" s="1" t="s">
        <v>7298</v>
      </c>
      <c r="E1823" s="1" t="s">
        <v>849</v>
      </c>
      <c r="F1823" s="2" t="str">
        <f>"0736432671"</f>
        <v>0736432671</v>
      </c>
      <c r="G1823" s="2" t="str">
        <f>"9780736432672"</f>
        <v>9780736432672</v>
      </c>
      <c r="H1823" s="1" t="s">
        <v>1561</v>
      </c>
      <c r="I1823" s="1" t="s">
        <v>36</v>
      </c>
      <c r="J1823" s="1">
        <v>64.0</v>
      </c>
      <c r="K1823" s="1">
        <v>2014.0</v>
      </c>
      <c r="L1823" s="1">
        <v>2014.0</v>
      </c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 t="s">
        <v>45</v>
      </c>
      <c r="Y1823" s="1" t="s">
        <v>7299</v>
      </c>
    </row>
    <row r="1824">
      <c r="A1824" s="1">
        <v>7262006.0</v>
      </c>
      <c r="B1824" s="1" t="s">
        <v>7300</v>
      </c>
      <c r="C1824" s="1" t="s">
        <v>4816</v>
      </c>
      <c r="D1824" s="1" t="s">
        <v>4817</v>
      </c>
      <c r="F1824" s="2" t="str">
        <f>"0689718802"</f>
        <v>0689718802</v>
      </c>
      <c r="G1824" s="2" t="str">
        <f>"9780689718809"</f>
        <v>9780689718809</v>
      </c>
      <c r="H1824" s="1" t="s">
        <v>2496</v>
      </c>
      <c r="I1824" s="1" t="s">
        <v>36</v>
      </c>
      <c r="J1824" s="1">
        <v>64.0</v>
      </c>
      <c r="K1824" s="1">
        <v>1995.0</v>
      </c>
      <c r="L1824" s="1">
        <v>1971.0</v>
      </c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 t="s">
        <v>61</v>
      </c>
      <c r="Y1824" s="1" t="s">
        <v>7301</v>
      </c>
    </row>
    <row r="1825">
      <c r="A1825" s="1">
        <v>4.3319639E7</v>
      </c>
      <c r="B1825" s="1" t="s">
        <v>7302</v>
      </c>
      <c r="C1825" s="1" t="s">
        <v>4864</v>
      </c>
      <c r="D1825" s="1" t="s">
        <v>4865</v>
      </c>
      <c r="E1825" s="1" t="s">
        <v>682</v>
      </c>
      <c r="F1825" s="2" t="str">
        <f>"1338566679"</f>
        <v>1338566679</v>
      </c>
      <c r="G1825" s="2" t="str">
        <f>"9781338566673"</f>
        <v>9781338566673</v>
      </c>
      <c r="H1825" s="1" t="s">
        <v>817</v>
      </c>
      <c r="I1825" s="1" t="s">
        <v>36</v>
      </c>
      <c r="J1825" s="1">
        <v>64.0</v>
      </c>
      <c r="K1825" s="1">
        <v>2019.0</v>
      </c>
      <c r="L1825" s="1">
        <v>1997.0</v>
      </c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 t="s">
        <v>32</v>
      </c>
      <c r="Y1825" s="1" t="s">
        <v>7303</v>
      </c>
    </row>
    <row r="1826">
      <c r="A1826" s="1">
        <v>308444.0</v>
      </c>
      <c r="B1826" s="1" t="s">
        <v>7304</v>
      </c>
      <c r="C1826" s="1" t="s">
        <v>7305</v>
      </c>
      <c r="D1826" s="1" t="s">
        <v>7306</v>
      </c>
      <c r="F1826" s="2" t="str">
        <f>"0789310635"</f>
        <v>0789310635</v>
      </c>
      <c r="G1826" s="2" t="str">
        <f>"9780789310637"</f>
        <v>9780789310637</v>
      </c>
      <c r="H1826" s="1" t="s">
        <v>7307</v>
      </c>
      <c r="I1826" s="1" t="s">
        <v>31</v>
      </c>
      <c r="J1826" s="1">
        <v>64.0</v>
      </c>
      <c r="K1826" s="1">
        <v>2004.0</v>
      </c>
      <c r="L1826" s="1">
        <v>1959.0</v>
      </c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 t="s">
        <v>1254</v>
      </c>
      <c r="Y1826" s="1" t="s">
        <v>7308</v>
      </c>
    </row>
    <row r="1827">
      <c r="A1827" s="1">
        <v>3.491296E7</v>
      </c>
      <c r="B1827" s="1" t="s">
        <v>7309</v>
      </c>
      <c r="C1827" s="1" t="s">
        <v>7310</v>
      </c>
      <c r="D1827" s="1" t="s">
        <v>7311</v>
      </c>
      <c r="E1827" s="1" t="s">
        <v>7312</v>
      </c>
      <c r="F1827" s="2" t="str">
        <f>"0062665820"</f>
        <v>0062665820</v>
      </c>
      <c r="G1827" s="2" t="str">
        <f>"9780062665829"</f>
        <v>9780062665829</v>
      </c>
      <c r="H1827" s="1" t="s">
        <v>290</v>
      </c>
      <c r="I1827" s="1" t="s">
        <v>238</v>
      </c>
      <c r="J1827" s="1">
        <v>64.0</v>
      </c>
      <c r="K1827" s="1">
        <v>2017.0</v>
      </c>
      <c r="L1827" s="1">
        <v>1984.0</v>
      </c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 t="s">
        <v>83</v>
      </c>
      <c r="Y1827" s="1" t="s">
        <v>7313</v>
      </c>
    </row>
    <row r="1828">
      <c r="A1828" s="1">
        <v>215875.0</v>
      </c>
      <c r="B1828" s="1" t="s">
        <v>7314</v>
      </c>
      <c r="C1828" s="1" t="s">
        <v>7310</v>
      </c>
      <c r="D1828" s="1" t="s">
        <v>7311</v>
      </c>
      <c r="E1828" s="1" t="s">
        <v>7315</v>
      </c>
      <c r="F1828" s="2" t="str">
        <f>"0064441709"</f>
        <v>0064441709</v>
      </c>
      <c r="G1828" s="2" t="str">
        <f>"9780064441704"</f>
        <v>9780064441704</v>
      </c>
      <c r="H1828" s="1" t="s">
        <v>290</v>
      </c>
      <c r="I1828" s="1" t="s">
        <v>36</v>
      </c>
      <c r="J1828" s="1">
        <v>64.0</v>
      </c>
      <c r="K1828" s="1">
        <v>1993.0</v>
      </c>
      <c r="L1828" s="1">
        <v>1991.0</v>
      </c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 t="s">
        <v>7316</v>
      </c>
      <c r="Y1828" s="1" t="s">
        <v>7317</v>
      </c>
    </row>
    <row r="1829">
      <c r="A1829" s="1">
        <v>23772.0</v>
      </c>
      <c r="B1829" s="1" t="s">
        <v>7318</v>
      </c>
      <c r="C1829" s="1" t="s">
        <v>1182</v>
      </c>
      <c r="D1829" s="1" t="s">
        <v>1183</v>
      </c>
      <c r="F1829" s="2" t="str">
        <f>"0394800168"</f>
        <v>0394800168</v>
      </c>
      <c r="G1829" s="2" t="str">
        <f>"9780394800165"</f>
        <v>9780394800165</v>
      </c>
      <c r="H1829" s="1" t="s">
        <v>156</v>
      </c>
      <c r="I1829" s="1" t="s">
        <v>31</v>
      </c>
      <c r="J1829" s="1">
        <v>64.0</v>
      </c>
      <c r="K1829" s="1">
        <v>1988.0</v>
      </c>
      <c r="L1829" s="1">
        <v>1960.0</v>
      </c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 t="s">
        <v>7319</v>
      </c>
      <c r="Y1829" s="1" t="s">
        <v>7320</v>
      </c>
    </row>
    <row r="1830">
      <c r="A1830" s="1">
        <v>275309.0</v>
      </c>
      <c r="B1830" s="1" t="s">
        <v>7321</v>
      </c>
      <c r="C1830" s="1" t="s">
        <v>1182</v>
      </c>
      <c r="D1830" s="1" t="s">
        <v>1183</v>
      </c>
      <c r="E1830" s="1" t="s">
        <v>2157</v>
      </c>
      <c r="F1830" s="2" t="str">
        <f>"1930332432"</f>
        <v>1930332432</v>
      </c>
      <c r="G1830" s="2" t="str">
        <f>"9781930332430"</f>
        <v>9781930332430</v>
      </c>
      <c r="H1830" s="1" t="s">
        <v>191</v>
      </c>
      <c r="I1830" s="1" t="s">
        <v>31</v>
      </c>
      <c r="J1830" s="1">
        <v>64.0</v>
      </c>
      <c r="K1830" s="1">
        <v>2004.0</v>
      </c>
      <c r="L1830" s="1">
        <v>1958.0</v>
      </c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 t="s">
        <v>32</v>
      </c>
      <c r="Y1830" s="1" t="s">
        <v>7322</v>
      </c>
    </row>
    <row r="1831">
      <c r="A1831" s="1">
        <v>7786.0</v>
      </c>
      <c r="B1831" s="1" t="s">
        <v>7323</v>
      </c>
      <c r="C1831" s="1" t="s">
        <v>1182</v>
      </c>
      <c r="D1831" s="1" t="s">
        <v>1183</v>
      </c>
      <c r="E1831" s="1" t="s">
        <v>2157</v>
      </c>
      <c r="F1831" s="2" t="str">
        <f>"1930332351"</f>
        <v>1930332351</v>
      </c>
      <c r="G1831" s="2" t="str">
        <f>"9781930332355"</f>
        <v>9781930332355</v>
      </c>
      <c r="H1831" s="1" t="s">
        <v>191</v>
      </c>
      <c r="I1831" s="1" t="s">
        <v>31</v>
      </c>
      <c r="J1831" s="1">
        <v>64.0</v>
      </c>
      <c r="K1831" s="1">
        <v>2003.0</v>
      </c>
      <c r="L1831" s="1">
        <v>1954.0</v>
      </c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 t="s">
        <v>87</v>
      </c>
      <c r="Y1831" s="1" t="s">
        <v>7324</v>
      </c>
    </row>
    <row r="1832">
      <c r="A1832" s="1">
        <v>7770.0</v>
      </c>
      <c r="B1832" s="1" t="s">
        <v>7325</v>
      </c>
      <c r="C1832" s="1" t="s">
        <v>1182</v>
      </c>
      <c r="D1832" s="1" t="s">
        <v>1183</v>
      </c>
      <c r="F1832" s="2" t="str">
        <f>"0007173687"</f>
        <v>0007173687</v>
      </c>
      <c r="G1832" s="2" t="str">
        <f>"9780007173686"</f>
        <v>9780007173686</v>
      </c>
      <c r="H1832" s="1" t="s">
        <v>7326</v>
      </c>
      <c r="I1832" s="1" t="s">
        <v>31</v>
      </c>
      <c r="J1832" s="1">
        <v>64.0</v>
      </c>
      <c r="K1832" s="1">
        <v>2003.0</v>
      </c>
      <c r="L1832" s="1">
        <v>1960.0</v>
      </c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 t="s">
        <v>6919</v>
      </c>
      <c r="Y1832" s="1" t="s">
        <v>7327</v>
      </c>
    </row>
    <row r="1833">
      <c r="A1833" s="1">
        <v>191128.0</v>
      </c>
      <c r="B1833" s="1" t="s">
        <v>7328</v>
      </c>
      <c r="C1833" s="1" t="s">
        <v>1182</v>
      </c>
      <c r="D1833" s="1" t="s">
        <v>1183</v>
      </c>
      <c r="F1833" s="2" t="str">
        <f>"0394823370"</f>
        <v>0394823370</v>
      </c>
      <c r="G1833" s="2" t="str">
        <f>"9780394823379"</f>
        <v>9780394823379</v>
      </c>
      <c r="H1833" s="1" t="s">
        <v>156</v>
      </c>
      <c r="I1833" s="1" t="s">
        <v>31</v>
      </c>
      <c r="J1833" s="1">
        <v>64.0</v>
      </c>
      <c r="K1833" s="1">
        <v>1971.0</v>
      </c>
      <c r="L1833" s="1">
        <v>1971.0</v>
      </c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 t="s">
        <v>1024</v>
      </c>
      <c r="Y1833" s="1" t="s">
        <v>7329</v>
      </c>
    </row>
    <row r="1834">
      <c r="A1834" s="1">
        <v>113946.0</v>
      </c>
      <c r="B1834" s="1" t="s">
        <v>7330</v>
      </c>
      <c r="C1834" s="1" t="s">
        <v>1182</v>
      </c>
      <c r="D1834" s="1" t="s">
        <v>1183</v>
      </c>
      <c r="F1834" s="2" t="str">
        <f>"0007173040"</f>
        <v>0007173040</v>
      </c>
      <c r="G1834" s="2" t="str">
        <f>"9780007173044"</f>
        <v>9780007173044</v>
      </c>
      <c r="H1834" s="1" t="s">
        <v>7326</v>
      </c>
      <c r="I1834" s="1" t="s">
        <v>31</v>
      </c>
      <c r="J1834" s="1">
        <v>64.0</v>
      </c>
      <c r="K1834" s="1">
        <v>2004.0</v>
      </c>
      <c r="L1834" s="1">
        <v>1957.0</v>
      </c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 t="s">
        <v>6982</v>
      </c>
      <c r="Y1834" s="1" t="s">
        <v>7331</v>
      </c>
    </row>
    <row r="1835">
      <c r="A1835" s="1">
        <v>2.8186031E7</v>
      </c>
      <c r="B1835" s="1" t="s">
        <v>7332</v>
      </c>
      <c r="C1835" s="1" t="s">
        <v>1182</v>
      </c>
      <c r="D1835" s="1" t="s">
        <v>1183</v>
      </c>
      <c r="E1835" s="1" t="s">
        <v>7333</v>
      </c>
      <c r="F1835" s="2" t="str">
        <f>"0553536656"</f>
        <v>0553536656</v>
      </c>
      <c r="G1835" s="2" t="str">
        <f>"9780553536652"</f>
        <v>9780553536652</v>
      </c>
      <c r="H1835" s="1" t="s">
        <v>156</v>
      </c>
      <c r="I1835" s="1" t="s">
        <v>31</v>
      </c>
      <c r="J1835" s="1">
        <v>64.0</v>
      </c>
      <c r="K1835" s="1">
        <v>2016.0</v>
      </c>
      <c r="L1835" s="1">
        <v>1966.0</v>
      </c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 t="s">
        <v>1326</v>
      </c>
      <c r="Y1835" s="1" t="s">
        <v>7334</v>
      </c>
    </row>
    <row r="1836">
      <c r="A1836" s="1">
        <v>275332.0</v>
      </c>
      <c r="B1836" s="1" t="s">
        <v>7335</v>
      </c>
      <c r="C1836" s="1" t="s">
        <v>1182</v>
      </c>
      <c r="D1836" s="1" t="s">
        <v>1183</v>
      </c>
      <c r="F1836" s="2" t="str">
        <f>"0001716069"</f>
        <v>0001716069</v>
      </c>
      <c r="G1836" s="2" t="str">
        <f>"9780001716063"</f>
        <v>9780001716063</v>
      </c>
      <c r="H1836" s="1" t="s">
        <v>290</v>
      </c>
      <c r="I1836" s="1" t="s">
        <v>36</v>
      </c>
      <c r="J1836" s="1">
        <v>64.0</v>
      </c>
      <c r="K1836" s="1">
        <v>1990.0</v>
      </c>
      <c r="L1836" s="1">
        <v>1969.0</v>
      </c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 t="s">
        <v>1933</v>
      </c>
      <c r="Y1836" s="1" t="s">
        <v>7336</v>
      </c>
    </row>
    <row r="1837">
      <c r="A1837" s="1">
        <v>7779.0</v>
      </c>
      <c r="B1837" s="1" t="s">
        <v>7337</v>
      </c>
      <c r="C1837" s="1" t="s">
        <v>1182</v>
      </c>
      <c r="D1837" s="1" t="s">
        <v>1183</v>
      </c>
      <c r="F1837" s="2" t="str">
        <f>"0679800034"</f>
        <v>0679800034</v>
      </c>
      <c r="G1837" s="2" t="str">
        <f>"9780679800033"</f>
        <v>9780679800033</v>
      </c>
      <c r="H1837" s="1" t="s">
        <v>156</v>
      </c>
      <c r="I1837" s="1" t="s">
        <v>36</v>
      </c>
      <c r="J1837" s="1">
        <v>64.0</v>
      </c>
      <c r="K1837" s="1">
        <v>1990.0</v>
      </c>
      <c r="L1837" s="1">
        <v>1954.0</v>
      </c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 t="s">
        <v>7102</v>
      </c>
      <c r="Y1837" s="1" t="s">
        <v>7338</v>
      </c>
    </row>
    <row r="1838">
      <c r="A1838" s="1">
        <v>206962.0</v>
      </c>
      <c r="B1838" s="1" t="s">
        <v>7339</v>
      </c>
      <c r="C1838" s="1" t="s">
        <v>1182</v>
      </c>
      <c r="D1838" s="1" t="s">
        <v>1183</v>
      </c>
      <c r="F1838" s="2" t="str">
        <f>"0007158491"</f>
        <v>0007158491</v>
      </c>
      <c r="G1838" s="2" t="str">
        <f>"9780007158492"</f>
        <v>9780007158492</v>
      </c>
      <c r="H1838" s="1" t="s">
        <v>7340</v>
      </c>
      <c r="I1838" s="1" t="s">
        <v>36</v>
      </c>
      <c r="J1838" s="1">
        <v>64.0</v>
      </c>
      <c r="K1838" s="1">
        <v>2003.0</v>
      </c>
      <c r="L1838" s="1">
        <v>1963.0</v>
      </c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 t="s">
        <v>6982</v>
      </c>
      <c r="Y1838" s="1" t="s">
        <v>7341</v>
      </c>
    </row>
    <row r="1839">
      <c r="A1839" s="1">
        <v>105551.0</v>
      </c>
      <c r="B1839" s="1" t="s">
        <v>7342</v>
      </c>
      <c r="C1839" s="1" t="s">
        <v>1182</v>
      </c>
      <c r="D1839" s="1" t="s">
        <v>1183</v>
      </c>
      <c r="F1839" s="2" t="str">
        <f>"0007158475"</f>
        <v>0007158475</v>
      </c>
      <c r="G1839" s="2" t="str">
        <f>"9780007158478"</f>
        <v>9780007158478</v>
      </c>
      <c r="H1839" s="1" t="s">
        <v>7343</v>
      </c>
      <c r="I1839" s="1" t="s">
        <v>36</v>
      </c>
      <c r="J1839" s="1">
        <v>64.0</v>
      </c>
      <c r="K1839" s="1">
        <v>2003.0</v>
      </c>
      <c r="L1839" s="1">
        <v>1965.0</v>
      </c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 t="s">
        <v>6982</v>
      </c>
      <c r="Y1839" s="1" t="s">
        <v>7344</v>
      </c>
    </row>
    <row r="1840">
      <c r="A1840" s="1">
        <v>28351.0</v>
      </c>
      <c r="B1840" s="1" t="s">
        <v>7345</v>
      </c>
      <c r="C1840" s="1" t="s">
        <v>1182</v>
      </c>
      <c r="D1840" s="1" t="s">
        <v>1183</v>
      </c>
      <c r="F1840" s="2" t="str">
        <f>"0007169922"</f>
        <v>0007169922</v>
      </c>
      <c r="G1840" s="2" t="str">
        <f>"9780007169924"</f>
        <v>9780007169924</v>
      </c>
      <c r="H1840" s="1" t="s">
        <v>7340</v>
      </c>
      <c r="I1840" s="1" t="s">
        <v>36</v>
      </c>
      <c r="J1840" s="1">
        <v>64.0</v>
      </c>
      <c r="K1840" s="1">
        <v>2003.0</v>
      </c>
      <c r="L1840" s="1">
        <v>1937.0</v>
      </c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 t="s">
        <v>6982</v>
      </c>
      <c r="Y1840" s="1" t="s">
        <v>7346</v>
      </c>
    </row>
    <row r="1841">
      <c r="A1841" s="1">
        <v>3.2623535E7</v>
      </c>
      <c r="B1841" s="1" t="s">
        <v>7347</v>
      </c>
      <c r="C1841" s="1" t="s">
        <v>7348</v>
      </c>
      <c r="D1841" s="1" t="s">
        <v>7349</v>
      </c>
      <c r="E1841" s="1" t="s">
        <v>7350</v>
      </c>
      <c r="F1841" s="2" t="str">
        <f>"1101934670"</f>
        <v>1101934670</v>
      </c>
      <c r="G1841" s="2" t="str">
        <f>"9781101934678"</f>
        <v>9781101934678</v>
      </c>
      <c r="H1841" s="1" t="s">
        <v>7351</v>
      </c>
      <c r="I1841" s="1" t="s">
        <v>31</v>
      </c>
      <c r="J1841" s="1">
        <v>64.0</v>
      </c>
      <c r="K1841" s="1">
        <v>2017.0</v>
      </c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 t="s">
        <v>1397</v>
      </c>
      <c r="Y1841" s="1" t="s">
        <v>7352</v>
      </c>
    </row>
    <row r="1842">
      <c r="A1842" s="1">
        <v>961949.0</v>
      </c>
      <c r="B1842" s="1" t="s">
        <v>7353</v>
      </c>
      <c r="C1842" s="1" t="s">
        <v>6991</v>
      </c>
      <c r="D1842" s="1" t="s">
        <v>6992</v>
      </c>
      <c r="E1842" s="1" t="s">
        <v>5040</v>
      </c>
      <c r="F1842" s="2" t="str">
        <f>"044046126X"</f>
        <v>044046126X</v>
      </c>
      <c r="G1842" s="2" t="str">
        <f>"9780440461265"</f>
        <v>9780440461265</v>
      </c>
      <c r="H1842" s="1" t="s">
        <v>6845</v>
      </c>
      <c r="I1842" s="1" t="s">
        <v>36</v>
      </c>
      <c r="J1842" s="1">
        <v>64.0</v>
      </c>
      <c r="K1842" s="1">
        <v>1977.0</v>
      </c>
      <c r="L1842" s="1">
        <v>1972.0</v>
      </c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 t="s">
        <v>7354</v>
      </c>
      <c r="Y1842" s="1" t="s">
        <v>7355</v>
      </c>
    </row>
    <row r="1843">
      <c r="A1843" s="1">
        <v>5.5065397E7</v>
      </c>
      <c r="B1843" s="1" t="s">
        <v>7356</v>
      </c>
      <c r="C1843" s="1" t="s">
        <v>7357</v>
      </c>
      <c r="D1843" s="1" t="s">
        <v>7358</v>
      </c>
      <c r="E1843" s="1" t="s">
        <v>7359</v>
      </c>
      <c r="F1843" s="2" t="str">
        <f>"1338645307"</f>
        <v>1338645307</v>
      </c>
      <c r="G1843" s="2" t="str">
        <f>"9781338645309"</f>
        <v>9781338645309</v>
      </c>
      <c r="H1843" s="1" t="s">
        <v>817</v>
      </c>
      <c r="I1843" s="1" t="s">
        <v>36</v>
      </c>
      <c r="J1843" s="1">
        <v>64.0</v>
      </c>
      <c r="K1843" s="1">
        <v>2020.0</v>
      </c>
      <c r="L1843" s="1">
        <v>2020.0</v>
      </c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 t="s">
        <v>7360</v>
      </c>
      <c r="Y1843" s="1" t="s">
        <v>7361</v>
      </c>
    </row>
    <row r="1844">
      <c r="A1844" s="1">
        <v>8112872.0</v>
      </c>
      <c r="B1844" s="1" t="s">
        <v>7362</v>
      </c>
      <c r="C1844" s="1" t="s">
        <v>2225</v>
      </c>
      <c r="D1844" s="1" t="s">
        <v>2226</v>
      </c>
      <c r="E1844" s="1" t="s">
        <v>1697</v>
      </c>
      <c r="F1844" s="2" t="str">
        <f>"0545072247"</f>
        <v>0545072247</v>
      </c>
      <c r="G1844" s="2" t="str">
        <f>"9780545072243"</f>
        <v>9780545072243</v>
      </c>
      <c r="H1844" s="1" t="s">
        <v>817</v>
      </c>
      <c r="I1844" s="1" t="s">
        <v>36</v>
      </c>
      <c r="J1844" s="1">
        <v>64.0</v>
      </c>
      <c r="L1844" s="1">
        <v>2010.0</v>
      </c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 t="s">
        <v>7354</v>
      </c>
      <c r="Y1844" s="1" t="s">
        <v>7363</v>
      </c>
    </row>
    <row r="1845">
      <c r="A1845" s="1">
        <v>173938.0</v>
      </c>
      <c r="B1845" s="1" t="s">
        <v>7364</v>
      </c>
      <c r="C1845" s="1" t="s">
        <v>2225</v>
      </c>
      <c r="D1845" s="1" t="s">
        <v>2226</v>
      </c>
      <c r="E1845" s="1" t="s">
        <v>1697</v>
      </c>
      <c r="F1845" s="2" t="str">
        <f>"0439429277"</f>
        <v>0439429277</v>
      </c>
      <c r="G1845" s="2" t="str">
        <f>"9780439429276"</f>
        <v>9780439429276</v>
      </c>
      <c r="H1845" s="1" t="s">
        <v>817</v>
      </c>
      <c r="I1845" s="1" t="s">
        <v>36</v>
      </c>
      <c r="J1845" s="1">
        <v>64.0</v>
      </c>
      <c r="K1845" s="1">
        <v>2002.0</v>
      </c>
      <c r="L1845" s="1">
        <v>2002.0</v>
      </c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 t="s">
        <v>7354</v>
      </c>
      <c r="Y1845" s="1" t="s">
        <v>7365</v>
      </c>
    </row>
    <row r="1846">
      <c r="A1846" s="1">
        <v>2.8835888E7</v>
      </c>
      <c r="B1846" s="1" t="s">
        <v>7366</v>
      </c>
      <c r="C1846" s="1" t="s">
        <v>2225</v>
      </c>
      <c r="D1846" s="1" t="s">
        <v>2226</v>
      </c>
      <c r="E1846" s="1" t="s">
        <v>1697</v>
      </c>
      <c r="F1846" s="2" t="str">
        <f t="shared" ref="F1846:G1846" si="117">""</f>
        <v/>
      </c>
      <c r="G1846" s="2" t="str">
        <f t="shared" si="117"/>
        <v/>
      </c>
      <c r="H1846" s="1" t="s">
        <v>179</v>
      </c>
      <c r="I1846" s="1" t="s">
        <v>36</v>
      </c>
      <c r="J1846" s="1">
        <v>64.0</v>
      </c>
      <c r="K1846" s="1">
        <v>2015.0</v>
      </c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 t="s">
        <v>7354</v>
      </c>
      <c r="Y1846" s="1" t="s">
        <v>7367</v>
      </c>
    </row>
    <row r="1847">
      <c r="A1847" s="1">
        <v>3.8741036E7</v>
      </c>
      <c r="B1847" s="1" t="s">
        <v>7368</v>
      </c>
      <c r="C1847" s="1" t="s">
        <v>7369</v>
      </c>
      <c r="D1847" s="1" t="s">
        <v>7370</v>
      </c>
      <c r="E1847" s="1" t="s">
        <v>7371</v>
      </c>
      <c r="F1847" s="2" t="str">
        <f>"1786273004"</f>
        <v>1786273004</v>
      </c>
      <c r="G1847" s="2" t="str">
        <f>"9781786273000"</f>
        <v>9781786273000</v>
      </c>
      <c r="H1847" s="1" t="s">
        <v>7372</v>
      </c>
      <c r="I1847" s="1" t="s">
        <v>31</v>
      </c>
      <c r="J1847" s="1">
        <v>64.0</v>
      </c>
      <c r="K1847" s="1">
        <v>2018.0</v>
      </c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 t="s">
        <v>1195</v>
      </c>
      <c r="Y1847" s="1" t="s">
        <v>7373</v>
      </c>
    </row>
    <row r="1848">
      <c r="A1848" s="1">
        <v>2.1416421E7</v>
      </c>
      <c r="B1848" s="1" t="s">
        <v>7374</v>
      </c>
      <c r="C1848" s="1" t="s">
        <v>724</v>
      </c>
      <c r="D1848" s="1" t="s">
        <v>725</v>
      </c>
      <c r="F1848" s="2" t="str">
        <f>"142319957X"</f>
        <v>142319957X</v>
      </c>
      <c r="G1848" s="2" t="str">
        <f>"9781423199571"</f>
        <v>9781423199571</v>
      </c>
      <c r="H1848" s="1" t="s">
        <v>6415</v>
      </c>
      <c r="I1848" s="1" t="s">
        <v>31</v>
      </c>
      <c r="J1848" s="1">
        <v>64.0</v>
      </c>
      <c r="K1848" s="1">
        <v>2014.0</v>
      </c>
      <c r="L1848" s="1">
        <v>2014.0</v>
      </c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 t="s">
        <v>727</v>
      </c>
      <c r="Y1848" s="1" t="s">
        <v>7375</v>
      </c>
    </row>
    <row r="1849">
      <c r="A1849" s="1">
        <v>1.7082833E7</v>
      </c>
      <c r="B1849" s="1" t="s">
        <v>7376</v>
      </c>
      <c r="C1849" s="1" t="s">
        <v>724</v>
      </c>
      <c r="D1849" s="1" t="s">
        <v>725</v>
      </c>
      <c r="F1849" s="2" t="str">
        <f>"1423183053"</f>
        <v>1423183053</v>
      </c>
      <c r="G1849" s="2" t="str">
        <f>"9781423183051"</f>
        <v>9781423183051</v>
      </c>
      <c r="H1849" s="1" t="s">
        <v>6415</v>
      </c>
      <c r="I1849" s="1" t="s">
        <v>31</v>
      </c>
      <c r="J1849" s="1">
        <v>64.0</v>
      </c>
      <c r="K1849" s="1">
        <v>2013.0</v>
      </c>
      <c r="L1849" s="1">
        <v>2013.0</v>
      </c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 t="s">
        <v>727</v>
      </c>
      <c r="Y1849" s="1" t="s">
        <v>7377</v>
      </c>
    </row>
    <row r="1850">
      <c r="A1850" s="1">
        <v>6202568.0</v>
      </c>
      <c r="B1850" s="1" t="s">
        <v>7378</v>
      </c>
      <c r="C1850" s="1" t="s">
        <v>724</v>
      </c>
      <c r="D1850" s="1" t="s">
        <v>725</v>
      </c>
      <c r="F1850" s="2" t="str">
        <f>"1423114108"</f>
        <v>1423114108</v>
      </c>
      <c r="G1850" s="2" t="str">
        <f>"9781423114109"</f>
        <v>9781423114109</v>
      </c>
      <c r="H1850" s="1" t="s">
        <v>6415</v>
      </c>
      <c r="I1850" s="1" t="s">
        <v>31</v>
      </c>
      <c r="J1850" s="1">
        <v>64.0</v>
      </c>
      <c r="K1850" s="1">
        <v>2009.0</v>
      </c>
      <c r="L1850" s="1">
        <v>2009.0</v>
      </c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 t="s">
        <v>727</v>
      </c>
      <c r="Y1850" s="1" t="s">
        <v>7379</v>
      </c>
    </row>
    <row r="1851">
      <c r="A1851" s="1">
        <v>2.7247476E7</v>
      </c>
      <c r="B1851" s="1" t="s">
        <v>7380</v>
      </c>
      <c r="C1851" s="1" t="s">
        <v>724</v>
      </c>
      <c r="D1851" s="1" t="s">
        <v>725</v>
      </c>
      <c r="F1851" s="2" t="str">
        <f>"1423178289"</f>
        <v>1423178289</v>
      </c>
      <c r="G1851" s="2" t="str">
        <f>"9781423178286"</f>
        <v>9781423178286</v>
      </c>
      <c r="H1851" s="1" t="s">
        <v>6415</v>
      </c>
      <c r="I1851" s="1" t="s">
        <v>31</v>
      </c>
      <c r="J1851" s="1">
        <v>64.0</v>
      </c>
      <c r="K1851" s="1">
        <v>2016.0</v>
      </c>
      <c r="L1851" s="1">
        <v>2016.0</v>
      </c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 t="s">
        <v>727</v>
      </c>
      <c r="Y1851" s="1" t="s">
        <v>7381</v>
      </c>
    </row>
    <row r="1852">
      <c r="A1852" s="1">
        <v>2242634.0</v>
      </c>
      <c r="B1852" s="1" t="s">
        <v>7382</v>
      </c>
      <c r="C1852" s="1" t="s">
        <v>724</v>
      </c>
      <c r="D1852" s="1" t="s">
        <v>725</v>
      </c>
      <c r="F1852" s="2" t="str">
        <f>"1423109627"</f>
        <v>1423109627</v>
      </c>
      <c r="G1852" s="2" t="str">
        <f>"9781423109624"</f>
        <v>9781423109624</v>
      </c>
      <c r="H1852" s="1" t="s">
        <v>6415</v>
      </c>
      <c r="I1852" s="1" t="s">
        <v>31</v>
      </c>
      <c r="J1852" s="1">
        <v>64.0</v>
      </c>
      <c r="K1852" s="1">
        <v>2008.0</v>
      </c>
      <c r="L1852" s="1">
        <v>2008.0</v>
      </c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 t="s">
        <v>727</v>
      </c>
      <c r="Y1852" s="1" t="s">
        <v>7383</v>
      </c>
    </row>
    <row r="1853">
      <c r="A1853" s="1">
        <v>6353418.0</v>
      </c>
      <c r="B1853" s="1" t="s">
        <v>7384</v>
      </c>
      <c r="C1853" s="1" t="s">
        <v>724</v>
      </c>
      <c r="D1853" s="1" t="s">
        <v>725</v>
      </c>
      <c r="F1853" s="2" t="str">
        <f>"1423114116"</f>
        <v>1423114116</v>
      </c>
      <c r="G1853" s="2" t="str">
        <f>"9781423114116"</f>
        <v>9781423114116</v>
      </c>
      <c r="H1853" s="1" t="s">
        <v>6415</v>
      </c>
      <c r="I1853" s="1" t="s">
        <v>31</v>
      </c>
      <c r="J1853" s="1">
        <v>64.0</v>
      </c>
      <c r="K1853" s="1">
        <v>2009.0</v>
      </c>
      <c r="L1853" s="1">
        <v>2009.0</v>
      </c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 t="s">
        <v>727</v>
      </c>
      <c r="Y1853" s="1" t="s">
        <v>7385</v>
      </c>
    </row>
    <row r="1854">
      <c r="A1854" s="1">
        <v>2.5067039E7</v>
      </c>
      <c r="B1854" s="1" t="s">
        <v>7386</v>
      </c>
      <c r="C1854" s="1" t="s">
        <v>724</v>
      </c>
      <c r="D1854" s="1" t="s">
        <v>725</v>
      </c>
      <c r="F1854" s="2" t="str">
        <f>"1484722620"</f>
        <v>1484722620</v>
      </c>
      <c r="G1854" s="2" t="str">
        <f>"9781484722626"</f>
        <v>9781484722626</v>
      </c>
      <c r="H1854" s="1" t="s">
        <v>6415</v>
      </c>
      <c r="I1854" s="1" t="s">
        <v>31</v>
      </c>
      <c r="J1854" s="1">
        <v>64.0</v>
      </c>
      <c r="K1854" s="1">
        <v>2015.0</v>
      </c>
      <c r="L1854" s="1">
        <v>2015.0</v>
      </c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 t="s">
        <v>727</v>
      </c>
      <c r="Y1854" s="1" t="s">
        <v>7387</v>
      </c>
    </row>
    <row r="1855">
      <c r="A1855" s="1">
        <v>6642732.0</v>
      </c>
      <c r="B1855" s="1" t="s">
        <v>7388</v>
      </c>
      <c r="C1855" s="1" t="s">
        <v>724</v>
      </c>
      <c r="D1855" s="1" t="s">
        <v>725</v>
      </c>
      <c r="F1855" s="2" t="str">
        <f>"1423119908"</f>
        <v>1423119908</v>
      </c>
      <c r="G1855" s="2" t="str">
        <f>"9781423119906"</f>
        <v>9781423119906</v>
      </c>
      <c r="H1855" s="1" t="s">
        <v>6415</v>
      </c>
      <c r="I1855" s="1" t="s">
        <v>31</v>
      </c>
      <c r="J1855" s="1">
        <v>64.0</v>
      </c>
      <c r="K1855" s="1">
        <v>2010.0</v>
      </c>
      <c r="L1855" s="1">
        <v>2010.0</v>
      </c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 t="s">
        <v>727</v>
      </c>
      <c r="Y1855" s="1" t="s">
        <v>7389</v>
      </c>
    </row>
    <row r="1856">
      <c r="A1856" s="1">
        <v>223845.0</v>
      </c>
      <c r="B1856" s="1" t="s">
        <v>7390</v>
      </c>
      <c r="C1856" s="1" t="s">
        <v>724</v>
      </c>
      <c r="D1856" s="1" t="s">
        <v>725</v>
      </c>
      <c r="F1856" s="2" t="str">
        <f>"1423102975"</f>
        <v>1423102975</v>
      </c>
      <c r="G1856" s="2" t="str">
        <f>"9781423102977"</f>
        <v>9781423102977</v>
      </c>
      <c r="H1856" s="1" t="s">
        <v>6415</v>
      </c>
      <c r="I1856" s="1" t="s">
        <v>31</v>
      </c>
      <c r="J1856" s="1">
        <v>64.0</v>
      </c>
      <c r="K1856" s="1">
        <v>2007.0</v>
      </c>
      <c r="L1856" s="1">
        <v>2007.0</v>
      </c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 t="s">
        <v>727</v>
      </c>
      <c r="Y1856" s="1" t="s">
        <v>7391</v>
      </c>
    </row>
    <row r="1857">
      <c r="A1857" s="1">
        <v>3943162.0</v>
      </c>
      <c r="B1857" s="1" t="s">
        <v>7392</v>
      </c>
      <c r="C1857" s="1" t="s">
        <v>724</v>
      </c>
      <c r="D1857" s="1" t="s">
        <v>725</v>
      </c>
      <c r="F1857" s="2" t="str">
        <f>"1423113489"</f>
        <v>1423113489</v>
      </c>
      <c r="G1857" s="2" t="str">
        <f>"9781423113485"</f>
        <v>9781423113485</v>
      </c>
      <c r="H1857" s="1" t="s">
        <v>6415</v>
      </c>
      <c r="I1857" s="1" t="s">
        <v>31</v>
      </c>
      <c r="J1857" s="1">
        <v>64.0</v>
      </c>
      <c r="K1857" s="1">
        <v>2009.0</v>
      </c>
      <c r="L1857" s="1">
        <v>2009.0</v>
      </c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 t="s">
        <v>727</v>
      </c>
      <c r="Y1857" s="1" t="s">
        <v>7393</v>
      </c>
    </row>
    <row r="1858">
      <c r="A1858" s="1">
        <v>1.362419E7</v>
      </c>
      <c r="B1858" s="1" t="s">
        <v>7394</v>
      </c>
      <c r="C1858" s="1" t="s">
        <v>724</v>
      </c>
      <c r="D1858" s="1" t="s">
        <v>725</v>
      </c>
      <c r="F1858" s="2" t="str">
        <f>"1423164822"</f>
        <v>1423164822</v>
      </c>
      <c r="G1858" s="2" t="str">
        <f>"9781423164821"</f>
        <v>9781423164821</v>
      </c>
      <c r="H1858" s="1" t="s">
        <v>6415</v>
      </c>
      <c r="I1858" s="1" t="s">
        <v>31</v>
      </c>
      <c r="J1858" s="1">
        <v>64.0</v>
      </c>
      <c r="K1858" s="1">
        <v>2012.0</v>
      </c>
      <c r="L1858" s="1">
        <v>2012.0</v>
      </c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 t="s">
        <v>727</v>
      </c>
      <c r="Y1858" s="1" t="s">
        <v>7395</v>
      </c>
    </row>
    <row r="1859">
      <c r="A1859" s="1">
        <v>8999818.0</v>
      </c>
      <c r="B1859" s="1" t="s">
        <v>7396</v>
      </c>
      <c r="C1859" s="1" t="s">
        <v>724</v>
      </c>
      <c r="D1859" s="1" t="s">
        <v>725</v>
      </c>
      <c r="F1859" s="2" t="str">
        <f>"1423133099"</f>
        <v>1423133099</v>
      </c>
      <c r="G1859" s="2" t="str">
        <f>"9781423133094"</f>
        <v>9781423133094</v>
      </c>
      <c r="H1859" s="1" t="s">
        <v>6415</v>
      </c>
      <c r="I1859" s="1" t="s">
        <v>31</v>
      </c>
      <c r="J1859" s="1">
        <v>64.0</v>
      </c>
      <c r="K1859" s="1">
        <v>2011.0</v>
      </c>
      <c r="L1859" s="1">
        <v>2011.0</v>
      </c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 t="s">
        <v>727</v>
      </c>
      <c r="Y1859" s="1" t="s">
        <v>7397</v>
      </c>
    </row>
    <row r="1860">
      <c r="A1860" s="1">
        <v>1.0845916E7</v>
      </c>
      <c r="B1860" s="1" t="s">
        <v>7398</v>
      </c>
      <c r="C1860" s="1" t="s">
        <v>724</v>
      </c>
      <c r="D1860" s="1" t="s">
        <v>725</v>
      </c>
      <c r="F1860" s="2" t="str">
        <f>"1423143426"</f>
        <v>1423143426</v>
      </c>
      <c r="G1860" s="2" t="str">
        <f>"9781423143420"</f>
        <v>9781423143420</v>
      </c>
      <c r="H1860" s="1" t="s">
        <v>6415</v>
      </c>
      <c r="I1860" s="1" t="s">
        <v>31</v>
      </c>
      <c r="J1860" s="1">
        <v>64.0</v>
      </c>
      <c r="K1860" s="1">
        <v>2011.0</v>
      </c>
      <c r="L1860" s="1">
        <v>2011.0</v>
      </c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 t="s">
        <v>370</v>
      </c>
      <c r="Y1860" s="1" t="s">
        <v>7399</v>
      </c>
    </row>
    <row r="1861">
      <c r="A1861" s="1">
        <v>2.3341909E7</v>
      </c>
      <c r="B1861" s="1" t="s">
        <v>7400</v>
      </c>
      <c r="C1861" s="1" t="s">
        <v>724</v>
      </c>
      <c r="D1861" s="1" t="s">
        <v>725</v>
      </c>
      <c r="F1861" s="2" t="str">
        <f>"1484722884"</f>
        <v>1484722884</v>
      </c>
      <c r="G1861" s="2" t="str">
        <f>"9781484722886"</f>
        <v>9781484722886</v>
      </c>
      <c r="H1861" s="1" t="s">
        <v>6415</v>
      </c>
      <c r="I1861" s="1" t="s">
        <v>31</v>
      </c>
      <c r="J1861" s="1">
        <v>64.0</v>
      </c>
      <c r="K1861" s="1">
        <v>2015.0</v>
      </c>
      <c r="L1861" s="1">
        <v>2010.0</v>
      </c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 t="s">
        <v>245</v>
      </c>
      <c r="Y1861" s="1" t="s">
        <v>7401</v>
      </c>
    </row>
    <row r="1862">
      <c r="A1862" s="1">
        <v>515904.0</v>
      </c>
      <c r="B1862" s="1" t="s">
        <v>7402</v>
      </c>
      <c r="C1862" s="1" t="s">
        <v>724</v>
      </c>
      <c r="D1862" s="1" t="s">
        <v>725</v>
      </c>
      <c r="F1862" s="2" t="str">
        <f>"1423106865"</f>
        <v>1423106865</v>
      </c>
      <c r="G1862" s="2" t="str">
        <f>"9781423106869"</f>
        <v>9781423106869</v>
      </c>
      <c r="H1862" s="1" t="s">
        <v>6415</v>
      </c>
      <c r="I1862" s="1" t="s">
        <v>31</v>
      </c>
      <c r="J1862" s="1">
        <v>64.0</v>
      </c>
      <c r="K1862" s="1">
        <v>2007.0</v>
      </c>
      <c r="L1862" s="1">
        <v>2007.0</v>
      </c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 t="s">
        <v>727</v>
      </c>
      <c r="Y1862" s="1" t="s">
        <v>7403</v>
      </c>
    </row>
    <row r="1863">
      <c r="A1863" s="1">
        <v>2.5067041E7</v>
      </c>
      <c r="B1863" s="1" t="s">
        <v>7404</v>
      </c>
      <c r="C1863" s="1" t="s">
        <v>724</v>
      </c>
      <c r="D1863" s="1" t="s">
        <v>725</v>
      </c>
      <c r="F1863" s="2" t="str">
        <f>"1484722876"</f>
        <v>1484722876</v>
      </c>
      <c r="G1863" s="2" t="str">
        <f>"9781484722879"</f>
        <v>9781484722879</v>
      </c>
      <c r="H1863" s="1" t="s">
        <v>6415</v>
      </c>
      <c r="I1863" s="1" t="s">
        <v>31</v>
      </c>
      <c r="J1863" s="1">
        <v>64.0</v>
      </c>
      <c r="K1863" s="1">
        <v>2015.0</v>
      </c>
      <c r="L1863" s="1">
        <v>2007.0</v>
      </c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 t="s">
        <v>727</v>
      </c>
      <c r="Y1863" s="1" t="s">
        <v>7405</v>
      </c>
    </row>
    <row r="1864">
      <c r="A1864" s="1">
        <v>782854.0</v>
      </c>
      <c r="B1864" s="1" t="s">
        <v>7406</v>
      </c>
      <c r="C1864" s="1" t="s">
        <v>7407</v>
      </c>
      <c r="D1864" s="1" t="s">
        <v>7408</v>
      </c>
      <c r="E1864" s="1" t="s">
        <v>7409</v>
      </c>
      <c r="F1864" s="2" t="str">
        <f>"067122350X"</f>
        <v>067122350X</v>
      </c>
      <c r="G1864" s="2" t="str">
        <f>"9780671223502"</f>
        <v>9780671223502</v>
      </c>
      <c r="H1864" s="1" t="s">
        <v>3030</v>
      </c>
      <c r="I1864" s="1" t="s">
        <v>31</v>
      </c>
      <c r="J1864" s="1">
        <v>65.0</v>
      </c>
      <c r="K1864" s="1">
        <v>1969.0</v>
      </c>
      <c r="L1864" s="1">
        <v>1955.0</v>
      </c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 t="s">
        <v>370</v>
      </c>
      <c r="Y1864" s="1" t="s">
        <v>7410</v>
      </c>
    </row>
    <row r="1865">
      <c r="A1865" s="1">
        <v>948526.0</v>
      </c>
      <c r="B1865" s="1" t="s">
        <v>7411</v>
      </c>
      <c r="C1865" s="1" t="s">
        <v>474</v>
      </c>
      <c r="D1865" s="1" t="s">
        <v>475</v>
      </c>
      <c r="E1865" s="1" t="s">
        <v>7412</v>
      </c>
      <c r="F1865" s="2" t="str">
        <f>"067982412X"</f>
        <v>067982412X</v>
      </c>
      <c r="G1865" s="2" t="str">
        <f>"9780679824121"</f>
        <v>9780679824121</v>
      </c>
      <c r="H1865" s="1" t="s">
        <v>7413</v>
      </c>
      <c r="I1865" s="1" t="s">
        <v>36</v>
      </c>
      <c r="J1865" s="1">
        <v>66.0</v>
      </c>
      <c r="K1865" s="1">
        <v>1993.0</v>
      </c>
      <c r="L1865" s="1">
        <v>1993.0</v>
      </c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 t="s">
        <v>291</v>
      </c>
      <c r="Y1865" s="1" t="s">
        <v>7414</v>
      </c>
    </row>
    <row r="1866">
      <c r="A1866" s="1">
        <v>333317.0</v>
      </c>
      <c r="B1866" s="1" t="s">
        <v>7415</v>
      </c>
      <c r="C1866" s="1" t="s">
        <v>502</v>
      </c>
      <c r="D1866" s="1" t="s">
        <v>503</v>
      </c>
      <c r="E1866" s="1" t="s">
        <v>7416</v>
      </c>
      <c r="F1866" s="2" t="str">
        <f>"0679891307"</f>
        <v>0679891307</v>
      </c>
      <c r="G1866" s="2" t="str">
        <f>"9780679891307"</f>
        <v>9780679891307</v>
      </c>
      <c r="H1866" s="1" t="s">
        <v>7417</v>
      </c>
      <c r="I1866" s="1" t="s">
        <v>36</v>
      </c>
      <c r="J1866" s="1">
        <v>66.0</v>
      </c>
      <c r="K1866" s="1">
        <v>1998.0</v>
      </c>
      <c r="L1866" s="1">
        <v>1998.0</v>
      </c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 t="s">
        <v>180</v>
      </c>
      <c r="Y1866" s="1" t="s">
        <v>7418</v>
      </c>
    </row>
    <row r="1867">
      <c r="A1867" s="1">
        <v>958275.0</v>
      </c>
      <c r="B1867" s="1" t="s">
        <v>7419</v>
      </c>
      <c r="C1867" s="1" t="s">
        <v>502</v>
      </c>
      <c r="D1867" s="1" t="s">
        <v>503</v>
      </c>
      <c r="E1867" s="1" t="s">
        <v>7416</v>
      </c>
      <c r="F1867" s="2" t="str">
        <f>"0375802916"</f>
        <v>0375802916</v>
      </c>
      <c r="G1867" s="2" t="str">
        <f>"9780375802911"</f>
        <v>9780375802911</v>
      </c>
      <c r="H1867" s="1" t="s">
        <v>156</v>
      </c>
      <c r="I1867" s="1" t="s">
        <v>36</v>
      </c>
      <c r="J1867" s="1">
        <v>66.0</v>
      </c>
      <c r="K1867" s="1">
        <v>2001.0</v>
      </c>
      <c r="L1867" s="1">
        <v>2001.0</v>
      </c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 t="s">
        <v>180</v>
      </c>
      <c r="Y1867" s="1" t="s">
        <v>7420</v>
      </c>
    </row>
    <row r="1868">
      <c r="A1868" s="1">
        <v>7.6549402E7</v>
      </c>
      <c r="B1868" s="1" t="s">
        <v>7421</v>
      </c>
      <c r="C1868" s="1" t="s">
        <v>7422</v>
      </c>
      <c r="D1868" s="1" t="s">
        <v>7423</v>
      </c>
      <c r="F1868" s="2" t="str">
        <f>"0615295134"</f>
        <v>0615295134</v>
      </c>
      <c r="G1868" s="2" t="str">
        <f>"9780615295138"</f>
        <v>9780615295138</v>
      </c>
      <c r="I1868" s="1" t="s">
        <v>108</v>
      </c>
      <c r="J1868" s="1">
        <v>66.0</v>
      </c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 t="s">
        <v>96</v>
      </c>
      <c r="Y1868" s="1" t="s">
        <v>7424</v>
      </c>
    </row>
    <row r="1869">
      <c r="A1869" s="1">
        <v>6670.0</v>
      </c>
      <c r="B1869" s="1" t="s">
        <v>7425</v>
      </c>
      <c r="C1869" s="1" t="s">
        <v>7426</v>
      </c>
      <c r="D1869" s="1" t="s">
        <v>7427</v>
      </c>
      <c r="E1869" s="1" t="s">
        <v>5428</v>
      </c>
      <c r="F1869" s="2" t="str">
        <f>"0141311290"</f>
        <v>0141311290</v>
      </c>
      <c r="G1869" s="2" t="str">
        <f>"9780141311296"</f>
        <v>9780141311296</v>
      </c>
      <c r="H1869" s="1" t="s">
        <v>753</v>
      </c>
      <c r="I1869" s="1" t="s">
        <v>36</v>
      </c>
      <c r="J1869" s="1">
        <v>67.0</v>
      </c>
      <c r="K1869" s="1">
        <v>2001.0</v>
      </c>
      <c r="L1869" s="1">
        <v>1966.0</v>
      </c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 t="s">
        <v>45</v>
      </c>
      <c r="Y1869" s="1" t="s">
        <v>7428</v>
      </c>
    </row>
    <row r="1870">
      <c r="A1870" s="1">
        <v>105557.0</v>
      </c>
      <c r="B1870" s="1" t="s">
        <v>7429</v>
      </c>
      <c r="C1870" s="1" t="s">
        <v>1182</v>
      </c>
      <c r="D1870" s="1" t="s">
        <v>1183</v>
      </c>
      <c r="F1870" s="2" t="str">
        <f>"1930332831"</f>
        <v>1930332831</v>
      </c>
      <c r="G1870" s="2" t="str">
        <f>"9781930332836"</f>
        <v>9781930332836</v>
      </c>
      <c r="H1870" s="1" t="s">
        <v>191</v>
      </c>
      <c r="I1870" s="1" t="s">
        <v>31</v>
      </c>
      <c r="J1870" s="1">
        <v>67.0</v>
      </c>
      <c r="K1870" s="1">
        <v>2005.0</v>
      </c>
      <c r="L1870" s="1">
        <v>1960.0</v>
      </c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 t="s">
        <v>5330</v>
      </c>
      <c r="Y1870" s="1" t="s">
        <v>7430</v>
      </c>
    </row>
    <row r="1871">
      <c r="A1871" s="1">
        <v>37191.0</v>
      </c>
      <c r="B1871" s="1" t="s">
        <v>7431</v>
      </c>
      <c r="C1871" s="1" t="s">
        <v>225</v>
      </c>
      <c r="D1871" s="1" t="s">
        <v>226</v>
      </c>
      <c r="E1871" s="1" t="s">
        <v>3159</v>
      </c>
      <c r="F1871" s="2" t="str">
        <f>"0763622702"</f>
        <v>0763622702</v>
      </c>
      <c r="G1871" s="2" t="str">
        <f>"9780763622701"</f>
        <v>9780763622701</v>
      </c>
      <c r="H1871" s="1" t="s">
        <v>945</v>
      </c>
      <c r="I1871" s="1" t="s">
        <v>31</v>
      </c>
      <c r="J1871" s="1">
        <v>68.0</v>
      </c>
      <c r="K1871" s="1">
        <v>2005.0</v>
      </c>
      <c r="L1871" s="1">
        <v>2005.0</v>
      </c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 t="s">
        <v>1397</v>
      </c>
      <c r="Y1871" s="1" t="s">
        <v>7432</v>
      </c>
    </row>
    <row r="1872">
      <c r="A1872" s="1">
        <v>401900.0</v>
      </c>
      <c r="B1872" s="1" t="s">
        <v>7433</v>
      </c>
      <c r="C1872" s="1" t="s">
        <v>7434</v>
      </c>
      <c r="D1872" s="1" t="s">
        <v>7435</v>
      </c>
      <c r="E1872" s="1" t="s">
        <v>7436</v>
      </c>
      <c r="F1872" s="2" t="str">
        <f>"0152055711"</f>
        <v>0152055711</v>
      </c>
      <c r="G1872" s="2" t="str">
        <f>"9780152055714"</f>
        <v>9780152055714</v>
      </c>
      <c r="H1872" s="1" t="s">
        <v>1799</v>
      </c>
      <c r="I1872" s="1" t="s">
        <v>36</v>
      </c>
      <c r="J1872" s="1">
        <v>68.0</v>
      </c>
      <c r="K1872" s="1">
        <v>2006.0</v>
      </c>
      <c r="L1872" s="1">
        <v>1998.0</v>
      </c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 t="s">
        <v>68</v>
      </c>
      <c r="Y1872" s="1" t="s">
        <v>7437</v>
      </c>
    </row>
    <row r="1873">
      <c r="A1873" s="1">
        <v>2224294.0</v>
      </c>
      <c r="B1873" s="1" t="s">
        <v>7438</v>
      </c>
      <c r="C1873" s="1" t="s">
        <v>383</v>
      </c>
      <c r="D1873" s="1" t="s">
        <v>384</v>
      </c>
      <c r="F1873" s="2" t="str">
        <f>"8420430633"</f>
        <v>8420430633</v>
      </c>
      <c r="G1873" s="2" t="str">
        <f>"9788420430638"</f>
        <v>9788420430638</v>
      </c>
      <c r="H1873" s="1" t="s">
        <v>191</v>
      </c>
      <c r="I1873" s="1" t="s">
        <v>36</v>
      </c>
      <c r="J1873" s="1">
        <v>68.0</v>
      </c>
      <c r="K1873" s="1">
        <v>1975.0</v>
      </c>
      <c r="L1873" s="1">
        <v>1975.0</v>
      </c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 t="s">
        <v>716</v>
      </c>
      <c r="Y1873" s="1" t="s">
        <v>7439</v>
      </c>
    </row>
    <row r="1874">
      <c r="A1874" s="1">
        <v>824734.0</v>
      </c>
      <c r="B1874" s="1" t="s">
        <v>7440</v>
      </c>
      <c r="C1874" s="1" t="s">
        <v>474</v>
      </c>
      <c r="D1874" s="1" t="s">
        <v>475</v>
      </c>
      <c r="E1874" s="1" t="s">
        <v>7412</v>
      </c>
      <c r="F1874" s="2" t="str">
        <f>"0679824111"</f>
        <v>0679824111</v>
      </c>
      <c r="G1874" s="2" t="str">
        <f>"9780679824114"</f>
        <v>9780679824114</v>
      </c>
      <c r="H1874" s="1" t="s">
        <v>1072</v>
      </c>
      <c r="I1874" s="1" t="s">
        <v>36</v>
      </c>
      <c r="J1874" s="1">
        <v>68.0</v>
      </c>
      <c r="K1874" s="1">
        <v>1992.0</v>
      </c>
      <c r="L1874" s="1">
        <v>1992.0</v>
      </c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 t="s">
        <v>291</v>
      </c>
      <c r="Y1874" s="1" t="s">
        <v>7441</v>
      </c>
    </row>
    <row r="1875">
      <c r="A1875" s="1">
        <v>1167.0</v>
      </c>
      <c r="B1875" s="1" t="s">
        <v>7442</v>
      </c>
      <c r="C1875" s="1" t="s">
        <v>502</v>
      </c>
      <c r="D1875" s="1" t="s">
        <v>503</v>
      </c>
      <c r="E1875" s="1" t="s">
        <v>7416</v>
      </c>
      <c r="F1875" s="2" t="str">
        <f t="shared" ref="F1875:G1875" si="118">""</f>
        <v/>
      </c>
      <c r="G1875" s="2" t="str">
        <f t="shared" si="118"/>
        <v/>
      </c>
      <c r="H1875" s="1" t="s">
        <v>156</v>
      </c>
      <c r="I1875" s="1" t="s">
        <v>36</v>
      </c>
      <c r="J1875" s="1">
        <v>68.0</v>
      </c>
      <c r="K1875" s="1">
        <v>1993.0</v>
      </c>
      <c r="L1875" s="1">
        <v>1993.0</v>
      </c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 t="s">
        <v>180</v>
      </c>
      <c r="Y1875" s="1" t="s">
        <v>7443</v>
      </c>
    </row>
    <row r="1876">
      <c r="A1876" s="1">
        <v>284095.0</v>
      </c>
      <c r="B1876" s="1" t="s">
        <v>7444</v>
      </c>
      <c r="C1876" s="1" t="s">
        <v>502</v>
      </c>
      <c r="D1876" s="1" t="s">
        <v>503</v>
      </c>
      <c r="E1876" s="1" t="s">
        <v>7416</v>
      </c>
      <c r="F1876" s="2" t="str">
        <f>"0375800387"</f>
        <v>0375800387</v>
      </c>
      <c r="G1876" s="2" t="str">
        <f>"9780375800382"</f>
        <v>9780375800382</v>
      </c>
      <c r="H1876" s="1" t="s">
        <v>156</v>
      </c>
      <c r="I1876" s="1" t="s">
        <v>36</v>
      </c>
      <c r="J1876" s="1">
        <v>68.0</v>
      </c>
      <c r="K1876" s="1">
        <v>1999.0</v>
      </c>
      <c r="L1876" s="1">
        <v>1999.0</v>
      </c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 t="s">
        <v>7445</v>
      </c>
      <c r="Y1876" s="1" t="s">
        <v>7446</v>
      </c>
    </row>
    <row r="1877">
      <c r="A1877" s="1">
        <v>105549.0</v>
      </c>
      <c r="B1877" s="1" t="s">
        <v>7447</v>
      </c>
      <c r="C1877" s="1" t="s">
        <v>1182</v>
      </c>
      <c r="D1877" s="1" t="s">
        <v>1183</v>
      </c>
      <c r="F1877" s="2" t="str">
        <f>"0007158505"</f>
        <v>0007158505</v>
      </c>
      <c r="G1877" s="2" t="str">
        <f>"9780007158508"</f>
        <v>9780007158508</v>
      </c>
      <c r="H1877" s="1" t="s">
        <v>698</v>
      </c>
      <c r="I1877" s="1" t="s">
        <v>36</v>
      </c>
      <c r="J1877" s="1">
        <v>68.0</v>
      </c>
      <c r="K1877" s="1">
        <v>2003.0</v>
      </c>
      <c r="L1877" s="1">
        <v>1961.0</v>
      </c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 t="s">
        <v>6982</v>
      </c>
      <c r="Y1877" s="1" t="s">
        <v>7448</v>
      </c>
    </row>
    <row r="1878">
      <c r="A1878" s="1">
        <v>5.9012925E7</v>
      </c>
      <c r="B1878" s="1" t="s">
        <v>7449</v>
      </c>
      <c r="C1878" s="1" t="s">
        <v>639</v>
      </c>
      <c r="D1878" s="1" t="s">
        <v>7450</v>
      </c>
      <c r="E1878" s="1" t="s">
        <v>7451</v>
      </c>
      <c r="F1878" s="2" t="str">
        <f>"133874786X"</f>
        <v>133874786X</v>
      </c>
      <c r="G1878" s="2" t="str">
        <f>"9781338747867"</f>
        <v>9781338747867</v>
      </c>
      <c r="H1878" s="1" t="s">
        <v>1575</v>
      </c>
      <c r="I1878" s="1" t="s">
        <v>238</v>
      </c>
      <c r="J1878" s="1">
        <v>68.0</v>
      </c>
      <c r="K1878" s="1">
        <v>2021.0</v>
      </c>
      <c r="L1878" s="1">
        <v>2012.0</v>
      </c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 t="s">
        <v>3263</v>
      </c>
      <c r="Y1878" s="1" t="s">
        <v>7452</v>
      </c>
    </row>
    <row r="1879">
      <c r="A1879" s="1">
        <v>958276.0</v>
      </c>
      <c r="B1879" s="1" t="s">
        <v>7453</v>
      </c>
      <c r="C1879" s="1" t="s">
        <v>502</v>
      </c>
      <c r="D1879" s="1" t="s">
        <v>503</v>
      </c>
      <c r="E1879" s="1" t="s">
        <v>7416</v>
      </c>
      <c r="F1879" s="2" t="str">
        <f t="shared" ref="F1879:G1879" si="119">""</f>
        <v/>
      </c>
      <c r="G1879" s="2" t="str">
        <f t="shared" si="119"/>
        <v/>
      </c>
      <c r="H1879" s="1" t="s">
        <v>6981</v>
      </c>
      <c r="I1879" s="1" t="s">
        <v>36</v>
      </c>
      <c r="J1879" s="1">
        <v>69.0</v>
      </c>
      <c r="K1879" s="1">
        <v>1993.0</v>
      </c>
      <c r="L1879" s="1">
        <v>1993.0</v>
      </c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 t="s">
        <v>92</v>
      </c>
      <c r="Y1879" s="1" t="s">
        <v>7454</v>
      </c>
    </row>
    <row r="1880">
      <c r="A1880" s="1">
        <v>6660598.0</v>
      </c>
      <c r="B1880" s="1" t="s">
        <v>7455</v>
      </c>
      <c r="C1880" s="1" t="s">
        <v>42</v>
      </c>
      <c r="D1880" s="1" t="s">
        <v>43</v>
      </c>
      <c r="E1880" s="1" t="s">
        <v>2350</v>
      </c>
      <c r="F1880" s="2" t="str">
        <f>"1101076119"</f>
        <v>1101076119</v>
      </c>
      <c r="G1880" s="2" t="str">
        <f>"9781101076118"</f>
        <v>9781101076118</v>
      </c>
      <c r="H1880" s="1" t="s">
        <v>6899</v>
      </c>
      <c r="I1880" s="1" t="s">
        <v>238</v>
      </c>
      <c r="J1880" s="1">
        <v>70.0</v>
      </c>
      <c r="K1880" s="1">
        <v>2004.0</v>
      </c>
      <c r="L1880" s="1">
        <v>1993.0</v>
      </c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 t="s">
        <v>45</v>
      </c>
      <c r="Y1880" s="1" t="s">
        <v>7456</v>
      </c>
    </row>
    <row r="1881">
      <c r="A1881" s="1">
        <v>243424.0</v>
      </c>
      <c r="B1881" s="1" t="s">
        <v>7457</v>
      </c>
      <c r="C1881" s="1" t="s">
        <v>225</v>
      </c>
      <c r="D1881" s="1" t="s">
        <v>226</v>
      </c>
      <c r="E1881" s="1" t="s">
        <v>3159</v>
      </c>
      <c r="F1881" s="2" t="str">
        <f>"0763625906"</f>
        <v>0763625906</v>
      </c>
      <c r="G1881" s="2" t="str">
        <f>"9780763625900"</f>
        <v>9780763625900</v>
      </c>
      <c r="H1881" s="1" t="s">
        <v>945</v>
      </c>
      <c r="I1881" s="1" t="s">
        <v>31</v>
      </c>
      <c r="J1881" s="1">
        <v>70.0</v>
      </c>
      <c r="K1881" s="1">
        <v>2006.0</v>
      </c>
      <c r="L1881" s="1">
        <v>2006.0</v>
      </c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 t="s">
        <v>1397</v>
      </c>
      <c r="Y1881" s="1" t="s">
        <v>7458</v>
      </c>
    </row>
    <row r="1882">
      <c r="A1882" s="1">
        <v>4.0078539E7</v>
      </c>
      <c r="B1882" s="1" t="s">
        <v>7459</v>
      </c>
      <c r="C1882" s="1" t="s">
        <v>7171</v>
      </c>
      <c r="D1882" s="1" t="s">
        <v>7172</v>
      </c>
      <c r="F1882" s="2" t="str">
        <f>"0735262500"</f>
        <v>0735262500</v>
      </c>
      <c r="G1882" s="2" t="str">
        <f>"9780735262508"</f>
        <v>9780735262508</v>
      </c>
      <c r="H1882" s="1" t="s">
        <v>7173</v>
      </c>
      <c r="I1882" s="1" t="s">
        <v>238</v>
      </c>
      <c r="J1882" s="1">
        <v>71.0</v>
      </c>
      <c r="K1882" s="1">
        <v>2019.0</v>
      </c>
      <c r="L1882" s="1">
        <v>2019.0</v>
      </c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 t="s">
        <v>1352</v>
      </c>
      <c r="Y1882" s="1" t="s">
        <v>7460</v>
      </c>
    </row>
    <row r="1883">
      <c r="A1883" s="1">
        <v>3.9903678E7</v>
      </c>
      <c r="B1883" s="1" t="s">
        <v>7461</v>
      </c>
      <c r="C1883" s="1" t="s">
        <v>7462</v>
      </c>
      <c r="D1883" s="1" t="s">
        <v>7463</v>
      </c>
      <c r="E1883" s="1" t="s">
        <v>7464</v>
      </c>
      <c r="F1883" s="2" t="str">
        <f>"8469836609"</f>
        <v>8469836609</v>
      </c>
      <c r="G1883" s="2" t="str">
        <f>"9788469836606"</f>
        <v>9788469836606</v>
      </c>
      <c r="H1883" s="1" t="s">
        <v>7465</v>
      </c>
      <c r="I1883" s="1" t="s">
        <v>238</v>
      </c>
      <c r="J1883" s="1">
        <v>71.0</v>
      </c>
      <c r="K1883" s="1">
        <v>2018.0</v>
      </c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 t="s">
        <v>7466</v>
      </c>
      <c r="Y1883" s="1" t="s">
        <v>7467</v>
      </c>
    </row>
    <row r="1884">
      <c r="A1884" s="1">
        <v>4.9458202E7</v>
      </c>
      <c r="B1884" s="1" t="s">
        <v>7468</v>
      </c>
      <c r="C1884" s="1" t="s">
        <v>7469</v>
      </c>
      <c r="D1884" s="1" t="s">
        <v>7470</v>
      </c>
      <c r="F1884" s="2" t="str">
        <f>"6072424600"</f>
        <v>6072424600</v>
      </c>
      <c r="G1884" s="2" t="str">
        <f>"9786072424609"</f>
        <v>9786072424609</v>
      </c>
      <c r="H1884" s="1" t="s">
        <v>7471</v>
      </c>
      <c r="I1884" s="1" t="s">
        <v>238</v>
      </c>
      <c r="J1884" s="1">
        <v>71.0</v>
      </c>
      <c r="K1884" s="1">
        <v>2016.0</v>
      </c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 t="s">
        <v>852</v>
      </c>
      <c r="Y1884" s="1" t="s">
        <v>7472</v>
      </c>
    </row>
    <row r="1885">
      <c r="A1885" s="1">
        <v>357648.0</v>
      </c>
      <c r="B1885" s="1" t="s">
        <v>7473</v>
      </c>
      <c r="C1885" s="1" t="s">
        <v>7474</v>
      </c>
      <c r="D1885" s="1" t="s">
        <v>7475</v>
      </c>
      <c r="E1885" s="1" t="s">
        <v>7476</v>
      </c>
      <c r="F1885" s="2" t="str">
        <f>"0679884491"</f>
        <v>0679884491</v>
      </c>
      <c r="G1885" s="2" t="str">
        <f>"9780679884491"</f>
        <v>9780679884491</v>
      </c>
      <c r="H1885" s="1" t="s">
        <v>156</v>
      </c>
      <c r="I1885" s="1" t="s">
        <v>36</v>
      </c>
      <c r="J1885" s="1">
        <v>71.0</v>
      </c>
      <c r="K1885" s="1">
        <v>1997.0</v>
      </c>
      <c r="L1885" s="1">
        <v>1997.0</v>
      </c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 t="s">
        <v>45</v>
      </c>
      <c r="Y1885" s="1" t="s">
        <v>7477</v>
      </c>
    </row>
    <row r="1886">
      <c r="A1886" s="1">
        <v>9687288.0</v>
      </c>
      <c r="B1886" s="1" t="s">
        <v>7478</v>
      </c>
      <c r="C1886" s="1" t="s">
        <v>7474</v>
      </c>
      <c r="D1886" s="1" t="s">
        <v>7475</v>
      </c>
      <c r="E1886" s="1" t="s">
        <v>7476</v>
      </c>
      <c r="F1886" s="2" t="str">
        <f>"0375861114"</f>
        <v>0375861114</v>
      </c>
      <c r="G1886" s="2" t="str">
        <f>"9780375861116"</f>
        <v>9780375861116</v>
      </c>
      <c r="H1886" s="1" t="s">
        <v>156</v>
      </c>
      <c r="I1886" s="1" t="s">
        <v>36</v>
      </c>
      <c r="J1886" s="1">
        <v>71.0</v>
      </c>
      <c r="K1886" s="1">
        <v>2011.0</v>
      </c>
      <c r="L1886" s="1">
        <v>2011.0</v>
      </c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 t="s">
        <v>45</v>
      </c>
      <c r="Y1886" s="1" t="s">
        <v>7479</v>
      </c>
    </row>
    <row r="1887">
      <c r="A1887" s="1">
        <v>3312436.0</v>
      </c>
      <c r="B1887" s="1" t="s">
        <v>7480</v>
      </c>
      <c r="C1887" s="1" t="s">
        <v>7481</v>
      </c>
      <c r="D1887" s="1" t="s">
        <v>7482</v>
      </c>
      <c r="F1887" s="2" t="str">
        <f>"081186474X"</f>
        <v>081186474X</v>
      </c>
      <c r="G1887" s="2" t="str">
        <f>"9780811864749"</f>
        <v>9780811864749</v>
      </c>
      <c r="H1887" s="1" t="s">
        <v>1593</v>
      </c>
      <c r="I1887" s="1" t="s">
        <v>31</v>
      </c>
      <c r="J1887" s="1">
        <v>72.0</v>
      </c>
      <c r="K1887" s="1">
        <v>2008.0</v>
      </c>
      <c r="L1887" s="1">
        <v>2008.0</v>
      </c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 t="s">
        <v>1189</v>
      </c>
      <c r="Y1887" s="1" t="s">
        <v>7483</v>
      </c>
    </row>
    <row r="1888">
      <c r="A1888" s="1">
        <v>3.9938174E7</v>
      </c>
      <c r="B1888" s="1" t="s">
        <v>7484</v>
      </c>
      <c r="C1888" s="1" t="s">
        <v>7485</v>
      </c>
      <c r="D1888" s="1" t="s">
        <v>7486</v>
      </c>
      <c r="F1888" s="2" t="str">
        <f>"006286260X"</f>
        <v>006286260X</v>
      </c>
      <c r="G1888" s="2" t="str">
        <f>"9780062862600"</f>
        <v>9780062862600</v>
      </c>
      <c r="H1888" s="1" t="s">
        <v>1673</v>
      </c>
      <c r="I1888" s="1" t="s">
        <v>31</v>
      </c>
      <c r="J1888" s="1">
        <v>72.0</v>
      </c>
      <c r="K1888" s="1">
        <v>2018.0</v>
      </c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 t="s">
        <v>7487</v>
      </c>
      <c r="Y1888" s="1" t="s">
        <v>7488</v>
      </c>
    </row>
    <row r="1889">
      <c r="A1889" s="1">
        <v>3.0529432E7</v>
      </c>
      <c r="B1889" s="1" t="s">
        <v>7489</v>
      </c>
      <c r="C1889" s="1" t="s">
        <v>176</v>
      </c>
      <c r="D1889" s="1" t="s">
        <v>177</v>
      </c>
      <c r="F1889" s="2" t="str">
        <f>"0545223601"</f>
        <v>0545223601</v>
      </c>
      <c r="G1889" s="2" t="str">
        <f>"9780545223607"</f>
        <v>9780545223607</v>
      </c>
      <c r="H1889" s="1" t="s">
        <v>7490</v>
      </c>
      <c r="I1889" s="1" t="s">
        <v>36</v>
      </c>
      <c r="J1889" s="1">
        <v>72.0</v>
      </c>
      <c r="K1889" s="1">
        <v>2009.0</v>
      </c>
      <c r="L1889" s="1">
        <v>1964.0</v>
      </c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 t="s">
        <v>87</v>
      </c>
      <c r="Y1889" s="1" t="s">
        <v>7491</v>
      </c>
    </row>
    <row r="1890">
      <c r="A1890" s="1">
        <v>5.2383763E7</v>
      </c>
      <c r="B1890" s="1" t="s">
        <v>7492</v>
      </c>
      <c r="C1890" s="1" t="s">
        <v>7493</v>
      </c>
      <c r="D1890" s="1" t="s">
        <v>7494</v>
      </c>
      <c r="F1890" s="2" t="str">
        <f>"1951253035"</f>
        <v>1951253035</v>
      </c>
      <c r="G1890" s="2" t="str">
        <f>"9781951253035"</f>
        <v>9781951253035</v>
      </c>
      <c r="H1890" s="1" t="s">
        <v>7495</v>
      </c>
      <c r="I1890" s="1" t="s">
        <v>31</v>
      </c>
      <c r="J1890" s="1">
        <v>72.0</v>
      </c>
      <c r="K1890" s="1">
        <v>2019.0</v>
      </c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 t="s">
        <v>1024</v>
      </c>
      <c r="Y1890" s="1" t="s">
        <v>7496</v>
      </c>
    </row>
    <row r="1891">
      <c r="A1891" s="1">
        <v>3.5138181E7</v>
      </c>
      <c r="B1891" s="1" t="s">
        <v>7497</v>
      </c>
      <c r="C1891" s="1" t="s">
        <v>7171</v>
      </c>
      <c r="D1891" s="1" t="s">
        <v>7172</v>
      </c>
      <c r="F1891" s="2" t="str">
        <f>"0735262454"</f>
        <v>0735262454</v>
      </c>
      <c r="G1891" s="2" t="str">
        <f>"9780735262454"</f>
        <v>9780735262454</v>
      </c>
      <c r="H1891" s="1" t="s">
        <v>7173</v>
      </c>
      <c r="I1891" s="1" t="s">
        <v>31</v>
      </c>
      <c r="J1891" s="1">
        <v>72.0</v>
      </c>
      <c r="K1891" s="1">
        <v>2018.0</v>
      </c>
      <c r="L1891" s="1">
        <v>2018.0</v>
      </c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 t="s">
        <v>1352</v>
      </c>
      <c r="Y1891" s="1" t="s">
        <v>7498</v>
      </c>
    </row>
    <row r="1892">
      <c r="A1892" s="1">
        <v>773951.0</v>
      </c>
      <c r="B1892" s="1" t="s">
        <v>7499</v>
      </c>
      <c r="C1892" s="1" t="s">
        <v>7500</v>
      </c>
      <c r="D1892" s="1" t="s">
        <v>7501</v>
      </c>
      <c r="E1892" s="1" t="s">
        <v>7502</v>
      </c>
      <c r="F1892" s="2" t="str">
        <f>"0670674249"</f>
        <v>0670674249</v>
      </c>
      <c r="G1892" s="2" t="str">
        <f>"9780670674244"</f>
        <v>9780670674244</v>
      </c>
      <c r="H1892" s="1" t="s">
        <v>3764</v>
      </c>
      <c r="I1892" s="1" t="s">
        <v>31</v>
      </c>
      <c r="J1892" s="1">
        <v>72.0</v>
      </c>
      <c r="K1892" s="1">
        <v>1936.0</v>
      </c>
      <c r="L1892" s="1">
        <v>1936.0</v>
      </c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 t="s">
        <v>74</v>
      </c>
      <c r="Y1892" s="1" t="s">
        <v>7503</v>
      </c>
    </row>
    <row r="1893">
      <c r="A1893" s="1">
        <v>413158.0</v>
      </c>
      <c r="B1893" s="1" t="s">
        <v>7504</v>
      </c>
      <c r="C1893" s="1" t="s">
        <v>6810</v>
      </c>
      <c r="D1893" s="1" t="s">
        <v>6811</v>
      </c>
      <c r="F1893" s="2" t="str">
        <f>"067984483X"</f>
        <v>067984483X</v>
      </c>
      <c r="G1893" s="2" t="str">
        <f>"9780679844839"</f>
        <v>9780679844839</v>
      </c>
      <c r="H1893" s="1" t="s">
        <v>7505</v>
      </c>
      <c r="I1893" s="1" t="s">
        <v>36</v>
      </c>
      <c r="J1893" s="1">
        <v>72.0</v>
      </c>
      <c r="K1893" s="1">
        <v>1988.0</v>
      </c>
      <c r="L1893" s="1">
        <v>1960.0</v>
      </c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 t="s">
        <v>7506</v>
      </c>
      <c r="Y1893" s="1" t="s">
        <v>7507</v>
      </c>
    </row>
    <row r="1894">
      <c r="A1894" s="1">
        <v>29083.0</v>
      </c>
      <c r="B1894" s="1" t="s">
        <v>7508</v>
      </c>
      <c r="C1894" s="1" t="s">
        <v>7509</v>
      </c>
      <c r="D1894" s="1" t="s">
        <v>7510</v>
      </c>
      <c r="E1894" s="1" t="s">
        <v>3229</v>
      </c>
      <c r="F1894" s="2" t="str">
        <f>"0394800273"</f>
        <v>0394800273</v>
      </c>
      <c r="G1894" s="2" t="str">
        <f>"9780394800271"</f>
        <v>9780394800271</v>
      </c>
      <c r="H1894" s="1" t="s">
        <v>1072</v>
      </c>
      <c r="I1894" s="1" t="s">
        <v>31</v>
      </c>
      <c r="J1894" s="1">
        <v>72.0</v>
      </c>
      <c r="K1894" s="1">
        <v>1962.0</v>
      </c>
      <c r="L1894" s="1">
        <v>1962.0</v>
      </c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 t="s">
        <v>68</v>
      </c>
      <c r="Y1894" s="1" t="s">
        <v>7511</v>
      </c>
    </row>
    <row r="1895">
      <c r="A1895" s="1">
        <v>2.8773072E7</v>
      </c>
      <c r="B1895" s="1" t="s">
        <v>7512</v>
      </c>
      <c r="C1895" s="1" t="s">
        <v>2203</v>
      </c>
      <c r="D1895" s="1" t="s">
        <v>2204</v>
      </c>
      <c r="E1895" s="1" t="s">
        <v>5428</v>
      </c>
      <c r="F1895" s="2" t="str">
        <f>"0241247594"</f>
        <v>0241247594</v>
      </c>
      <c r="G1895" s="2" t="str">
        <f>"9780241247594"</f>
        <v>9780241247594</v>
      </c>
      <c r="H1895" s="1" t="s">
        <v>7289</v>
      </c>
      <c r="I1895" s="1" t="s">
        <v>31</v>
      </c>
      <c r="J1895" s="1">
        <v>72.0</v>
      </c>
      <c r="K1895" s="1">
        <v>2016.0</v>
      </c>
      <c r="L1895" s="1">
        <v>2016.0</v>
      </c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 t="s">
        <v>212</v>
      </c>
      <c r="Y1895" s="1" t="s">
        <v>7513</v>
      </c>
    </row>
    <row r="1896">
      <c r="A1896" s="1">
        <v>4.115964E7</v>
      </c>
      <c r="B1896" s="1" t="s">
        <v>7514</v>
      </c>
      <c r="C1896" s="1" t="s">
        <v>7515</v>
      </c>
      <c r="D1896" s="1" t="s">
        <v>7516</v>
      </c>
      <c r="F1896" s="2" t="str">
        <f>"1425817505"</f>
        <v>1425817505</v>
      </c>
      <c r="G1896" s="2" t="str">
        <f>"9781425817503"</f>
        <v>9781425817503</v>
      </c>
      <c r="H1896" s="1" t="s">
        <v>7517</v>
      </c>
      <c r="I1896" s="1" t="s">
        <v>36</v>
      </c>
      <c r="J1896" s="1">
        <v>72.0</v>
      </c>
      <c r="K1896" s="1">
        <v>2018.0</v>
      </c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 t="s">
        <v>92</v>
      </c>
      <c r="Y1896" s="1" t="s">
        <v>7518</v>
      </c>
    </row>
    <row r="1897">
      <c r="A1897" s="1">
        <v>24688.0</v>
      </c>
      <c r="B1897" s="1" t="s">
        <v>7519</v>
      </c>
      <c r="C1897" s="1" t="s">
        <v>1923</v>
      </c>
      <c r="D1897" s="1" t="s">
        <v>1924</v>
      </c>
      <c r="F1897" s="2" t="str">
        <f t="shared" ref="F1897:G1897" si="120">""</f>
        <v/>
      </c>
      <c r="G1897" s="2" t="str">
        <f t="shared" si="120"/>
        <v/>
      </c>
      <c r="H1897" s="1" t="s">
        <v>2009</v>
      </c>
      <c r="I1897" s="1" t="s">
        <v>31</v>
      </c>
      <c r="J1897" s="1">
        <v>72.0</v>
      </c>
      <c r="K1897" s="1">
        <v>1998.0</v>
      </c>
      <c r="L1897" s="1">
        <v>1974.0</v>
      </c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 t="s">
        <v>452</v>
      </c>
      <c r="Y1897" s="1" t="s">
        <v>7520</v>
      </c>
    </row>
    <row r="1898">
      <c r="A1898" s="1">
        <v>4.3153022E7</v>
      </c>
      <c r="B1898" s="1" t="s">
        <v>7521</v>
      </c>
      <c r="C1898" s="1" t="s">
        <v>1182</v>
      </c>
      <c r="D1898" s="1" t="s">
        <v>1183</v>
      </c>
      <c r="F1898" s="2" t="str">
        <f>"0525707301"</f>
        <v>0525707301</v>
      </c>
      <c r="G1898" s="2" t="str">
        <f>"9780525707301"</f>
        <v>9780525707301</v>
      </c>
      <c r="H1898" s="1" t="s">
        <v>156</v>
      </c>
      <c r="I1898" s="1" t="s">
        <v>91</v>
      </c>
      <c r="J1898" s="1">
        <v>72.0</v>
      </c>
      <c r="K1898" s="1">
        <v>2019.0</v>
      </c>
      <c r="L1898" s="1">
        <v>1960.0</v>
      </c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 t="s">
        <v>245</v>
      </c>
      <c r="Y1898" s="1" t="s">
        <v>7522</v>
      </c>
    </row>
    <row r="1899">
      <c r="A1899" s="1">
        <v>725992.0</v>
      </c>
      <c r="B1899" s="1" t="s">
        <v>7523</v>
      </c>
      <c r="C1899" s="1" t="s">
        <v>7407</v>
      </c>
      <c r="D1899" s="1" t="s">
        <v>7408</v>
      </c>
      <c r="E1899" s="1" t="s">
        <v>7409</v>
      </c>
      <c r="F1899" s="2" t="str">
        <f>"0689827040"</f>
        <v>0689827040</v>
      </c>
      <c r="G1899" s="2" t="str">
        <f>"9780689827044"</f>
        <v>9780689827044</v>
      </c>
      <c r="H1899" s="1" t="s">
        <v>3030</v>
      </c>
      <c r="I1899" s="1" t="s">
        <v>31</v>
      </c>
      <c r="J1899" s="1">
        <v>72.0</v>
      </c>
      <c r="K1899" s="1">
        <v>1999.0</v>
      </c>
      <c r="L1899" s="1">
        <v>1958.0</v>
      </c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 t="s">
        <v>370</v>
      </c>
      <c r="Y1899" s="1" t="s">
        <v>7524</v>
      </c>
    </row>
    <row r="1900">
      <c r="A1900" s="1">
        <v>1.9235845E7</v>
      </c>
      <c r="B1900" s="1" t="s">
        <v>7525</v>
      </c>
      <c r="C1900" s="1" t="s">
        <v>6819</v>
      </c>
      <c r="D1900" s="1" t="s">
        <v>6820</v>
      </c>
      <c r="E1900" s="1" t="s">
        <v>7526</v>
      </c>
      <c r="F1900" s="2" t="str">
        <f>"1434288587"</f>
        <v>1434288587</v>
      </c>
      <c r="G1900" s="2" t="str">
        <f>""</f>
        <v/>
      </c>
      <c r="H1900" s="1" t="s">
        <v>6822</v>
      </c>
      <c r="I1900" s="1" t="s">
        <v>238</v>
      </c>
      <c r="J1900" s="1">
        <v>73.0</v>
      </c>
      <c r="K1900" s="1">
        <v>2007.0</v>
      </c>
      <c r="L1900" s="1">
        <v>2007.0</v>
      </c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 t="s">
        <v>45</v>
      </c>
      <c r="Y1900" s="1" t="s">
        <v>7527</v>
      </c>
    </row>
    <row r="1901">
      <c r="A1901" s="1">
        <v>2.3877352E7</v>
      </c>
      <c r="B1901" s="1" t="s">
        <v>7528</v>
      </c>
      <c r="C1901" s="1" t="s">
        <v>6819</v>
      </c>
      <c r="D1901" s="1" t="s">
        <v>6820</v>
      </c>
      <c r="E1901" s="1" t="s">
        <v>7529</v>
      </c>
      <c r="F1901" s="2" t="str">
        <f>"1434288676"</f>
        <v>1434288676</v>
      </c>
      <c r="G1901" s="2" t="str">
        <f>"9781434288677"</f>
        <v>9781434288677</v>
      </c>
      <c r="H1901" s="1" t="s">
        <v>6822</v>
      </c>
      <c r="I1901" s="1" t="s">
        <v>238</v>
      </c>
      <c r="J1901" s="1">
        <v>73.0</v>
      </c>
      <c r="K1901" s="1">
        <v>2014.0</v>
      </c>
      <c r="L1901" s="1">
        <v>2008.0</v>
      </c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 t="s">
        <v>45</v>
      </c>
      <c r="Y1901" s="1" t="s">
        <v>7530</v>
      </c>
    </row>
    <row r="1902">
      <c r="A1902" s="1">
        <v>181401.0</v>
      </c>
      <c r="B1902" s="1" t="s">
        <v>7531</v>
      </c>
      <c r="C1902" s="1" t="s">
        <v>474</v>
      </c>
      <c r="D1902" s="1" t="s">
        <v>475</v>
      </c>
      <c r="E1902" s="1" t="s">
        <v>7412</v>
      </c>
      <c r="F1902" s="2" t="str">
        <f>"0679890629"</f>
        <v>0679890629</v>
      </c>
      <c r="G1902" s="2" t="str">
        <f>"9780679890621"</f>
        <v>9780679890621</v>
      </c>
      <c r="H1902" s="1" t="s">
        <v>156</v>
      </c>
      <c r="I1902" s="1" t="s">
        <v>36</v>
      </c>
      <c r="J1902" s="1">
        <v>74.0</v>
      </c>
      <c r="K1902" s="1">
        <v>1998.0</v>
      </c>
      <c r="L1902" s="1">
        <v>1998.0</v>
      </c>
    </row>
    <row r="1903">
      <c r="A1903" s="1">
        <v>5.1058309E7</v>
      </c>
      <c r="B1903" s="1" t="s">
        <v>7532</v>
      </c>
      <c r="C1903" s="1" t="s">
        <v>7171</v>
      </c>
      <c r="D1903" s="1" t="s">
        <v>7172</v>
      </c>
      <c r="F1903" s="2" t="str">
        <f>"0735262519"</f>
        <v>0735262519</v>
      </c>
      <c r="G1903" s="2" t="str">
        <f>"9780735262515"</f>
        <v>9780735262515</v>
      </c>
      <c r="H1903" s="1" t="s">
        <v>7173</v>
      </c>
      <c r="I1903" s="1" t="s">
        <v>31</v>
      </c>
      <c r="J1903" s="1">
        <v>76.0</v>
      </c>
      <c r="K1903" s="1">
        <v>2020.0</v>
      </c>
      <c r="L1903" s="1">
        <v>2020.0</v>
      </c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 t="s">
        <v>1352</v>
      </c>
      <c r="Y1903" s="1" t="s">
        <v>7533</v>
      </c>
    </row>
    <row r="1904">
      <c r="A1904" s="1">
        <v>5.8044752E7</v>
      </c>
      <c r="B1904" s="1" t="s">
        <v>7534</v>
      </c>
      <c r="C1904" s="1" t="s">
        <v>7535</v>
      </c>
      <c r="D1904" s="1" t="s">
        <v>7536</v>
      </c>
      <c r="E1904" s="1" t="s">
        <v>7537</v>
      </c>
      <c r="F1904" s="2" t="str">
        <f>"1648760562"</f>
        <v>1648760562</v>
      </c>
      <c r="G1904" s="2" t="str">
        <f>"9781648760563"</f>
        <v>9781648760563</v>
      </c>
      <c r="H1904" s="1" t="s">
        <v>7538</v>
      </c>
      <c r="I1904" s="1" t="s">
        <v>36</v>
      </c>
      <c r="J1904" s="1">
        <v>76.0</v>
      </c>
      <c r="K1904" s="1">
        <v>2021.0</v>
      </c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 t="s">
        <v>7539</v>
      </c>
      <c r="Y1904" s="1" t="s">
        <v>7540</v>
      </c>
    </row>
    <row r="1905">
      <c r="A1905" s="1">
        <v>4.9585473E7</v>
      </c>
      <c r="B1905" s="1" t="s">
        <v>7541</v>
      </c>
      <c r="C1905" s="1" t="s">
        <v>1738</v>
      </c>
      <c r="D1905" s="1" t="s">
        <v>1739</v>
      </c>
      <c r="F1905" s="2" t="str">
        <f>"195083705X"</f>
        <v>195083705X</v>
      </c>
      <c r="G1905" s="2" t="str">
        <f>"9781950837052"</f>
        <v>9781950837052</v>
      </c>
      <c r="H1905" s="1" t="s">
        <v>7542</v>
      </c>
      <c r="I1905" s="1" t="s">
        <v>238</v>
      </c>
      <c r="J1905" s="1">
        <v>76.0</v>
      </c>
      <c r="K1905" s="1">
        <v>2019.0</v>
      </c>
    </row>
    <row r="1906">
      <c r="A1906" s="1">
        <v>2.5769756E7</v>
      </c>
      <c r="B1906" s="1" t="s">
        <v>7543</v>
      </c>
      <c r="C1906" s="1" t="s">
        <v>7544</v>
      </c>
      <c r="D1906" s="1" t="s">
        <v>7545</v>
      </c>
      <c r="E1906" s="1" t="s">
        <v>7546</v>
      </c>
      <c r="F1906" s="2" t="str">
        <f>"0698412192"</f>
        <v>0698412192</v>
      </c>
      <c r="G1906" s="2" t="str">
        <f>"9780698412194"</f>
        <v>9780698412194</v>
      </c>
      <c r="H1906" s="1" t="s">
        <v>2014</v>
      </c>
      <c r="I1906" s="1" t="s">
        <v>238</v>
      </c>
      <c r="J1906" s="1">
        <v>77.0</v>
      </c>
      <c r="K1906" s="1">
        <v>2015.0</v>
      </c>
      <c r="L1906" s="1">
        <v>2015.0</v>
      </c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 t="s">
        <v>7445</v>
      </c>
      <c r="Y1906" s="1" t="s">
        <v>7547</v>
      </c>
    </row>
    <row r="1907">
      <c r="A1907" s="1">
        <v>2.156397E7</v>
      </c>
      <c r="B1907" s="1" t="s">
        <v>7548</v>
      </c>
      <c r="C1907" s="1" t="s">
        <v>7549</v>
      </c>
      <c r="D1907" s="1" t="s">
        <v>7550</v>
      </c>
      <c r="F1907" s="2" t="str">
        <f>"1770854657"</f>
        <v>1770854657</v>
      </c>
      <c r="G1907" s="2" t="str">
        <f>"9781770854659"</f>
        <v>9781770854659</v>
      </c>
      <c r="H1907" s="1" t="s">
        <v>1628</v>
      </c>
      <c r="I1907" s="1" t="s">
        <v>36</v>
      </c>
      <c r="J1907" s="1">
        <v>80.0</v>
      </c>
      <c r="K1907" s="1">
        <v>2014.0</v>
      </c>
      <c r="L1907" s="1">
        <v>2014.0</v>
      </c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 t="s">
        <v>1024</v>
      </c>
      <c r="Y1907" s="1" t="s">
        <v>7551</v>
      </c>
    </row>
    <row r="1908">
      <c r="A1908" s="1">
        <v>2.4751844E7</v>
      </c>
      <c r="B1908" s="1" t="s">
        <v>7552</v>
      </c>
      <c r="C1908" s="1" t="s">
        <v>7553</v>
      </c>
      <c r="D1908" s="1" t="s">
        <v>7554</v>
      </c>
      <c r="E1908" s="1" t="s">
        <v>7555</v>
      </c>
      <c r="F1908" s="2" t="str">
        <f>"1465428941"</f>
        <v>1465428941</v>
      </c>
      <c r="G1908" s="2" t="str">
        <f>"9781465428943"</f>
        <v>9781465428943</v>
      </c>
      <c r="H1908" s="1" t="s">
        <v>7556</v>
      </c>
      <c r="I1908" s="1" t="s">
        <v>31</v>
      </c>
      <c r="J1908" s="1">
        <v>80.0</v>
      </c>
      <c r="K1908" s="1">
        <v>2015.0</v>
      </c>
      <c r="L1908" s="1">
        <v>2007.0</v>
      </c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 t="s">
        <v>1024</v>
      </c>
      <c r="Y1908" s="1" t="s">
        <v>7557</v>
      </c>
    </row>
    <row r="1909">
      <c r="A1909" s="1">
        <v>1.9923784E7</v>
      </c>
      <c r="B1909" s="1" t="s">
        <v>7558</v>
      </c>
      <c r="C1909" s="1" t="s">
        <v>7559</v>
      </c>
      <c r="D1909" s="1" t="s">
        <v>7560</v>
      </c>
      <c r="F1909" s="2" t="str">
        <f>"160553918X"</f>
        <v>160553918X</v>
      </c>
      <c r="G1909" s="2" t="str">
        <f>"9781605539188"</f>
        <v>9781605539188</v>
      </c>
      <c r="H1909" s="1" t="s">
        <v>7561</v>
      </c>
      <c r="I1909" s="1" t="s">
        <v>31</v>
      </c>
      <c r="J1909" s="1">
        <v>80.0</v>
      </c>
      <c r="K1909" s="1">
        <v>2010.0</v>
      </c>
      <c r="L1909" s="1">
        <v>2010.0</v>
      </c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 t="s">
        <v>116</v>
      </c>
      <c r="Y1909" s="1" t="s">
        <v>7562</v>
      </c>
    </row>
    <row r="1910">
      <c r="A1910" s="1">
        <v>2.1806587E7</v>
      </c>
      <c r="B1910" s="1" t="s">
        <v>7563</v>
      </c>
      <c r="C1910" s="1" t="s">
        <v>7559</v>
      </c>
      <c r="D1910" s="1" t="s">
        <v>7560</v>
      </c>
      <c r="F1910" s="2" t="str">
        <f>"1605539082"</f>
        <v>1605539082</v>
      </c>
      <c r="G1910" s="2" t="str">
        <f>"9781605539089"</f>
        <v>9781605539089</v>
      </c>
      <c r="H1910" s="1" t="s">
        <v>7561</v>
      </c>
      <c r="I1910" s="1" t="s">
        <v>31</v>
      </c>
      <c r="J1910" s="1">
        <v>80.0</v>
      </c>
      <c r="K1910" s="1">
        <v>2010.0</v>
      </c>
      <c r="L1910" s="1">
        <v>2010.0</v>
      </c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 t="s">
        <v>116</v>
      </c>
      <c r="Y1910" s="1" t="s">
        <v>7564</v>
      </c>
    </row>
    <row r="1911">
      <c r="A1911" s="1">
        <v>2.0096661E7</v>
      </c>
      <c r="B1911" s="1" t="s">
        <v>7565</v>
      </c>
      <c r="C1911" s="1" t="s">
        <v>7559</v>
      </c>
      <c r="D1911" s="1" t="s">
        <v>7560</v>
      </c>
      <c r="F1911" s="2" t="str">
        <f>"1605539201"</f>
        <v>1605539201</v>
      </c>
      <c r="G1911" s="2" t="str">
        <f>"9781605539201"</f>
        <v>9781605539201</v>
      </c>
      <c r="H1911" s="1" t="s">
        <v>7561</v>
      </c>
      <c r="I1911" s="1" t="s">
        <v>31</v>
      </c>
      <c r="J1911" s="1">
        <v>80.0</v>
      </c>
      <c r="K1911" s="1">
        <v>2010.0</v>
      </c>
      <c r="L1911" s="1">
        <v>2010.0</v>
      </c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 t="s">
        <v>116</v>
      </c>
      <c r="Y1911" s="1" t="s">
        <v>7566</v>
      </c>
    </row>
    <row r="1912">
      <c r="A1912" s="1">
        <v>2.18066E7</v>
      </c>
      <c r="B1912" s="1" t="s">
        <v>7567</v>
      </c>
      <c r="C1912" s="1" t="s">
        <v>7559</v>
      </c>
      <c r="D1912" s="1" t="s">
        <v>7560</v>
      </c>
      <c r="F1912" s="2" t="str">
        <f>"1605539198"</f>
        <v>1605539198</v>
      </c>
      <c r="G1912" s="2" t="str">
        <f>"9781605539195"</f>
        <v>9781605539195</v>
      </c>
      <c r="H1912" s="1" t="s">
        <v>7561</v>
      </c>
      <c r="I1912" s="1" t="s">
        <v>31</v>
      </c>
      <c r="J1912" s="1">
        <v>80.0</v>
      </c>
      <c r="K1912" s="1">
        <v>2010.0</v>
      </c>
      <c r="L1912" s="1">
        <v>2010.0</v>
      </c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 t="s">
        <v>2854</v>
      </c>
      <c r="Y1912" s="1" t="s">
        <v>7568</v>
      </c>
    </row>
    <row r="1913">
      <c r="A1913" s="1">
        <v>1.9897574E7</v>
      </c>
      <c r="B1913" s="1" t="s">
        <v>7569</v>
      </c>
      <c r="C1913" s="1" t="s">
        <v>7559</v>
      </c>
      <c r="D1913" s="1" t="s">
        <v>7560</v>
      </c>
      <c r="F1913" s="2" t="str">
        <f>"1605539066"</f>
        <v>1605539066</v>
      </c>
      <c r="G1913" s="2" t="str">
        <f>"9781605539065"</f>
        <v>9781605539065</v>
      </c>
      <c r="H1913" s="1" t="s">
        <v>7561</v>
      </c>
      <c r="I1913" s="1" t="s">
        <v>31</v>
      </c>
      <c r="J1913" s="1">
        <v>80.0</v>
      </c>
      <c r="K1913" s="1">
        <v>2010.0</v>
      </c>
      <c r="L1913" s="1">
        <v>2010.0</v>
      </c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 t="s">
        <v>6945</v>
      </c>
      <c r="Y1913" s="1" t="s">
        <v>7570</v>
      </c>
    </row>
    <row r="1914">
      <c r="A1914" s="1">
        <v>2.1806889E7</v>
      </c>
      <c r="B1914" s="1" t="s">
        <v>7571</v>
      </c>
      <c r="C1914" s="1" t="s">
        <v>7559</v>
      </c>
      <c r="D1914" s="1" t="s">
        <v>7560</v>
      </c>
      <c r="F1914" s="2" t="str">
        <f>"1605539074"</f>
        <v>1605539074</v>
      </c>
      <c r="G1914" s="2" t="str">
        <f>"9781605539072"</f>
        <v>9781605539072</v>
      </c>
      <c r="H1914" s="1" t="s">
        <v>7561</v>
      </c>
      <c r="I1914" s="1" t="s">
        <v>31</v>
      </c>
      <c r="J1914" s="1">
        <v>80.0</v>
      </c>
      <c r="K1914" s="1">
        <v>2010.0</v>
      </c>
      <c r="L1914" s="1">
        <v>2010.0</v>
      </c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 t="s">
        <v>1045</v>
      </c>
      <c r="Y1914" s="1" t="s">
        <v>7572</v>
      </c>
    </row>
    <row r="1915">
      <c r="A1915" s="1">
        <v>5.7063395E7</v>
      </c>
      <c r="B1915" s="1" t="s">
        <v>7573</v>
      </c>
      <c r="C1915" s="1" t="s">
        <v>7171</v>
      </c>
      <c r="D1915" s="1" t="s">
        <v>7172</v>
      </c>
      <c r="F1915" s="2" t="str">
        <f>"0735262543"</f>
        <v>0735262543</v>
      </c>
      <c r="G1915" s="2" t="str">
        <f>"9780735262546"</f>
        <v>9780735262546</v>
      </c>
      <c r="H1915" s="1" t="s">
        <v>7173</v>
      </c>
      <c r="I1915" s="1" t="s">
        <v>31</v>
      </c>
      <c r="J1915" s="1">
        <v>80.0</v>
      </c>
      <c r="K1915" s="1">
        <v>2021.0</v>
      </c>
      <c r="L1915" s="1">
        <v>2021.0</v>
      </c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 t="s">
        <v>1352</v>
      </c>
      <c r="Y1915" s="1" t="s">
        <v>7574</v>
      </c>
    </row>
    <row r="1916">
      <c r="A1916" s="1">
        <v>2884882.0</v>
      </c>
      <c r="B1916" s="1" t="s">
        <v>7575</v>
      </c>
      <c r="C1916" s="1" t="s">
        <v>7576</v>
      </c>
      <c r="D1916" s="1" t="s">
        <v>7577</v>
      </c>
      <c r="F1916" s="2" t="str">
        <f>"052825684X"</f>
        <v>052825684X</v>
      </c>
      <c r="G1916" s="2" t="str">
        <f>"9780528256844"</f>
        <v>9780528256844</v>
      </c>
      <c r="H1916" s="1" t="s">
        <v>7578</v>
      </c>
      <c r="I1916" s="1" t="s">
        <v>36</v>
      </c>
      <c r="J1916" s="1">
        <v>80.0</v>
      </c>
      <c r="K1916" s="1">
        <v>1992.0</v>
      </c>
      <c r="L1916" s="1">
        <v>1992.0</v>
      </c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 t="s">
        <v>380</v>
      </c>
      <c r="Y1916" s="1" t="s">
        <v>7579</v>
      </c>
    </row>
    <row r="1917">
      <c r="A1917" s="1">
        <v>4.4442965E7</v>
      </c>
      <c r="B1917" s="1" t="s">
        <v>7580</v>
      </c>
      <c r="C1917" s="1" t="s">
        <v>248</v>
      </c>
      <c r="D1917" s="1" t="s">
        <v>249</v>
      </c>
      <c r="F1917" s="2" t="str">
        <f>"1338323334"</f>
        <v>1338323334</v>
      </c>
      <c r="G1917" s="2" t="str">
        <f>"9781338323337"</f>
        <v>9781338323337</v>
      </c>
      <c r="H1917" s="1" t="s">
        <v>817</v>
      </c>
      <c r="I1917" s="1" t="s">
        <v>31</v>
      </c>
      <c r="J1917" s="1">
        <v>80.0</v>
      </c>
      <c r="K1917" s="1">
        <v>2019.0</v>
      </c>
      <c r="L1917" s="1">
        <v>2019.0</v>
      </c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 t="s">
        <v>250</v>
      </c>
      <c r="Y1917" s="1" t="s">
        <v>7581</v>
      </c>
    </row>
    <row r="1918">
      <c r="A1918" s="1">
        <v>5.848385E7</v>
      </c>
      <c r="B1918" s="1" t="s">
        <v>7582</v>
      </c>
      <c r="C1918" s="1" t="s">
        <v>248</v>
      </c>
      <c r="D1918" s="1" t="s">
        <v>249</v>
      </c>
      <c r="F1918" s="2" t="str">
        <f>"1338786814"</f>
        <v>1338786814</v>
      </c>
      <c r="G1918" s="2" t="str">
        <f>"9781338786811"</f>
        <v>9781338786811</v>
      </c>
      <c r="H1918" s="1" t="s">
        <v>1575</v>
      </c>
      <c r="I1918" s="1" t="s">
        <v>238</v>
      </c>
      <c r="J1918" s="1">
        <v>80.0</v>
      </c>
      <c r="K1918" s="1">
        <v>2021.0</v>
      </c>
      <c r="L1918" s="1">
        <v>2015.0</v>
      </c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 t="s">
        <v>250</v>
      </c>
      <c r="Y1918" s="1" t="s">
        <v>7583</v>
      </c>
    </row>
    <row r="1919">
      <c r="A1919" s="1">
        <v>2.5779192E7</v>
      </c>
      <c r="B1919" s="1" t="s">
        <v>7584</v>
      </c>
      <c r="C1919" s="1" t="s">
        <v>248</v>
      </c>
      <c r="D1919" s="1" t="s">
        <v>249</v>
      </c>
      <c r="F1919" s="2" t="str">
        <f>"054582558X"</f>
        <v>054582558X</v>
      </c>
      <c r="G1919" s="2" t="str">
        <f>"9780545825580"</f>
        <v>9780545825580</v>
      </c>
      <c r="H1919" s="1" t="s">
        <v>817</v>
      </c>
      <c r="I1919" s="1" t="s">
        <v>91</v>
      </c>
      <c r="J1919" s="1">
        <v>80.0</v>
      </c>
      <c r="K1919" s="1">
        <v>2016.0</v>
      </c>
      <c r="L1919" s="1">
        <v>2016.0</v>
      </c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 t="s">
        <v>250</v>
      </c>
      <c r="Y1919" s="1" t="s">
        <v>7585</v>
      </c>
    </row>
    <row r="1920">
      <c r="A1920" s="1">
        <v>4.4442963E7</v>
      </c>
      <c r="B1920" s="1" t="s">
        <v>7586</v>
      </c>
      <c r="C1920" s="1" t="s">
        <v>248</v>
      </c>
      <c r="D1920" s="1" t="s">
        <v>249</v>
      </c>
      <c r="F1920" s="2" t="str">
        <f>"1338298712"</f>
        <v>1338298712</v>
      </c>
      <c r="G1920" s="2" t="str">
        <f>"9781338298710"</f>
        <v>9781338298710</v>
      </c>
      <c r="H1920" s="1" t="s">
        <v>817</v>
      </c>
      <c r="I1920" s="1" t="s">
        <v>91</v>
      </c>
      <c r="J1920" s="1">
        <v>80.0</v>
      </c>
      <c r="K1920" s="1">
        <v>2019.0</v>
      </c>
      <c r="L1920" s="1">
        <v>2019.0</v>
      </c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 t="s">
        <v>250</v>
      </c>
      <c r="Y1920" s="1" t="s">
        <v>7587</v>
      </c>
    </row>
    <row r="1921">
      <c r="A1921" s="1">
        <v>5.4776619E7</v>
      </c>
      <c r="B1921" s="1" t="s">
        <v>7588</v>
      </c>
      <c r="C1921" s="1" t="s">
        <v>248</v>
      </c>
      <c r="D1921" s="1" t="s">
        <v>249</v>
      </c>
      <c r="F1921" s="2" t="str">
        <f>"1338745557"</f>
        <v>1338745557</v>
      </c>
      <c r="G1921" s="2" t="str">
        <f>"9781338745559"</f>
        <v>9781338745559</v>
      </c>
      <c r="H1921" s="1" t="s">
        <v>817</v>
      </c>
      <c r="I1921" s="1" t="s">
        <v>91</v>
      </c>
      <c r="J1921" s="1">
        <v>80.0</v>
      </c>
      <c r="K1921" s="1">
        <v>2021.0</v>
      </c>
      <c r="L1921" s="1">
        <v>2021.0</v>
      </c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 t="s">
        <v>250</v>
      </c>
      <c r="Y1921" s="1" t="s">
        <v>7589</v>
      </c>
    </row>
    <row r="1922">
      <c r="A1922" s="1">
        <v>3.2332962E7</v>
      </c>
      <c r="B1922" s="1" t="s">
        <v>7590</v>
      </c>
      <c r="C1922" s="1" t="s">
        <v>248</v>
      </c>
      <c r="D1922" s="1" t="s">
        <v>249</v>
      </c>
      <c r="F1922" s="2" t="str">
        <f>"133804284X"</f>
        <v>133804284X</v>
      </c>
      <c r="G1922" s="2" t="str">
        <f>"9781338042849"</f>
        <v>9781338042849</v>
      </c>
      <c r="H1922" s="1" t="s">
        <v>817</v>
      </c>
      <c r="I1922" s="1" t="s">
        <v>36</v>
      </c>
      <c r="J1922" s="1">
        <v>80.0</v>
      </c>
      <c r="K1922" s="1">
        <v>2017.0</v>
      </c>
      <c r="L1922" s="1">
        <v>2017.0</v>
      </c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 t="s">
        <v>250</v>
      </c>
      <c r="Y1922" s="1" t="s">
        <v>7591</v>
      </c>
    </row>
    <row r="1923">
      <c r="A1923" s="1">
        <v>3.4669548E7</v>
      </c>
      <c r="B1923" s="1" t="s">
        <v>7592</v>
      </c>
      <c r="C1923" s="1" t="s">
        <v>248</v>
      </c>
      <c r="D1923" s="1" t="s">
        <v>249</v>
      </c>
      <c r="F1923" s="2" t="str">
        <f>"1338163000"</f>
        <v>1338163000</v>
      </c>
      <c r="G1923" s="2" t="str">
        <f>"9781338163001"</f>
        <v>9781338163001</v>
      </c>
      <c r="H1923" s="1" t="s">
        <v>817</v>
      </c>
      <c r="I1923" s="1" t="s">
        <v>36</v>
      </c>
      <c r="J1923" s="1">
        <v>80.0</v>
      </c>
      <c r="K1923" s="1">
        <v>2017.0</v>
      </c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 t="s">
        <v>250</v>
      </c>
      <c r="Y1923" s="1" t="s">
        <v>7593</v>
      </c>
    </row>
    <row r="1924">
      <c r="A1924" s="1">
        <v>3.5849464E7</v>
      </c>
      <c r="B1924" s="1" t="s">
        <v>7594</v>
      </c>
      <c r="C1924" s="1" t="s">
        <v>248</v>
      </c>
      <c r="D1924" s="1" t="s">
        <v>249</v>
      </c>
      <c r="F1924" s="2" t="str">
        <f>"1338163035"</f>
        <v>1338163035</v>
      </c>
      <c r="G1924" s="2" t="str">
        <f>"9781338163032"</f>
        <v>9781338163032</v>
      </c>
      <c r="H1924" s="1" t="s">
        <v>817</v>
      </c>
      <c r="I1924" s="1" t="s">
        <v>36</v>
      </c>
      <c r="J1924" s="1">
        <v>80.0</v>
      </c>
      <c r="K1924" s="1">
        <v>2018.0</v>
      </c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 t="s">
        <v>250</v>
      </c>
      <c r="Y1924" s="1" t="s">
        <v>7595</v>
      </c>
    </row>
    <row r="1925">
      <c r="A1925" s="1">
        <v>5.0160651E7</v>
      </c>
      <c r="B1925" s="1" t="s">
        <v>7596</v>
      </c>
      <c r="C1925" s="1" t="s">
        <v>248</v>
      </c>
      <c r="D1925" s="1" t="s">
        <v>249</v>
      </c>
      <c r="F1925" s="2" t="str">
        <f>"1338298755"</f>
        <v>1338298755</v>
      </c>
      <c r="G1925" s="2" t="str">
        <f>"9781338298758"</f>
        <v>9781338298758</v>
      </c>
      <c r="H1925" s="1" t="s">
        <v>817</v>
      </c>
      <c r="I1925" s="1" t="s">
        <v>36</v>
      </c>
      <c r="J1925" s="1">
        <v>80.0</v>
      </c>
      <c r="K1925" s="1">
        <v>2020.0</v>
      </c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 t="s">
        <v>250</v>
      </c>
      <c r="Y1925" s="1" t="s">
        <v>7597</v>
      </c>
    </row>
    <row r="1926">
      <c r="A1926" s="1">
        <v>4.4575169E7</v>
      </c>
      <c r="B1926" s="1" t="s">
        <v>7598</v>
      </c>
      <c r="C1926" s="1" t="s">
        <v>248</v>
      </c>
      <c r="D1926" s="1" t="s">
        <v>249</v>
      </c>
      <c r="F1926" s="2" t="str">
        <f>"1338323385"</f>
        <v>1338323385</v>
      </c>
      <c r="G1926" s="2" t="str">
        <f>"9781338323382"</f>
        <v>9781338323382</v>
      </c>
      <c r="H1926" s="1" t="s">
        <v>817</v>
      </c>
      <c r="I1926" s="1" t="s">
        <v>36</v>
      </c>
      <c r="J1926" s="1">
        <v>80.0</v>
      </c>
      <c r="K1926" s="1">
        <v>2020.0</v>
      </c>
      <c r="L1926" s="1">
        <v>2020.0</v>
      </c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 t="s">
        <v>250</v>
      </c>
      <c r="Y1926" s="1" t="s">
        <v>7599</v>
      </c>
    </row>
    <row r="1927">
      <c r="A1927" s="1">
        <v>5.7835965E7</v>
      </c>
      <c r="B1927" s="1" t="s">
        <v>7600</v>
      </c>
      <c r="C1927" s="1" t="s">
        <v>248</v>
      </c>
      <c r="D1927" s="1" t="s">
        <v>249</v>
      </c>
      <c r="F1927" s="2" t="str">
        <f>"1338798219"</f>
        <v>1338798219</v>
      </c>
      <c r="G1927" s="2" t="str">
        <f>"9781338798210"</f>
        <v>9781338798210</v>
      </c>
      <c r="H1927" s="1" t="s">
        <v>1575</v>
      </c>
      <c r="I1927" s="1" t="s">
        <v>36</v>
      </c>
      <c r="J1927" s="1">
        <v>80.0</v>
      </c>
      <c r="K1927" s="1">
        <v>2022.0</v>
      </c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 t="s">
        <v>250</v>
      </c>
      <c r="Y1927" s="1" t="s">
        <v>7601</v>
      </c>
    </row>
    <row r="1928">
      <c r="A1928" s="1">
        <v>5.9806191E7</v>
      </c>
      <c r="B1928" s="1" t="s">
        <v>7602</v>
      </c>
      <c r="C1928" s="1" t="s">
        <v>248</v>
      </c>
      <c r="D1928" s="1" t="s">
        <v>249</v>
      </c>
      <c r="F1928" s="2" t="str">
        <f>"1338849166"</f>
        <v>1338849166</v>
      </c>
      <c r="G1928" s="2" t="str">
        <f>"9781338849165"</f>
        <v>9781338849165</v>
      </c>
      <c r="H1928" s="1" t="s">
        <v>1575</v>
      </c>
      <c r="I1928" s="1" t="s">
        <v>36</v>
      </c>
      <c r="J1928" s="1">
        <v>80.0</v>
      </c>
      <c r="K1928" s="1">
        <v>2022.0</v>
      </c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 t="s">
        <v>2167</v>
      </c>
      <c r="Y1928" s="1" t="s">
        <v>7603</v>
      </c>
    </row>
    <row r="1929">
      <c r="A1929" s="1">
        <v>5.0160559E7</v>
      </c>
      <c r="B1929" s="1" t="s">
        <v>7604</v>
      </c>
      <c r="C1929" s="1" t="s">
        <v>248</v>
      </c>
      <c r="D1929" s="1" t="s">
        <v>249</v>
      </c>
      <c r="F1929" s="2" t="str">
        <f>"1338323423"</f>
        <v>1338323423</v>
      </c>
      <c r="G1929" s="2" t="str">
        <f>"9781338323429"</f>
        <v>9781338323429</v>
      </c>
      <c r="H1929" s="1" t="s">
        <v>817</v>
      </c>
      <c r="I1929" s="1" t="s">
        <v>36</v>
      </c>
      <c r="J1929" s="1">
        <v>80.0</v>
      </c>
      <c r="K1929" s="1">
        <v>2020.0</v>
      </c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 t="s">
        <v>250</v>
      </c>
      <c r="Y1929" s="1" t="s">
        <v>7605</v>
      </c>
    </row>
    <row r="1930">
      <c r="A1930" s="1">
        <v>4.1473829E7</v>
      </c>
      <c r="B1930" s="1" t="s">
        <v>7606</v>
      </c>
      <c r="C1930" s="1" t="s">
        <v>7607</v>
      </c>
      <c r="D1930" s="1" t="s">
        <v>7608</v>
      </c>
      <c r="F1930" s="2" t="str">
        <f>"1338239813"</f>
        <v>1338239813</v>
      </c>
      <c r="G1930" s="2" t="str">
        <f>"9781338239812"</f>
        <v>9781338239812</v>
      </c>
      <c r="H1930" s="1" t="s">
        <v>817</v>
      </c>
      <c r="I1930" s="1" t="s">
        <v>36</v>
      </c>
      <c r="J1930" s="1">
        <v>80.0</v>
      </c>
      <c r="K1930" s="1">
        <v>2019.0</v>
      </c>
      <c r="L1930" s="1">
        <v>2019.0</v>
      </c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 t="s">
        <v>7609</v>
      </c>
      <c r="Y1930" s="1" t="s">
        <v>7610</v>
      </c>
    </row>
    <row r="1931">
      <c r="A1931" s="1">
        <v>274998.0</v>
      </c>
      <c r="B1931" s="1" t="s">
        <v>7611</v>
      </c>
      <c r="C1931" s="1" t="s">
        <v>7612</v>
      </c>
      <c r="D1931" s="1" t="s">
        <v>7613</v>
      </c>
      <c r="E1931" s="1" t="s">
        <v>4550</v>
      </c>
      <c r="F1931" s="2" t="str">
        <f>"0141308230"</f>
        <v>0141308230</v>
      </c>
      <c r="G1931" s="2" t="str">
        <f>"9780141308234"</f>
        <v>9780141308234</v>
      </c>
      <c r="H1931" s="1" t="s">
        <v>44</v>
      </c>
      <c r="I1931" s="1" t="s">
        <v>36</v>
      </c>
      <c r="J1931" s="1">
        <v>80.0</v>
      </c>
      <c r="K1931" s="1">
        <v>2000.0</v>
      </c>
      <c r="L1931" s="1">
        <v>1998.0</v>
      </c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 t="s">
        <v>7614</v>
      </c>
      <c r="Y1931" s="1" t="s">
        <v>7615</v>
      </c>
    </row>
    <row r="1932">
      <c r="A1932" s="1">
        <v>1.5814986E7</v>
      </c>
      <c r="B1932" s="1" t="s">
        <v>7616</v>
      </c>
      <c r="C1932" s="1" t="s">
        <v>300</v>
      </c>
      <c r="D1932" s="1" t="s">
        <v>301</v>
      </c>
      <c r="F1932" s="2" t="str">
        <f>"0545516544"</f>
        <v>0545516544</v>
      </c>
      <c r="G1932" s="2" t="str">
        <f>"9780545516549"</f>
        <v>9780545516549</v>
      </c>
      <c r="H1932" s="1" t="s">
        <v>817</v>
      </c>
      <c r="I1932" s="1" t="s">
        <v>36</v>
      </c>
      <c r="J1932" s="1">
        <v>80.0</v>
      </c>
      <c r="K1932" s="1">
        <v>2013.0</v>
      </c>
      <c r="L1932" s="1">
        <v>2014.0</v>
      </c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 t="s">
        <v>291</v>
      </c>
      <c r="Y1932" s="1" t="s">
        <v>7617</v>
      </c>
    </row>
    <row r="1933">
      <c r="A1933" s="1">
        <v>3.1392564E7</v>
      </c>
      <c r="B1933" s="1" t="s">
        <v>7618</v>
      </c>
      <c r="C1933" s="1" t="s">
        <v>7619</v>
      </c>
      <c r="D1933" s="1" t="s">
        <v>7620</v>
      </c>
      <c r="F1933" s="2" t="str">
        <f>"3958434126"</f>
        <v>3958434126</v>
      </c>
      <c r="G1933" s="2" t="str">
        <f>"9783958434127"</f>
        <v>9783958434127</v>
      </c>
      <c r="H1933" s="1" t="s">
        <v>7621</v>
      </c>
      <c r="I1933" s="1" t="s">
        <v>36</v>
      </c>
      <c r="J1933" s="1">
        <v>80.0</v>
      </c>
      <c r="K1933" s="1">
        <v>2016.0</v>
      </c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 t="s">
        <v>3263</v>
      </c>
      <c r="Y1933" s="1" t="s">
        <v>7622</v>
      </c>
    </row>
    <row r="1934">
      <c r="A1934" s="1">
        <v>5.346815E7</v>
      </c>
      <c r="B1934" s="1" t="s">
        <v>7623</v>
      </c>
      <c r="C1934" s="1" t="s">
        <v>7624</v>
      </c>
      <c r="D1934" s="1" t="s">
        <v>7625</v>
      </c>
      <c r="E1934" s="1" t="s">
        <v>7626</v>
      </c>
      <c r="F1934" s="2" t="str">
        <f>"1950968227"</f>
        <v>1950968227</v>
      </c>
      <c r="G1934" s="2" t="str">
        <f>"9781950968220"</f>
        <v>9781950968220</v>
      </c>
      <c r="H1934" s="1" t="s">
        <v>7627</v>
      </c>
      <c r="I1934" s="1" t="s">
        <v>36</v>
      </c>
      <c r="J1934" s="1">
        <v>80.0</v>
      </c>
      <c r="K1934" s="1">
        <v>2020.0</v>
      </c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 t="s">
        <v>1024</v>
      </c>
      <c r="Y1934" s="1" t="s">
        <v>7628</v>
      </c>
    </row>
    <row r="1935">
      <c r="A1935" s="1">
        <v>860643.0</v>
      </c>
      <c r="B1935" s="1" t="s">
        <v>7629</v>
      </c>
      <c r="C1935" s="1" t="s">
        <v>1091</v>
      </c>
      <c r="D1935" s="1" t="s">
        <v>1092</v>
      </c>
      <c r="E1935" s="1" t="s">
        <v>7630</v>
      </c>
      <c r="F1935" s="2" t="str">
        <f>"0448432048"</f>
        <v>0448432048</v>
      </c>
      <c r="G1935" s="2" t="str">
        <f>"9780448432045"</f>
        <v>9780448432045</v>
      </c>
      <c r="H1935" s="1" t="s">
        <v>2014</v>
      </c>
      <c r="I1935" s="1" t="s">
        <v>36</v>
      </c>
      <c r="J1935" s="1">
        <v>80.0</v>
      </c>
      <c r="K1935" s="1">
        <v>2003.0</v>
      </c>
      <c r="L1935" s="1">
        <v>2003.0</v>
      </c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 t="s">
        <v>291</v>
      </c>
      <c r="Y1935" s="1" t="s">
        <v>7631</v>
      </c>
    </row>
    <row r="1936">
      <c r="A1936" s="1">
        <v>5.4776591E7</v>
      </c>
      <c r="B1936" s="1" t="s">
        <v>7632</v>
      </c>
      <c r="C1936" s="1" t="s">
        <v>7633</v>
      </c>
      <c r="D1936" s="1" t="s">
        <v>7634</v>
      </c>
      <c r="E1936" s="1" t="s">
        <v>7635</v>
      </c>
      <c r="F1936" s="2" t="str">
        <f>"1338736604"</f>
        <v>1338736604</v>
      </c>
      <c r="G1936" s="2" t="str">
        <f>"9781338736601"</f>
        <v>9781338736601</v>
      </c>
      <c r="H1936" s="1" t="s">
        <v>640</v>
      </c>
      <c r="I1936" s="1" t="s">
        <v>31</v>
      </c>
      <c r="J1936" s="1">
        <v>80.0</v>
      </c>
      <c r="K1936" s="1">
        <v>2021.0</v>
      </c>
      <c r="L1936" s="1">
        <v>2021.0</v>
      </c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 t="s">
        <v>7636</v>
      </c>
      <c r="Y1936" s="1" t="s">
        <v>7637</v>
      </c>
    </row>
    <row r="1937">
      <c r="A1937" s="1">
        <v>2.0897332E7</v>
      </c>
      <c r="B1937" s="1" t="s">
        <v>7638</v>
      </c>
      <c r="C1937" s="1" t="s">
        <v>7639</v>
      </c>
      <c r="D1937" s="1" t="s">
        <v>7640</v>
      </c>
      <c r="F1937" s="2" t="str">
        <f>"0545610745"</f>
        <v>0545610745</v>
      </c>
      <c r="G1937" s="2" t="str">
        <f>"9780545610742"</f>
        <v>9780545610742</v>
      </c>
      <c r="H1937" s="1" t="s">
        <v>817</v>
      </c>
      <c r="I1937" s="1" t="s">
        <v>36</v>
      </c>
      <c r="J1937" s="1">
        <v>80.0</v>
      </c>
      <c r="K1937" s="1">
        <v>2014.0</v>
      </c>
      <c r="L1937" s="1">
        <v>2014.0</v>
      </c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 t="s">
        <v>250</v>
      </c>
      <c r="Y1937" s="1" t="s">
        <v>7641</v>
      </c>
    </row>
    <row r="1938">
      <c r="A1938" s="1">
        <v>5.3998601E7</v>
      </c>
      <c r="B1938" s="1" t="s">
        <v>7642</v>
      </c>
      <c r="C1938" s="1" t="s">
        <v>7643</v>
      </c>
      <c r="D1938" s="1" t="s">
        <v>7644</v>
      </c>
      <c r="F1938" s="2" t="str">
        <f>"1338713442"</f>
        <v>1338713442</v>
      </c>
      <c r="G1938" s="2" t="str">
        <f>"9781338713442"</f>
        <v>9781338713442</v>
      </c>
      <c r="H1938" s="1" t="s">
        <v>817</v>
      </c>
      <c r="I1938" s="1" t="s">
        <v>36</v>
      </c>
      <c r="J1938" s="1">
        <v>80.0</v>
      </c>
      <c r="K1938" s="1">
        <v>2021.0</v>
      </c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 t="s">
        <v>250</v>
      </c>
      <c r="Y1938" s="1" t="s">
        <v>7645</v>
      </c>
    </row>
    <row r="1939">
      <c r="A1939" s="1">
        <v>5.7468712E7</v>
      </c>
      <c r="B1939" s="1" t="s">
        <v>7646</v>
      </c>
      <c r="C1939" s="1" t="s">
        <v>7643</v>
      </c>
      <c r="D1939" s="1" t="s">
        <v>7644</v>
      </c>
      <c r="F1939" s="2" t="str">
        <f>"1338713477"</f>
        <v>1338713477</v>
      </c>
      <c r="G1939" s="2" t="str">
        <f>"9781338713473"</f>
        <v>9781338713473</v>
      </c>
      <c r="H1939" s="1" t="s">
        <v>817</v>
      </c>
      <c r="I1939" s="1" t="s">
        <v>36</v>
      </c>
      <c r="J1939" s="1">
        <v>80.0</v>
      </c>
      <c r="K1939" s="1">
        <v>2022.0</v>
      </c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 t="s">
        <v>250</v>
      </c>
      <c r="Y1939" s="1" t="s">
        <v>7647</v>
      </c>
    </row>
    <row r="1940">
      <c r="A1940" s="1">
        <v>5.2664745E7</v>
      </c>
      <c r="B1940" s="1" t="s">
        <v>7648</v>
      </c>
      <c r="C1940" s="1" t="s">
        <v>7643</v>
      </c>
      <c r="D1940" s="1" t="s">
        <v>7644</v>
      </c>
      <c r="F1940" s="2" t="str">
        <f>"1338530127"</f>
        <v>1338530127</v>
      </c>
      <c r="G1940" s="2" t="str">
        <f>"9781338530124"</f>
        <v>9781338530124</v>
      </c>
      <c r="H1940" s="1" t="s">
        <v>817</v>
      </c>
      <c r="I1940" s="1" t="s">
        <v>36</v>
      </c>
      <c r="J1940" s="1">
        <v>80.0</v>
      </c>
      <c r="K1940" s="1">
        <v>2021.0</v>
      </c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 t="s">
        <v>250</v>
      </c>
      <c r="Y1940" s="1" t="s">
        <v>7649</v>
      </c>
    </row>
    <row r="1941">
      <c r="A1941" s="1">
        <v>1010853.0</v>
      </c>
      <c r="B1941" s="1" t="s">
        <v>7650</v>
      </c>
      <c r="C1941" s="1" t="s">
        <v>7651</v>
      </c>
      <c r="D1941" s="1" t="s">
        <v>7652</v>
      </c>
      <c r="E1941" s="1" t="s">
        <v>7653</v>
      </c>
      <c r="F1941" s="2" t="str">
        <f>"0528965441"</f>
        <v>0528965441</v>
      </c>
      <c r="G1941" s="2" t="str">
        <f>"9780528965449"</f>
        <v>9780528965449</v>
      </c>
      <c r="H1941" s="1" t="s">
        <v>7654</v>
      </c>
      <c r="I1941" s="1" t="s">
        <v>36</v>
      </c>
      <c r="J1941" s="1">
        <v>80.0</v>
      </c>
      <c r="K1941" s="1">
        <v>2003.0</v>
      </c>
      <c r="L1941" s="1">
        <v>2003.0</v>
      </c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 t="s">
        <v>380</v>
      </c>
      <c r="Y1941" s="1" t="s">
        <v>7655</v>
      </c>
    </row>
    <row r="1942">
      <c r="A1942" s="1">
        <v>3.2729298E7</v>
      </c>
      <c r="B1942" s="1" t="s">
        <v>7656</v>
      </c>
      <c r="C1942" s="1" t="s">
        <v>7657</v>
      </c>
      <c r="D1942" s="1" t="s">
        <v>7658</v>
      </c>
      <c r="E1942" s="1" t="s">
        <v>7659</v>
      </c>
      <c r="F1942" s="2" t="str">
        <f>"1408342685"</f>
        <v>1408342685</v>
      </c>
      <c r="G1942" s="2" t="str">
        <f>"9781408342688"</f>
        <v>9781408342688</v>
      </c>
      <c r="H1942" s="1" t="s">
        <v>2397</v>
      </c>
      <c r="I1942" s="1" t="s">
        <v>36</v>
      </c>
      <c r="J1942" s="1">
        <v>80.0</v>
      </c>
      <c r="K1942" s="1">
        <v>2016.0</v>
      </c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 t="s">
        <v>302</v>
      </c>
      <c r="Y1942" s="1" t="s">
        <v>7660</v>
      </c>
    </row>
    <row r="1943">
      <c r="A1943" s="1">
        <v>1900702.0</v>
      </c>
      <c r="B1943" s="1" t="s">
        <v>7661</v>
      </c>
      <c r="C1943" s="1" t="s">
        <v>7657</v>
      </c>
      <c r="D1943" s="1" t="s">
        <v>7658</v>
      </c>
      <c r="F1943" s="2" t="str">
        <f>"1846164923"</f>
        <v>1846164923</v>
      </c>
      <c r="G1943" s="2" t="str">
        <f>"9781846164927"</f>
        <v>9781846164927</v>
      </c>
      <c r="H1943" s="1" t="s">
        <v>3593</v>
      </c>
      <c r="I1943" s="1" t="s">
        <v>36</v>
      </c>
      <c r="J1943" s="1">
        <v>80.0</v>
      </c>
      <c r="K1943" s="1">
        <v>2007.0</v>
      </c>
      <c r="L1943" s="1">
        <v>2007.0</v>
      </c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 t="s">
        <v>302</v>
      </c>
      <c r="Y1943" s="1" t="s">
        <v>7662</v>
      </c>
    </row>
    <row r="1944">
      <c r="A1944" s="1">
        <v>609809.0</v>
      </c>
      <c r="B1944" s="1" t="s">
        <v>7663</v>
      </c>
      <c r="C1944" s="1" t="s">
        <v>423</v>
      </c>
      <c r="D1944" s="1" t="s">
        <v>424</v>
      </c>
      <c r="F1944" s="2" t="str">
        <f>"0439793815"</f>
        <v>0439793815</v>
      </c>
      <c r="G1944" s="2" t="str">
        <f>"9780439793810"</f>
        <v>9780439793810</v>
      </c>
      <c r="H1944" s="1" t="s">
        <v>2944</v>
      </c>
      <c r="I1944" s="1" t="s">
        <v>36</v>
      </c>
      <c r="J1944" s="1">
        <v>80.0</v>
      </c>
      <c r="K1944" s="1">
        <v>2007.0</v>
      </c>
      <c r="L1944" s="1">
        <v>2007.0</v>
      </c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 t="s">
        <v>7111</v>
      </c>
      <c r="Y1944" s="1" t="s">
        <v>7664</v>
      </c>
    </row>
    <row r="1945">
      <c r="A1945" s="1">
        <v>833173.0</v>
      </c>
      <c r="B1945" s="1" t="s">
        <v>7665</v>
      </c>
      <c r="C1945" s="1" t="s">
        <v>423</v>
      </c>
      <c r="D1945" s="1" t="s">
        <v>424</v>
      </c>
      <c r="F1945" s="2" t="str">
        <f>"0439793807"</f>
        <v>0439793807</v>
      </c>
      <c r="G1945" s="2" t="str">
        <f>"9780439793803"</f>
        <v>9780439793803</v>
      </c>
      <c r="H1945" s="1" t="s">
        <v>2944</v>
      </c>
      <c r="I1945" s="1" t="s">
        <v>36</v>
      </c>
      <c r="J1945" s="1">
        <v>80.0</v>
      </c>
      <c r="K1945" s="1">
        <v>2006.0</v>
      </c>
      <c r="L1945" s="1">
        <v>2006.0</v>
      </c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 t="s">
        <v>7111</v>
      </c>
      <c r="Y1945" s="1" t="s">
        <v>7666</v>
      </c>
    </row>
    <row r="1946">
      <c r="A1946" s="1">
        <v>1773774.0</v>
      </c>
      <c r="B1946" s="1" t="s">
        <v>7667</v>
      </c>
      <c r="C1946" s="1" t="s">
        <v>423</v>
      </c>
      <c r="D1946" s="1" t="s">
        <v>424</v>
      </c>
      <c r="F1946" s="2" t="str">
        <f>"0439874130"</f>
        <v>0439874130</v>
      </c>
      <c r="G1946" s="2" t="str">
        <f>"9780439874137"</f>
        <v>9780439874137</v>
      </c>
      <c r="H1946" s="1" t="s">
        <v>2944</v>
      </c>
      <c r="I1946" s="1" t="s">
        <v>36</v>
      </c>
      <c r="J1946" s="1">
        <v>80.0</v>
      </c>
      <c r="K1946" s="1">
        <v>2007.0</v>
      </c>
      <c r="L1946" s="1">
        <v>2007.0</v>
      </c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 t="s">
        <v>7111</v>
      </c>
      <c r="Y1946" s="1" t="s">
        <v>7668</v>
      </c>
    </row>
    <row r="1947">
      <c r="A1947" s="1">
        <v>1.2626682E7</v>
      </c>
      <c r="B1947" s="1" t="s">
        <v>7669</v>
      </c>
      <c r="C1947" s="1" t="s">
        <v>7670</v>
      </c>
      <c r="D1947" s="1" t="s">
        <v>7671</v>
      </c>
      <c r="E1947" s="1" t="s">
        <v>7672</v>
      </c>
      <c r="F1947" s="2" t="str">
        <f>"0758708319"</f>
        <v>0758708319</v>
      </c>
      <c r="G1947" s="2" t="str">
        <f>"9780758708311"</f>
        <v>9780758708311</v>
      </c>
      <c r="H1947" s="1" t="s">
        <v>179</v>
      </c>
      <c r="I1947" s="1" t="s">
        <v>31</v>
      </c>
      <c r="J1947" s="1">
        <v>80.0</v>
      </c>
      <c r="K1947" s="1">
        <v>2000.0</v>
      </c>
      <c r="L1947" s="1">
        <v>2000.0</v>
      </c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 t="s">
        <v>291</v>
      </c>
      <c r="Y1947" s="1" t="s">
        <v>7673</v>
      </c>
    </row>
    <row r="1948">
      <c r="A1948" s="1">
        <v>200054.0</v>
      </c>
      <c r="B1948" s="1" t="s">
        <v>7674</v>
      </c>
      <c r="C1948" s="1" t="s">
        <v>474</v>
      </c>
      <c r="D1948" s="1" t="s">
        <v>475</v>
      </c>
      <c r="E1948" s="1" t="s">
        <v>7675</v>
      </c>
      <c r="F1948" s="2" t="str">
        <f>"1930332513"</f>
        <v>1930332513</v>
      </c>
      <c r="G1948" s="2" t="str">
        <f>"9781930332515"</f>
        <v>9781930332515</v>
      </c>
      <c r="H1948" s="1" t="s">
        <v>7676</v>
      </c>
      <c r="I1948" s="1" t="s">
        <v>36</v>
      </c>
      <c r="J1948" s="1">
        <v>80.0</v>
      </c>
      <c r="K1948" s="1">
        <v>2003.0</v>
      </c>
      <c r="L1948" s="1">
        <v>1993.0</v>
      </c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 t="s">
        <v>92</v>
      </c>
      <c r="Y1948" s="1" t="s">
        <v>7677</v>
      </c>
    </row>
    <row r="1949">
      <c r="A1949" s="1">
        <v>7125770.0</v>
      </c>
      <c r="B1949" s="1" t="s">
        <v>7678</v>
      </c>
      <c r="C1949" s="1" t="s">
        <v>474</v>
      </c>
      <c r="D1949" s="1" t="s">
        <v>475</v>
      </c>
      <c r="E1949" s="1" t="s">
        <v>7679</v>
      </c>
      <c r="F1949" s="2" t="str">
        <f>"1933032480"</f>
        <v>1933032480</v>
      </c>
      <c r="G1949" s="2" t="str">
        <f>"9781933032481"</f>
        <v>9781933032481</v>
      </c>
      <c r="H1949" s="1" t="s">
        <v>7676</v>
      </c>
      <c r="I1949" s="1" t="s">
        <v>36</v>
      </c>
      <c r="J1949" s="1">
        <v>80.0</v>
      </c>
      <c r="K1949" s="1">
        <v>2008.0</v>
      </c>
      <c r="L1949" s="1">
        <v>1999.0</v>
      </c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 t="s">
        <v>491</v>
      </c>
      <c r="Y1949" s="1" t="s">
        <v>7680</v>
      </c>
    </row>
    <row r="1950">
      <c r="A1950" s="1">
        <v>122914.0</v>
      </c>
      <c r="B1950" s="1" t="s">
        <v>7681</v>
      </c>
      <c r="C1950" s="1" t="s">
        <v>474</v>
      </c>
      <c r="D1950" s="1" t="s">
        <v>475</v>
      </c>
      <c r="E1950" s="1" t="s">
        <v>7412</v>
      </c>
      <c r="F1950" s="2" t="str">
        <f>"0679863745"</f>
        <v>0679863745</v>
      </c>
      <c r="G1950" s="2" t="str">
        <f>"9780679863748"</f>
        <v>9780679863748</v>
      </c>
      <c r="H1950" s="1" t="s">
        <v>156</v>
      </c>
      <c r="I1950" s="1" t="s">
        <v>36</v>
      </c>
      <c r="J1950" s="1">
        <v>80.0</v>
      </c>
      <c r="K1950" s="1">
        <v>1996.0</v>
      </c>
      <c r="L1950" s="1">
        <v>1996.0</v>
      </c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 t="s">
        <v>291</v>
      </c>
      <c r="Y1950" s="1" t="s">
        <v>7682</v>
      </c>
    </row>
    <row r="1951">
      <c r="A1951" s="1">
        <v>3823823.0</v>
      </c>
      <c r="B1951" s="1" t="s">
        <v>7683</v>
      </c>
      <c r="C1951" s="1" t="s">
        <v>502</v>
      </c>
      <c r="D1951" s="1" t="s">
        <v>503</v>
      </c>
      <c r="E1951" s="1" t="s">
        <v>7416</v>
      </c>
      <c r="F1951" s="2" t="str">
        <f>"0679951016"</f>
        <v>0679951016</v>
      </c>
      <c r="G1951" s="2" t="str">
        <f>"9780679951018"</f>
        <v>9780679951018</v>
      </c>
      <c r="H1951" s="1" t="s">
        <v>156</v>
      </c>
      <c r="I1951" s="1" t="s">
        <v>91</v>
      </c>
      <c r="J1951" s="1">
        <v>80.0</v>
      </c>
      <c r="K1951" s="1">
        <v>1994.0</v>
      </c>
      <c r="L1951" s="1">
        <v>1994.0</v>
      </c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 t="s">
        <v>180</v>
      </c>
      <c r="Y1951" s="1" t="s">
        <v>7684</v>
      </c>
    </row>
    <row r="1952">
      <c r="A1952" s="1">
        <v>5.9891636E7</v>
      </c>
      <c r="B1952" s="1" t="s">
        <v>7685</v>
      </c>
      <c r="C1952" s="1" t="s">
        <v>7686</v>
      </c>
      <c r="D1952" s="1" t="s">
        <v>7687</v>
      </c>
      <c r="F1952" s="2" t="str">
        <f>"1523517174"</f>
        <v>1523517174</v>
      </c>
      <c r="G1952" s="2" t="str">
        <f>"9781523517176"</f>
        <v>9781523517176</v>
      </c>
      <c r="H1952" s="1" t="s">
        <v>6617</v>
      </c>
      <c r="I1952" s="1" t="s">
        <v>36</v>
      </c>
      <c r="J1952" s="1">
        <v>80.0</v>
      </c>
      <c r="K1952" s="1">
        <v>2022.0</v>
      </c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 t="s">
        <v>380</v>
      </c>
      <c r="Y1952" s="1" t="s">
        <v>7688</v>
      </c>
    </row>
    <row r="1953">
      <c r="A1953" s="1">
        <v>1027351.0</v>
      </c>
      <c r="B1953" s="1" t="s">
        <v>7689</v>
      </c>
      <c r="C1953" s="1" t="s">
        <v>7690</v>
      </c>
      <c r="D1953" s="1" t="s">
        <v>7691</v>
      </c>
      <c r="E1953" s="1" t="s">
        <v>7692</v>
      </c>
      <c r="F1953" s="2" t="str">
        <f>"1579123511"</f>
        <v>1579123511</v>
      </c>
      <c r="G1953" s="2" t="str">
        <f>"9781579123512"</f>
        <v>9781579123512</v>
      </c>
      <c r="H1953" s="1" t="s">
        <v>6617</v>
      </c>
      <c r="I1953" s="1" t="s">
        <v>31</v>
      </c>
      <c r="J1953" s="1">
        <v>80.0</v>
      </c>
      <c r="K1953" s="1">
        <v>2004.0</v>
      </c>
      <c r="L1953" s="1">
        <v>2001.0</v>
      </c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 t="s">
        <v>2173</v>
      </c>
      <c r="Y1953" s="1" t="s">
        <v>7693</v>
      </c>
    </row>
    <row r="1954">
      <c r="A1954" s="1">
        <v>1116771.0</v>
      </c>
      <c r="B1954" s="1" t="s">
        <v>7694</v>
      </c>
      <c r="C1954" s="1" t="s">
        <v>1834</v>
      </c>
      <c r="D1954" s="1" t="s">
        <v>1835</v>
      </c>
      <c r="E1954" s="1" t="s">
        <v>1838</v>
      </c>
      <c r="F1954" s="2" t="str">
        <f>"0395137187"</f>
        <v>0395137187</v>
      </c>
      <c r="G1954" s="2" t="str">
        <f>"9780395137185"</f>
        <v>9780395137185</v>
      </c>
      <c r="H1954" s="1" t="s">
        <v>1799</v>
      </c>
      <c r="I1954" s="1" t="s">
        <v>36</v>
      </c>
      <c r="J1954" s="1">
        <v>80.0</v>
      </c>
      <c r="K1954" s="1">
        <v>1973.0</v>
      </c>
      <c r="L1954" s="1">
        <v>1963.0</v>
      </c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 t="s">
        <v>4607</v>
      </c>
      <c r="Y1954" s="1" t="s">
        <v>7695</v>
      </c>
    </row>
    <row r="1955">
      <c r="A1955" s="1">
        <v>190670.0</v>
      </c>
      <c r="B1955" s="1" t="s">
        <v>7696</v>
      </c>
      <c r="C1955" s="1" t="s">
        <v>1838</v>
      </c>
      <c r="D1955" s="1" t="s">
        <v>1848</v>
      </c>
      <c r="E1955" s="1" t="s">
        <v>1834</v>
      </c>
      <c r="F1955" s="2" t="str">
        <f>"0395259371"</f>
        <v>0395259371</v>
      </c>
      <c r="G1955" s="2" t="str">
        <f>"9780395259375"</f>
        <v>9780395259375</v>
      </c>
      <c r="H1955" s="1" t="s">
        <v>1799</v>
      </c>
      <c r="I1955" s="1" t="s">
        <v>36</v>
      </c>
      <c r="J1955" s="1">
        <v>80.0</v>
      </c>
      <c r="K1955" s="1">
        <v>1977.0</v>
      </c>
      <c r="L1955" s="1">
        <v>1958.0</v>
      </c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 t="s">
        <v>1839</v>
      </c>
      <c r="Y1955" s="1" t="s">
        <v>7697</v>
      </c>
    </row>
    <row r="1956">
      <c r="A1956" s="1">
        <v>744709.0</v>
      </c>
      <c r="B1956" s="1" t="s">
        <v>7698</v>
      </c>
      <c r="C1956" s="1" t="s">
        <v>4956</v>
      </c>
      <c r="D1956" s="1" t="s">
        <v>4957</v>
      </c>
      <c r="F1956" s="2" t="str">
        <f>"0142400467"</f>
        <v>0142400467</v>
      </c>
      <c r="G1956" s="2" t="str">
        <f>"9780142400463"</f>
        <v>9780142400463</v>
      </c>
      <c r="H1956" s="1" t="s">
        <v>753</v>
      </c>
      <c r="I1956" s="1" t="s">
        <v>36</v>
      </c>
      <c r="J1956" s="1">
        <v>80.0</v>
      </c>
      <c r="K1956" s="1">
        <v>2004.0</v>
      </c>
      <c r="L1956" s="1">
        <v>1992.0</v>
      </c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 t="s">
        <v>45</v>
      </c>
      <c r="Y1956" s="1" t="s">
        <v>7699</v>
      </c>
    </row>
    <row r="1957">
      <c r="A1957" s="1">
        <v>420404.0</v>
      </c>
      <c r="B1957" s="1" t="s">
        <v>7700</v>
      </c>
      <c r="C1957" s="1" t="s">
        <v>1182</v>
      </c>
      <c r="D1957" s="1" t="s">
        <v>1183</v>
      </c>
      <c r="F1957" s="2" t="str">
        <f>"0394900871"</f>
        <v>0394900871</v>
      </c>
      <c r="G1957" s="2" t="str">
        <f>"9780394900872"</f>
        <v>9780394900872</v>
      </c>
      <c r="H1957" s="1" t="s">
        <v>156</v>
      </c>
      <c r="I1957" s="1" t="s">
        <v>31</v>
      </c>
      <c r="J1957" s="1">
        <v>80.0</v>
      </c>
      <c r="K1957" s="1">
        <v>1958.0</v>
      </c>
      <c r="L1957" s="1">
        <v>1958.0</v>
      </c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 t="s">
        <v>6982</v>
      </c>
      <c r="Y1957" s="1" t="s">
        <v>7701</v>
      </c>
    </row>
    <row r="1958">
      <c r="A1958" s="1">
        <v>1258033.0</v>
      </c>
      <c r="B1958" s="1" t="s">
        <v>7702</v>
      </c>
      <c r="C1958" s="1" t="s">
        <v>6991</v>
      </c>
      <c r="D1958" s="1" t="s">
        <v>6992</v>
      </c>
      <c r="E1958" s="1" t="s">
        <v>5040</v>
      </c>
      <c r="F1958" s="2" t="str">
        <f>"044040438X"</f>
        <v>044040438X</v>
      </c>
      <c r="G1958" s="2" t="str">
        <f>"9780440404385"</f>
        <v>9780440404385</v>
      </c>
      <c r="H1958" s="1" t="s">
        <v>6845</v>
      </c>
      <c r="I1958" s="1" t="s">
        <v>36</v>
      </c>
      <c r="J1958" s="1">
        <v>80.0</v>
      </c>
      <c r="K1958" s="1">
        <v>1991.0</v>
      </c>
      <c r="L1958" s="1">
        <v>1989.0</v>
      </c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 t="s">
        <v>1397</v>
      </c>
      <c r="Y1958" s="1" t="s">
        <v>7703</v>
      </c>
    </row>
    <row r="1959">
      <c r="A1959" s="1">
        <v>592712.0</v>
      </c>
      <c r="B1959" s="1" t="s">
        <v>7704</v>
      </c>
      <c r="C1959" s="1" t="s">
        <v>6991</v>
      </c>
      <c r="D1959" s="1" t="s">
        <v>6992</v>
      </c>
      <c r="E1959" s="1" t="s">
        <v>5040</v>
      </c>
      <c r="F1959" s="2" t="str">
        <f>"0440401682"</f>
        <v>0440401682</v>
      </c>
      <c r="G1959" s="2" t="str">
        <f>"9780440401681"</f>
        <v>9780440401681</v>
      </c>
      <c r="H1959" s="1" t="s">
        <v>6845</v>
      </c>
      <c r="I1959" s="1" t="s">
        <v>36</v>
      </c>
      <c r="J1959" s="1">
        <v>80.0</v>
      </c>
      <c r="K1959" s="1">
        <v>1989.0</v>
      </c>
      <c r="L1959" s="1">
        <v>1987.0</v>
      </c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 t="s">
        <v>1397</v>
      </c>
      <c r="Y1959" s="1" t="s">
        <v>7705</v>
      </c>
    </row>
    <row r="1960">
      <c r="A1960" s="1">
        <v>511043.0</v>
      </c>
      <c r="B1960" s="1" t="s">
        <v>7706</v>
      </c>
      <c r="C1960" s="1" t="s">
        <v>6991</v>
      </c>
      <c r="D1960" s="1" t="s">
        <v>6992</v>
      </c>
      <c r="E1960" s="1" t="s">
        <v>7707</v>
      </c>
      <c r="F1960" s="2" t="str">
        <f>"0440416620"</f>
        <v>0440416620</v>
      </c>
      <c r="G1960" s="2" t="str">
        <f>"9780440416623"</f>
        <v>9780440416623</v>
      </c>
      <c r="H1960" s="1" t="s">
        <v>6845</v>
      </c>
      <c r="I1960" s="1" t="s">
        <v>36</v>
      </c>
      <c r="J1960" s="1">
        <v>80.0</v>
      </c>
      <c r="K1960" s="1">
        <v>2001.0</v>
      </c>
      <c r="L1960" s="1">
        <v>1999.0</v>
      </c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 t="s">
        <v>1397</v>
      </c>
      <c r="Y1960" s="1" t="s">
        <v>7708</v>
      </c>
    </row>
    <row r="1961">
      <c r="A1961" s="1">
        <v>2.7882916E7</v>
      </c>
      <c r="B1961" s="1" t="s">
        <v>7709</v>
      </c>
      <c r="C1961" s="1" t="s">
        <v>7357</v>
      </c>
      <c r="D1961" s="1" t="s">
        <v>7358</v>
      </c>
      <c r="E1961" s="1" t="s">
        <v>7359</v>
      </c>
      <c r="F1961" s="2" t="str">
        <f>"0545870720"</f>
        <v>0545870720</v>
      </c>
      <c r="G1961" s="2" t="str">
        <f>"9780545870726"</f>
        <v>9780545870726</v>
      </c>
      <c r="H1961" s="1" t="s">
        <v>817</v>
      </c>
      <c r="I1961" s="1" t="s">
        <v>31</v>
      </c>
      <c r="J1961" s="1">
        <v>80.0</v>
      </c>
      <c r="K1961" s="1">
        <v>2016.0</v>
      </c>
      <c r="L1961" s="1">
        <v>2016.0</v>
      </c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 t="s">
        <v>7614</v>
      </c>
      <c r="Y1961" s="1" t="s">
        <v>7710</v>
      </c>
    </row>
    <row r="1962">
      <c r="A1962" s="1">
        <v>5.5977941E7</v>
      </c>
      <c r="B1962" s="1" t="s">
        <v>7711</v>
      </c>
      <c r="C1962" s="1" t="s">
        <v>5295</v>
      </c>
      <c r="D1962" s="1" t="s">
        <v>5296</v>
      </c>
      <c r="E1962" s="1" t="s">
        <v>7712</v>
      </c>
      <c r="F1962" s="2" t="str">
        <f>"1338743309"</f>
        <v>1338743309</v>
      </c>
      <c r="G1962" s="2" t="str">
        <f>"9781338743302"</f>
        <v>9781338743302</v>
      </c>
      <c r="H1962" s="1" t="s">
        <v>640</v>
      </c>
      <c r="I1962" s="1" t="s">
        <v>31</v>
      </c>
      <c r="J1962" s="1">
        <v>80.0</v>
      </c>
      <c r="K1962" s="1">
        <v>2021.0</v>
      </c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 t="s">
        <v>7713</v>
      </c>
      <c r="Y1962" s="1" t="s">
        <v>7714</v>
      </c>
    </row>
    <row r="1963">
      <c r="A1963" s="1">
        <v>200894.0</v>
      </c>
      <c r="B1963" s="1" t="s">
        <v>7715</v>
      </c>
      <c r="C1963" s="1" t="s">
        <v>7716</v>
      </c>
      <c r="D1963" s="1" t="s">
        <v>7717</v>
      </c>
      <c r="E1963" s="1" t="s">
        <v>7718</v>
      </c>
      <c r="F1963" s="2" t="str">
        <f>"1584858710"</f>
        <v>1584858710</v>
      </c>
      <c r="G1963" s="2" t="str">
        <f>"9781584858713"</f>
        <v>9781584858713</v>
      </c>
      <c r="H1963" s="1" t="s">
        <v>7719</v>
      </c>
      <c r="I1963" s="1" t="s">
        <v>36</v>
      </c>
      <c r="J1963" s="1">
        <v>80.0</v>
      </c>
      <c r="K1963" s="1">
        <v>2004.0</v>
      </c>
      <c r="L1963" s="1">
        <v>2004.0</v>
      </c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 t="s">
        <v>45</v>
      </c>
      <c r="Y1963" s="1" t="s">
        <v>7720</v>
      </c>
    </row>
    <row r="1964">
      <c r="A1964" s="1">
        <v>1088642.0</v>
      </c>
      <c r="B1964" s="1" t="s">
        <v>7721</v>
      </c>
      <c r="C1964" s="1" t="s">
        <v>5684</v>
      </c>
      <c r="D1964" s="1" t="s">
        <v>5685</v>
      </c>
      <c r="F1964" s="2" t="str">
        <f>"1932319093"</f>
        <v>1932319093</v>
      </c>
      <c r="G1964" s="2" t="str">
        <f>"9781932319095"</f>
        <v>9781932319095</v>
      </c>
      <c r="H1964" s="1" t="s">
        <v>7722</v>
      </c>
      <c r="I1964" s="1" t="s">
        <v>31</v>
      </c>
      <c r="J1964" s="1">
        <v>80.0</v>
      </c>
      <c r="K1964" s="1">
        <v>2004.0</v>
      </c>
      <c r="L1964" s="1">
        <v>2004.0</v>
      </c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 t="s">
        <v>1219</v>
      </c>
      <c r="Y1964" s="1" t="s">
        <v>7723</v>
      </c>
    </row>
    <row r="1965">
      <c r="A1965" s="1">
        <v>5999634.0</v>
      </c>
      <c r="B1965" s="1" t="s">
        <v>7724</v>
      </c>
      <c r="C1965" s="1" t="s">
        <v>176</v>
      </c>
      <c r="D1965" s="1" t="s">
        <v>177</v>
      </c>
      <c r="E1965" s="1" t="s">
        <v>7725</v>
      </c>
      <c r="F1965" s="2" t="str">
        <f>"0061429937"</f>
        <v>0061429937</v>
      </c>
      <c r="G1965" s="2" t="str">
        <f>"9780061429934"</f>
        <v>9780061429934</v>
      </c>
      <c r="H1965" s="1" t="s">
        <v>290</v>
      </c>
      <c r="I1965" s="1" t="s">
        <v>31</v>
      </c>
      <c r="J1965" s="1">
        <v>81.0</v>
      </c>
      <c r="K1965" s="1">
        <v>2009.0</v>
      </c>
      <c r="L1965" s="1">
        <v>2009.0</v>
      </c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 t="s">
        <v>180</v>
      </c>
      <c r="Y1965" s="1" t="s">
        <v>7726</v>
      </c>
    </row>
    <row r="1966">
      <c r="A1966" s="1">
        <v>4.4080877E7</v>
      </c>
      <c r="B1966" s="1" t="s">
        <v>7727</v>
      </c>
      <c r="C1966" s="1" t="s">
        <v>248</v>
      </c>
      <c r="D1966" s="1" t="s">
        <v>249</v>
      </c>
      <c r="F1966" s="2" t="str">
        <f>"1338581872"</f>
        <v>1338581872</v>
      </c>
      <c r="G1966" s="2" t="str">
        <f>"9781338581874"</f>
        <v>9781338581874</v>
      </c>
      <c r="H1966" s="1" t="s">
        <v>817</v>
      </c>
      <c r="I1966" s="1" t="s">
        <v>238</v>
      </c>
      <c r="J1966" s="1">
        <v>84.0</v>
      </c>
      <c r="K1966" s="1">
        <v>2019.0</v>
      </c>
      <c r="L1966" s="1">
        <v>2016.0</v>
      </c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 t="s">
        <v>250</v>
      </c>
      <c r="Y1966" s="1" t="s">
        <v>7728</v>
      </c>
    </row>
    <row r="1967">
      <c r="A1967" s="1">
        <v>1.3588436E7</v>
      </c>
      <c r="B1967" s="1" t="s">
        <v>7729</v>
      </c>
      <c r="C1967" s="1" t="s">
        <v>7730</v>
      </c>
      <c r="D1967" s="1" t="s">
        <v>7731</v>
      </c>
      <c r="E1967" s="1" t="s">
        <v>7732</v>
      </c>
      <c r="F1967" s="2" t="str">
        <f>"0525425829"</f>
        <v>0525425829</v>
      </c>
      <c r="G1967" s="2" t="str">
        <f>"9780525425823"</f>
        <v>9780525425823</v>
      </c>
      <c r="H1967" s="1" t="s">
        <v>4916</v>
      </c>
      <c r="I1967" s="1" t="s">
        <v>31</v>
      </c>
      <c r="J1967" s="1">
        <v>84.0</v>
      </c>
      <c r="K1967" s="1">
        <v>2012.0</v>
      </c>
      <c r="L1967" s="1">
        <v>2012.0</v>
      </c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 t="s">
        <v>45</v>
      </c>
      <c r="Y1967" s="1" t="s">
        <v>7733</v>
      </c>
    </row>
    <row r="1968">
      <c r="A1968" s="1">
        <v>343265.0</v>
      </c>
      <c r="B1968" s="1" t="s">
        <v>7734</v>
      </c>
      <c r="C1968" s="1" t="s">
        <v>502</v>
      </c>
      <c r="D1968" s="1" t="s">
        <v>503</v>
      </c>
      <c r="E1968" s="1" t="s">
        <v>7416</v>
      </c>
      <c r="F1968" s="2" t="str">
        <f>"0307280640"</f>
        <v>0307280640</v>
      </c>
      <c r="G1968" s="2" t="str">
        <f>"9780307280640"</f>
        <v>9780307280640</v>
      </c>
      <c r="H1968" s="1" t="s">
        <v>7735</v>
      </c>
      <c r="I1968" s="1" t="s">
        <v>31</v>
      </c>
      <c r="J1968" s="1">
        <v>85.0</v>
      </c>
      <c r="L1968" s="1">
        <v>2004.0</v>
      </c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 t="s">
        <v>180</v>
      </c>
      <c r="Y1968" s="1" t="s">
        <v>7736</v>
      </c>
    </row>
    <row r="1969">
      <c r="A1969" s="1">
        <v>333322.0</v>
      </c>
      <c r="B1969" s="1" t="s">
        <v>7737</v>
      </c>
      <c r="C1969" s="1" t="s">
        <v>502</v>
      </c>
      <c r="D1969" s="1" t="s">
        <v>503</v>
      </c>
      <c r="E1969" s="1" t="s">
        <v>7416</v>
      </c>
      <c r="F1969" s="2" t="str">
        <f t="shared" ref="F1969:G1969" si="121">""</f>
        <v/>
      </c>
      <c r="G1969" s="2" t="str">
        <f t="shared" si="121"/>
        <v/>
      </c>
      <c r="H1969" s="1" t="s">
        <v>156</v>
      </c>
      <c r="I1969" s="1" t="s">
        <v>36</v>
      </c>
      <c r="J1969" s="1">
        <v>85.0</v>
      </c>
      <c r="K1969" s="1">
        <v>1996.0</v>
      </c>
      <c r="L1969" s="1">
        <v>1996.0</v>
      </c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 t="s">
        <v>180</v>
      </c>
      <c r="Y1969" s="1" t="s">
        <v>7738</v>
      </c>
    </row>
    <row r="1970">
      <c r="A1970" s="1">
        <v>6305996.0</v>
      </c>
      <c r="B1970" s="1" t="s">
        <v>7739</v>
      </c>
      <c r="C1970" s="1" t="s">
        <v>225</v>
      </c>
      <c r="D1970" s="1" t="s">
        <v>226</v>
      </c>
      <c r="E1970" s="1" t="s">
        <v>3159</v>
      </c>
      <c r="F1970" s="2" t="str">
        <f>"0763636444"</f>
        <v>0763636444</v>
      </c>
      <c r="G1970" s="2" t="str">
        <f>"9780763636449"</f>
        <v>9780763636449</v>
      </c>
      <c r="H1970" s="1" t="s">
        <v>945</v>
      </c>
      <c r="I1970" s="1" t="s">
        <v>31</v>
      </c>
      <c r="J1970" s="1">
        <v>86.0</v>
      </c>
      <c r="K1970" s="1">
        <v>2009.0</v>
      </c>
      <c r="L1970" s="1">
        <v>2009.0</v>
      </c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 t="s">
        <v>1397</v>
      </c>
      <c r="Y1970" s="1" t="s">
        <v>7740</v>
      </c>
    </row>
    <row r="1971">
      <c r="A1971" s="1">
        <v>1265681.0</v>
      </c>
      <c r="B1971" s="1" t="s">
        <v>7741</v>
      </c>
      <c r="C1971" s="1" t="s">
        <v>288</v>
      </c>
      <c r="D1971" s="1" t="s">
        <v>289</v>
      </c>
      <c r="E1971" s="1" t="s">
        <v>7742</v>
      </c>
      <c r="F1971" s="2" t="str">
        <f>"0060822252"</f>
        <v>0060822252</v>
      </c>
      <c r="G1971" s="2" t="str">
        <f>"9780060822255"</f>
        <v>9780060822255</v>
      </c>
      <c r="H1971" s="1" t="s">
        <v>290</v>
      </c>
      <c r="I1971" s="1" t="s">
        <v>36</v>
      </c>
      <c r="J1971" s="1">
        <v>86.0</v>
      </c>
      <c r="K1971" s="1">
        <v>2005.0</v>
      </c>
      <c r="L1971" s="1">
        <v>2005.0</v>
      </c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 t="s">
        <v>436</v>
      </c>
      <c r="Y1971" s="1" t="s">
        <v>7743</v>
      </c>
    </row>
    <row r="1972">
      <c r="A1972" s="1">
        <v>284092.0</v>
      </c>
      <c r="B1972" s="1" t="s">
        <v>7744</v>
      </c>
      <c r="C1972" s="1" t="s">
        <v>502</v>
      </c>
      <c r="D1972" s="1" t="s">
        <v>503</v>
      </c>
      <c r="E1972" s="1" t="s">
        <v>7416</v>
      </c>
      <c r="F1972" s="2" t="str">
        <f>"0375828079"</f>
        <v>0375828079</v>
      </c>
      <c r="G1972" s="2" t="str">
        <f>"9780375828072"</f>
        <v>9780375828072</v>
      </c>
      <c r="H1972" s="1" t="s">
        <v>156</v>
      </c>
      <c r="I1972" s="1" t="s">
        <v>36</v>
      </c>
      <c r="J1972" s="1">
        <v>86.0</v>
      </c>
      <c r="K1972" s="1">
        <v>2005.0</v>
      </c>
      <c r="L1972" s="1">
        <v>2004.0</v>
      </c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 t="s">
        <v>180</v>
      </c>
      <c r="Y1972" s="1" t="s">
        <v>7745</v>
      </c>
    </row>
    <row r="1973">
      <c r="A1973" s="1">
        <v>3.8592051E7</v>
      </c>
      <c r="B1973" s="1" t="s">
        <v>7746</v>
      </c>
      <c r="C1973" s="1" t="s">
        <v>7747</v>
      </c>
      <c r="D1973" s="1" t="s">
        <v>7748</v>
      </c>
      <c r="F1973" s="2" t="str">
        <f>"1788001591"</f>
        <v>1788001591</v>
      </c>
      <c r="G1973" s="2" t="str">
        <f>"9781788001595"</f>
        <v>9781788001595</v>
      </c>
      <c r="H1973" s="1" t="s">
        <v>7749</v>
      </c>
      <c r="I1973" s="1" t="s">
        <v>238</v>
      </c>
      <c r="J1973" s="1">
        <v>86.0</v>
      </c>
      <c r="K1973" s="1">
        <v>2018.0</v>
      </c>
      <c r="L1973" s="1">
        <v>2018.0</v>
      </c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 t="s">
        <v>45</v>
      </c>
      <c r="Y1973" s="1" t="s">
        <v>7750</v>
      </c>
    </row>
    <row r="1974">
      <c r="A1974" s="1">
        <v>48660.0</v>
      </c>
      <c r="B1974" s="1" t="s">
        <v>7751</v>
      </c>
      <c r="C1974" s="1" t="s">
        <v>7752</v>
      </c>
      <c r="D1974" s="1" t="s">
        <v>7753</v>
      </c>
      <c r="E1974" s="1" t="s">
        <v>7754</v>
      </c>
      <c r="F1974" s="2" t="str">
        <f>"1584857110"</f>
        <v>1584857110</v>
      </c>
      <c r="G1974" s="2" t="str">
        <f>"9781584857112"</f>
        <v>9781584857112</v>
      </c>
      <c r="H1974" s="1" t="s">
        <v>7755</v>
      </c>
      <c r="I1974" s="1" t="s">
        <v>36</v>
      </c>
      <c r="J1974" s="1">
        <v>87.0</v>
      </c>
      <c r="K1974" s="1">
        <v>2003.0</v>
      </c>
      <c r="L1974" s="1">
        <v>2003.0</v>
      </c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 t="s">
        <v>1195</v>
      </c>
      <c r="Y1974" s="1" t="s">
        <v>7756</v>
      </c>
    </row>
    <row r="1975">
      <c r="A1975" s="1">
        <v>6228593.0</v>
      </c>
      <c r="B1975" s="1" t="s">
        <v>7757</v>
      </c>
      <c r="C1975" s="1" t="s">
        <v>7758</v>
      </c>
      <c r="D1975" s="1" t="s">
        <v>7759</v>
      </c>
      <c r="E1975" s="1" t="s">
        <v>7760</v>
      </c>
      <c r="F1975" s="2" t="str">
        <f>"1935279017"</f>
        <v>1935279017</v>
      </c>
      <c r="G1975" s="2" t="str">
        <f>"9781935279013"</f>
        <v>9781935279013</v>
      </c>
      <c r="H1975" s="1" t="s">
        <v>1744</v>
      </c>
      <c r="I1975" s="1" t="s">
        <v>36</v>
      </c>
      <c r="J1975" s="1">
        <v>87.0</v>
      </c>
      <c r="K1975" s="1">
        <v>2009.0</v>
      </c>
      <c r="L1975" s="1">
        <v>2008.0</v>
      </c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 t="s">
        <v>302</v>
      </c>
      <c r="Y1975" s="1" t="s">
        <v>7761</v>
      </c>
    </row>
    <row r="1976">
      <c r="A1976" s="1">
        <v>3.4034991E7</v>
      </c>
      <c r="B1976" s="1" t="s">
        <v>7762</v>
      </c>
      <c r="C1976" s="1" t="s">
        <v>7607</v>
      </c>
      <c r="D1976" s="1" t="s">
        <v>7608</v>
      </c>
      <c r="F1976" s="2" t="str">
        <f>"1338035290"</f>
        <v>1338035290</v>
      </c>
      <c r="G1976" s="2" t="str">
        <f>"9781338035292"</f>
        <v>9781338035292</v>
      </c>
      <c r="H1976" s="1" t="s">
        <v>817</v>
      </c>
      <c r="I1976" s="1" t="s">
        <v>238</v>
      </c>
      <c r="J1976" s="1">
        <v>88.0</v>
      </c>
      <c r="K1976" s="1">
        <v>2017.0</v>
      </c>
      <c r="L1976" s="1">
        <v>2017.0</v>
      </c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 t="s">
        <v>7609</v>
      </c>
      <c r="Y1976" s="1" t="s">
        <v>7763</v>
      </c>
    </row>
    <row r="1977">
      <c r="A1977" s="1">
        <v>2.9092951E7</v>
      </c>
      <c r="B1977" s="1" t="s">
        <v>7764</v>
      </c>
      <c r="C1977" s="1" t="s">
        <v>6733</v>
      </c>
      <c r="D1977" s="1" t="s">
        <v>6734</v>
      </c>
      <c r="E1977" s="1" t="s">
        <v>7765</v>
      </c>
      <c r="F1977" s="2" t="str">
        <f>"0763665126"</f>
        <v>0763665126</v>
      </c>
      <c r="G1977" s="2" t="str">
        <f>"9780763665128"</f>
        <v>9780763665128</v>
      </c>
      <c r="H1977" s="1" t="s">
        <v>7766</v>
      </c>
      <c r="I1977" s="1" t="s">
        <v>31</v>
      </c>
      <c r="J1977" s="1">
        <v>88.0</v>
      </c>
      <c r="K1977" s="1">
        <v>2016.0</v>
      </c>
      <c r="L1977" s="1">
        <v>2016.0</v>
      </c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 t="s">
        <v>1397</v>
      </c>
      <c r="Y1977" s="1" t="s">
        <v>7767</v>
      </c>
    </row>
    <row r="1978">
      <c r="A1978" s="1">
        <v>3.5488059E7</v>
      </c>
      <c r="B1978" s="1" t="s">
        <v>7768</v>
      </c>
      <c r="C1978" s="1" t="s">
        <v>2874</v>
      </c>
      <c r="D1978" s="1" t="s">
        <v>7769</v>
      </c>
      <c r="F1978" s="2" t="str">
        <f>"0316475114"</f>
        <v>0316475114</v>
      </c>
      <c r="G1978" s="2" t="str">
        <f>"9780316475112"</f>
        <v>9780316475112</v>
      </c>
      <c r="H1978" s="1" t="s">
        <v>112</v>
      </c>
      <c r="I1978" s="1" t="s">
        <v>31</v>
      </c>
      <c r="J1978" s="1">
        <v>88.0</v>
      </c>
      <c r="K1978" s="1">
        <v>2017.0</v>
      </c>
      <c r="L1978" s="1">
        <v>2017.0</v>
      </c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 t="s">
        <v>1195</v>
      </c>
      <c r="Y1978" s="1" t="s">
        <v>7770</v>
      </c>
    </row>
    <row r="1979">
      <c r="A1979" s="1">
        <v>2.838658E7</v>
      </c>
      <c r="B1979" s="1" t="s">
        <v>7771</v>
      </c>
      <c r="C1979" s="1" t="s">
        <v>7772</v>
      </c>
      <c r="D1979" s="1" t="s">
        <v>7773</v>
      </c>
      <c r="F1979" s="2" t="str">
        <f>"9706832890"</f>
        <v>9706832890</v>
      </c>
      <c r="G1979" s="2" t="str">
        <f>"9789706832894"</f>
        <v>9789706832894</v>
      </c>
      <c r="H1979" s="1" t="s">
        <v>7774</v>
      </c>
      <c r="I1979" s="1" t="s">
        <v>31</v>
      </c>
      <c r="J1979" s="1">
        <v>88.0</v>
      </c>
      <c r="K1979" s="1">
        <v>2008.0</v>
      </c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 t="s">
        <v>1466</v>
      </c>
      <c r="Y1979" s="1" t="s">
        <v>7775</v>
      </c>
    </row>
    <row r="1980">
      <c r="A1980" s="1">
        <v>6623903.0</v>
      </c>
      <c r="B1980" s="1" t="s">
        <v>7776</v>
      </c>
      <c r="C1980" s="1" t="s">
        <v>502</v>
      </c>
      <c r="D1980" s="1" t="s">
        <v>503</v>
      </c>
      <c r="E1980" s="1" t="s">
        <v>7416</v>
      </c>
      <c r="F1980" s="2" t="str">
        <f t="shared" ref="F1980:G1980" si="122">""</f>
        <v/>
      </c>
      <c r="G1980" s="2" t="str">
        <f t="shared" si="122"/>
        <v/>
      </c>
      <c r="I1980" s="1" t="s">
        <v>238</v>
      </c>
      <c r="J1980" s="1">
        <v>88.0</v>
      </c>
      <c r="L1980" s="1">
        <v>2001.0</v>
      </c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 t="s">
        <v>852</v>
      </c>
      <c r="Y1980" s="1" t="s">
        <v>7777</v>
      </c>
    </row>
    <row r="1981">
      <c r="A1981" s="1">
        <v>2.3947971E7</v>
      </c>
      <c r="B1981" s="1" t="s">
        <v>7778</v>
      </c>
      <c r="C1981" s="1" t="s">
        <v>7779</v>
      </c>
      <c r="D1981" s="1" t="s">
        <v>7780</v>
      </c>
      <c r="E1981" s="1" t="s">
        <v>7041</v>
      </c>
      <c r="F1981" s="2" t="str">
        <f>"143426372X"</f>
        <v>143426372X</v>
      </c>
      <c r="G1981" s="2" t="str">
        <f>"9781434263728"</f>
        <v>9781434263728</v>
      </c>
      <c r="H1981" s="1" t="s">
        <v>6822</v>
      </c>
      <c r="I1981" s="1" t="s">
        <v>238</v>
      </c>
      <c r="J1981" s="1">
        <v>88.0</v>
      </c>
      <c r="K1981" s="1">
        <v>2014.0</v>
      </c>
      <c r="L1981" s="1">
        <v>2014.0</v>
      </c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 t="s">
        <v>7781</v>
      </c>
      <c r="Y1981" s="1" t="s">
        <v>7782</v>
      </c>
    </row>
    <row r="1982">
      <c r="A1982" s="1">
        <v>1.62154964E8</v>
      </c>
      <c r="B1982" s="1" t="s">
        <v>7783</v>
      </c>
      <c r="C1982" s="1" t="s">
        <v>2733</v>
      </c>
      <c r="D1982" s="1" t="s">
        <v>2734</v>
      </c>
      <c r="E1982" s="1" t="s">
        <v>7784</v>
      </c>
      <c r="F1982" s="2" t="str">
        <f t="shared" ref="F1982:G1982" si="123">""</f>
        <v/>
      </c>
      <c r="G1982" s="2" t="str">
        <f t="shared" si="123"/>
        <v/>
      </c>
      <c r="H1982" s="1" t="s">
        <v>7785</v>
      </c>
      <c r="I1982" s="1" t="s">
        <v>108</v>
      </c>
      <c r="J1982" s="1">
        <v>90.0</v>
      </c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 t="s">
        <v>7786</v>
      </c>
      <c r="Y1982" s="1" t="s">
        <v>7787</v>
      </c>
    </row>
    <row r="1983">
      <c r="A1983" s="1">
        <v>2.5074773E7</v>
      </c>
      <c r="B1983" s="1" t="s">
        <v>7788</v>
      </c>
      <c r="C1983" s="1" t="s">
        <v>6733</v>
      </c>
      <c r="D1983" s="1" t="s">
        <v>6734</v>
      </c>
      <c r="E1983" s="1" t="s">
        <v>7765</v>
      </c>
      <c r="F1983" s="2" t="str">
        <f>"0763665118"</f>
        <v>0763665118</v>
      </c>
      <c r="G1983" s="2" t="str">
        <f>"9780763665111"</f>
        <v>9780763665111</v>
      </c>
      <c r="H1983" s="1" t="s">
        <v>945</v>
      </c>
      <c r="I1983" s="1" t="s">
        <v>31</v>
      </c>
      <c r="J1983" s="1">
        <v>90.0</v>
      </c>
      <c r="K1983" s="1">
        <v>2015.0</v>
      </c>
      <c r="L1983" s="1">
        <v>2015.0</v>
      </c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 t="s">
        <v>1397</v>
      </c>
      <c r="Y1983" s="1" t="s">
        <v>7789</v>
      </c>
    </row>
    <row r="1984">
      <c r="A1984" s="1">
        <v>2.0708771E7</v>
      </c>
      <c r="B1984" s="1" t="s">
        <v>7790</v>
      </c>
      <c r="C1984" s="1" t="s">
        <v>6733</v>
      </c>
      <c r="D1984" s="1" t="s">
        <v>6734</v>
      </c>
      <c r="E1984" s="1" t="s">
        <v>7765</v>
      </c>
      <c r="F1984" s="2" t="str">
        <f>"076366510X"</f>
        <v>076366510X</v>
      </c>
      <c r="G1984" s="2" t="str">
        <f>"9780763665104"</f>
        <v>9780763665104</v>
      </c>
      <c r="H1984" s="1" t="s">
        <v>945</v>
      </c>
      <c r="I1984" s="1" t="s">
        <v>31</v>
      </c>
      <c r="J1984" s="1">
        <v>90.0</v>
      </c>
      <c r="K1984" s="1">
        <v>2014.0</v>
      </c>
      <c r="L1984" s="1">
        <v>2014.0</v>
      </c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 t="s">
        <v>7354</v>
      </c>
      <c r="Y1984" s="1" t="s">
        <v>7791</v>
      </c>
    </row>
    <row r="1985">
      <c r="A1985" s="1">
        <v>3.521403E7</v>
      </c>
      <c r="B1985" s="1" t="s">
        <v>7792</v>
      </c>
      <c r="C1985" s="1" t="s">
        <v>7793</v>
      </c>
      <c r="D1985" s="1" t="s">
        <v>7794</v>
      </c>
      <c r="E1985" s="1" t="s">
        <v>7795</v>
      </c>
      <c r="F1985" s="2" t="str">
        <f>"0451533410"</f>
        <v>0451533410</v>
      </c>
      <c r="G1985" s="2" t="str">
        <f>"9780451533418"</f>
        <v>9780451533418</v>
      </c>
      <c r="H1985" s="1" t="s">
        <v>2014</v>
      </c>
      <c r="I1985" s="1" t="s">
        <v>238</v>
      </c>
      <c r="J1985" s="1">
        <v>90.0</v>
      </c>
      <c r="K1985" s="1">
        <v>2017.0</v>
      </c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 t="s">
        <v>458</v>
      </c>
      <c r="Y1985" s="1" t="s">
        <v>7796</v>
      </c>
    </row>
    <row r="1986">
      <c r="A1986" s="1">
        <v>8486807.0</v>
      </c>
      <c r="B1986" s="1" t="s">
        <v>7797</v>
      </c>
      <c r="C1986" s="1" t="s">
        <v>502</v>
      </c>
      <c r="D1986" s="1" t="s">
        <v>503</v>
      </c>
      <c r="E1986" s="1" t="s">
        <v>7416</v>
      </c>
      <c r="F1986" s="2" t="str">
        <f>"0545014476"</f>
        <v>0545014476</v>
      </c>
      <c r="G1986" s="2" t="str">
        <f>"9780545014472"</f>
        <v>9780545014472</v>
      </c>
      <c r="H1986" s="1" t="s">
        <v>50</v>
      </c>
      <c r="I1986" s="1" t="s">
        <v>36</v>
      </c>
      <c r="J1986" s="1">
        <v>90.0</v>
      </c>
      <c r="K1986" s="1">
        <v>2007.0</v>
      </c>
      <c r="L1986" s="1">
        <v>2003.0</v>
      </c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 t="s">
        <v>7798</v>
      </c>
      <c r="Y1986" s="1" t="s">
        <v>7799</v>
      </c>
    </row>
    <row r="1987">
      <c r="A1987" s="1">
        <v>8034642.0</v>
      </c>
      <c r="B1987" s="1" t="s">
        <v>7800</v>
      </c>
      <c r="C1987" s="1" t="s">
        <v>7801</v>
      </c>
      <c r="D1987" s="1" t="s">
        <v>7802</v>
      </c>
      <c r="F1987" s="2" t="str">
        <f>"1571457186"</f>
        <v>1571457186</v>
      </c>
      <c r="G1987" s="2" t="str">
        <f>"9781571457189"</f>
        <v>9781571457189</v>
      </c>
      <c r="H1987" s="1" t="s">
        <v>7803</v>
      </c>
      <c r="I1987" s="1" t="s">
        <v>31</v>
      </c>
      <c r="J1987" s="1">
        <v>90.0</v>
      </c>
      <c r="K1987" s="1">
        <v>2009.0</v>
      </c>
      <c r="L1987" s="1">
        <v>2009.0</v>
      </c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 t="s">
        <v>116</v>
      </c>
      <c r="Y1987" s="1" t="s">
        <v>7804</v>
      </c>
    </row>
    <row r="1988">
      <c r="A1988" s="1">
        <v>6.6343442E7</v>
      </c>
      <c r="B1988" s="1" t="s">
        <v>7805</v>
      </c>
      <c r="C1988" s="1" t="s">
        <v>7806</v>
      </c>
      <c r="D1988" s="1" t="s">
        <v>7807</v>
      </c>
      <c r="F1988" s="2" t="str">
        <f>"8413374170"</f>
        <v>8413374170</v>
      </c>
      <c r="G1988" s="2" t="str">
        <f>"9788413374178"</f>
        <v>9788413374178</v>
      </c>
      <c r="H1988" s="1" t="s">
        <v>7808</v>
      </c>
      <c r="I1988" s="1" t="s">
        <v>36</v>
      </c>
      <c r="J1988" s="1">
        <v>92.0</v>
      </c>
      <c r="K1988" s="1">
        <v>2020.0</v>
      </c>
      <c r="L1988" s="1">
        <v>1816.0</v>
      </c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 t="s">
        <v>7786</v>
      </c>
      <c r="Y1988" s="1" t="s">
        <v>7809</v>
      </c>
    </row>
    <row r="1989">
      <c r="A1989" s="1">
        <v>5.5988909E7</v>
      </c>
      <c r="B1989" s="1" t="s">
        <v>7810</v>
      </c>
      <c r="C1989" s="1" t="s">
        <v>7811</v>
      </c>
      <c r="D1989" s="1" t="s">
        <v>7812</v>
      </c>
      <c r="F1989" s="2" t="str">
        <f>"164739757X"</f>
        <v>164739757X</v>
      </c>
      <c r="G1989" s="2" t="str">
        <f>"9781647397579"</f>
        <v>9781647397579</v>
      </c>
      <c r="H1989" s="1" t="s">
        <v>7538</v>
      </c>
      <c r="I1989" s="1" t="s">
        <v>36</v>
      </c>
      <c r="J1989" s="1">
        <v>92.0</v>
      </c>
      <c r="K1989" s="1">
        <v>2020.0</v>
      </c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 t="s">
        <v>1024</v>
      </c>
      <c r="Y1989" s="1" t="s">
        <v>7813</v>
      </c>
    </row>
    <row r="1990">
      <c r="A1990" s="1">
        <v>2.5282688E7</v>
      </c>
      <c r="B1990" s="1" t="s">
        <v>7814</v>
      </c>
      <c r="C1990" s="1" t="s">
        <v>7815</v>
      </c>
      <c r="D1990" s="1" t="s">
        <v>7816</v>
      </c>
      <c r="F1990" s="2" t="str">
        <f t="shared" ref="F1990:G1990" si="124">""</f>
        <v/>
      </c>
      <c r="G1990" s="2" t="str">
        <f t="shared" si="124"/>
        <v/>
      </c>
      <c r="H1990" s="1" t="s">
        <v>7817</v>
      </c>
      <c r="I1990" s="1" t="s">
        <v>238</v>
      </c>
      <c r="J1990" s="1">
        <v>94.0</v>
      </c>
      <c r="K1990" s="1">
        <v>2013.0</v>
      </c>
      <c r="L1990" s="1">
        <v>2013.0</v>
      </c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 t="s">
        <v>96</v>
      </c>
      <c r="Y1990" s="1" t="s">
        <v>7818</v>
      </c>
    </row>
    <row r="1991">
      <c r="A1991" s="1">
        <v>3929249.0</v>
      </c>
      <c r="B1991" s="1" t="s">
        <v>7819</v>
      </c>
      <c r="C1991" s="1" t="s">
        <v>7820</v>
      </c>
      <c r="D1991" s="1" t="s">
        <v>7821</v>
      </c>
      <c r="E1991" s="1" t="s">
        <v>5314</v>
      </c>
      <c r="F1991" s="2" t="str">
        <f>"1407227475"</f>
        <v>1407227475</v>
      </c>
      <c r="G1991" s="2" t="str">
        <f>"9781407227474"</f>
        <v>9781407227474</v>
      </c>
      <c r="H1991" s="1" t="s">
        <v>7822</v>
      </c>
      <c r="I1991" s="1" t="s">
        <v>36</v>
      </c>
      <c r="J1991" s="1">
        <v>95.0</v>
      </c>
      <c r="K1991" s="1">
        <v>2008.0</v>
      </c>
      <c r="L1991" s="1">
        <v>2008.0</v>
      </c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 t="s">
        <v>302</v>
      </c>
      <c r="Y1991" s="1" t="s">
        <v>7823</v>
      </c>
    </row>
    <row r="1992">
      <c r="A1992" s="1">
        <v>4.9090486E7</v>
      </c>
      <c r="B1992" s="1" t="s">
        <v>7824</v>
      </c>
      <c r="C1992" s="1" t="s">
        <v>7825</v>
      </c>
      <c r="D1992" s="1" t="s">
        <v>7826</v>
      </c>
      <c r="E1992" s="1" t="s">
        <v>7827</v>
      </c>
      <c r="F1992" s="2" t="str">
        <f>"1338665111"</f>
        <v>1338665111</v>
      </c>
      <c r="G1992" s="2" t="str">
        <f>"9781338665116"</f>
        <v>9781338665116</v>
      </c>
      <c r="H1992" s="1" t="s">
        <v>640</v>
      </c>
      <c r="I1992" s="1" t="s">
        <v>31</v>
      </c>
      <c r="J1992" s="1">
        <v>96.0</v>
      </c>
      <c r="K1992" s="1">
        <v>2021.0</v>
      </c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 t="s">
        <v>7828</v>
      </c>
      <c r="Y1992" s="1" t="s">
        <v>7829</v>
      </c>
    </row>
    <row r="1993">
      <c r="A1993" s="1">
        <v>4.084728E7</v>
      </c>
      <c r="B1993" s="1" t="s">
        <v>7830</v>
      </c>
      <c r="C1993" s="1" t="s">
        <v>5466</v>
      </c>
      <c r="D1993" s="1" t="s">
        <v>5467</v>
      </c>
      <c r="E1993" s="1" t="s">
        <v>7831</v>
      </c>
      <c r="F1993" s="2" t="str">
        <f>"0451481046"</f>
        <v>0451481046</v>
      </c>
      <c r="G1993" s="2" t="str">
        <f>"9780451481047"</f>
        <v>9780451481047</v>
      </c>
      <c r="H1993" s="1" t="s">
        <v>753</v>
      </c>
      <c r="I1993" s="1" t="s">
        <v>36</v>
      </c>
      <c r="J1993" s="1">
        <v>96.0</v>
      </c>
      <c r="K1993" s="1">
        <v>2019.0</v>
      </c>
      <c r="L1993" s="1">
        <v>2019.0</v>
      </c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 t="s">
        <v>291</v>
      </c>
      <c r="Y1993" s="1" t="s">
        <v>7832</v>
      </c>
    </row>
    <row r="1994">
      <c r="A1994" s="1">
        <v>3.3946746E7</v>
      </c>
      <c r="B1994" s="1" t="s">
        <v>7833</v>
      </c>
      <c r="C1994" s="1" t="s">
        <v>7834</v>
      </c>
      <c r="D1994" s="1" t="s">
        <v>7835</v>
      </c>
      <c r="F1994" s="2" t="str">
        <f>"1784881325"</f>
        <v>1784881325</v>
      </c>
      <c r="G1994" s="2" t="str">
        <f>"9781784881320"</f>
        <v>9781784881320</v>
      </c>
      <c r="H1994" s="1" t="s">
        <v>7836</v>
      </c>
      <c r="I1994" s="1" t="s">
        <v>31</v>
      </c>
      <c r="J1994" s="1">
        <v>96.0</v>
      </c>
      <c r="K1994" s="1">
        <v>2017.0</v>
      </c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 t="s">
        <v>1466</v>
      </c>
      <c r="Y1994" s="1" t="s">
        <v>7837</v>
      </c>
    </row>
    <row r="1995">
      <c r="A1995" s="1">
        <v>615244.0</v>
      </c>
      <c r="B1995" s="1" t="s">
        <v>7838</v>
      </c>
      <c r="C1995" s="1" t="s">
        <v>2110</v>
      </c>
      <c r="D1995" s="1" t="s">
        <v>2111</v>
      </c>
      <c r="F1995" s="2" t="str">
        <f>"0439725267"</f>
        <v>0439725267</v>
      </c>
      <c r="G1995" s="2" t="str">
        <f>"9780439725262"</f>
        <v>9780439725262</v>
      </c>
      <c r="H1995" s="1" t="s">
        <v>50</v>
      </c>
      <c r="I1995" s="1" t="s">
        <v>31</v>
      </c>
      <c r="J1995" s="1">
        <v>96.0</v>
      </c>
      <c r="K1995" s="1">
        <v>2005.0</v>
      </c>
      <c r="L1995" s="1">
        <v>1972.0</v>
      </c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 t="s">
        <v>1839</v>
      </c>
      <c r="Y1995" s="1" t="s">
        <v>7839</v>
      </c>
    </row>
    <row r="1996">
      <c r="A1996" s="1">
        <v>348564.0</v>
      </c>
      <c r="B1996" s="1" t="s">
        <v>7840</v>
      </c>
      <c r="C1996" s="1" t="s">
        <v>176</v>
      </c>
      <c r="D1996" s="1" t="s">
        <v>177</v>
      </c>
      <c r="E1996" s="1" t="s">
        <v>2715</v>
      </c>
      <c r="F1996" s="2" t="str">
        <f>"0060097914"</f>
        <v>0060097914</v>
      </c>
      <c r="G1996" s="2" t="str">
        <f>"9780060097912"</f>
        <v>9780060097912</v>
      </c>
      <c r="H1996" s="1" t="s">
        <v>290</v>
      </c>
      <c r="I1996" s="1" t="s">
        <v>36</v>
      </c>
      <c r="J1996" s="1">
        <v>96.0</v>
      </c>
      <c r="K1996" s="1">
        <v>2003.0</v>
      </c>
      <c r="L1996" s="1">
        <v>1964.0</v>
      </c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 t="s">
        <v>45</v>
      </c>
      <c r="Y1996" s="1" t="s">
        <v>7841</v>
      </c>
    </row>
    <row r="1997">
      <c r="A1997" s="1">
        <v>123902.0</v>
      </c>
      <c r="B1997" s="1" t="s">
        <v>7842</v>
      </c>
      <c r="C1997" s="1" t="s">
        <v>1021</v>
      </c>
      <c r="D1997" s="1" t="s">
        <v>1022</v>
      </c>
      <c r="E1997" s="1" t="s">
        <v>7843</v>
      </c>
      <c r="F1997" s="2" t="str">
        <f>"0698118553"</f>
        <v>0698118553</v>
      </c>
      <c r="G1997" s="2" t="str">
        <f>"9780698118553"</f>
        <v>9780698118553</v>
      </c>
      <c r="H1997" s="1" t="s">
        <v>1023</v>
      </c>
      <c r="I1997" s="1" t="s">
        <v>36</v>
      </c>
      <c r="J1997" s="1">
        <v>96.0</v>
      </c>
      <c r="K1997" s="1">
        <v>1999.0</v>
      </c>
      <c r="L1997" s="1">
        <v>1989.0</v>
      </c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 t="s">
        <v>7844</v>
      </c>
      <c r="Y1997" s="1" t="s">
        <v>7845</v>
      </c>
    </row>
    <row r="1998">
      <c r="A1998" s="1">
        <v>2.7220633E7</v>
      </c>
      <c r="B1998" s="1" t="s">
        <v>7846</v>
      </c>
      <c r="C1998" s="1" t="s">
        <v>7847</v>
      </c>
      <c r="D1998" s="1" t="s">
        <v>7848</v>
      </c>
      <c r="E1998" s="1" t="s">
        <v>7849</v>
      </c>
      <c r="F1998" s="2" t="str">
        <f>"1338038427"</f>
        <v>1338038427</v>
      </c>
      <c r="G1998" s="2" t="str">
        <f>"9781338038422"</f>
        <v>9781338038422</v>
      </c>
      <c r="H1998" s="1" t="s">
        <v>1575</v>
      </c>
      <c r="I1998" s="1" t="s">
        <v>36</v>
      </c>
      <c r="J1998" s="1">
        <v>96.0</v>
      </c>
      <c r="K1998" s="1">
        <v>2016.0</v>
      </c>
      <c r="L1998" s="1">
        <v>2014.0</v>
      </c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 t="s">
        <v>250</v>
      </c>
      <c r="Y1998" s="1" t="s">
        <v>7850</v>
      </c>
    </row>
    <row r="1999">
      <c r="A1999" s="1">
        <v>3.0254929E7</v>
      </c>
      <c r="B1999" s="1" t="s">
        <v>7851</v>
      </c>
      <c r="C1999" s="1" t="s">
        <v>7847</v>
      </c>
      <c r="D1999" s="1" t="s">
        <v>7848</v>
      </c>
      <c r="E1999" s="1" t="s">
        <v>7849</v>
      </c>
      <c r="F1999" s="2" t="str">
        <f>"1338114387"</f>
        <v>1338114387</v>
      </c>
      <c r="G1999" s="2" t="str">
        <f>"9781338114386"</f>
        <v>9781338114386</v>
      </c>
      <c r="H1999" s="1" t="s">
        <v>1575</v>
      </c>
      <c r="I1999" s="1" t="s">
        <v>36</v>
      </c>
      <c r="J1999" s="1">
        <v>96.0</v>
      </c>
      <c r="K1999" s="1">
        <v>2016.0</v>
      </c>
      <c r="L1999" s="1">
        <v>2014.0</v>
      </c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 t="s">
        <v>250</v>
      </c>
      <c r="Y1999" s="1" t="s">
        <v>7852</v>
      </c>
    </row>
    <row r="2000">
      <c r="A2000" s="1">
        <v>2.6798314E7</v>
      </c>
      <c r="B2000" s="1" t="s">
        <v>7853</v>
      </c>
      <c r="C2000" s="1" t="s">
        <v>7854</v>
      </c>
      <c r="D2000" s="1" t="s">
        <v>7855</v>
      </c>
      <c r="F2000" s="2" t="str">
        <f>"0192743333"</f>
        <v>0192743333</v>
      </c>
      <c r="G2000" s="2" t="str">
        <f>"9780192743336"</f>
        <v>9780192743336</v>
      </c>
      <c r="H2000" s="1" t="s">
        <v>7856</v>
      </c>
      <c r="I2000" s="1" t="s">
        <v>36</v>
      </c>
      <c r="J2000" s="1">
        <v>96.0</v>
      </c>
      <c r="K2000" s="1">
        <v>1800.0</v>
      </c>
      <c r="L2000" s="1">
        <v>2015.0</v>
      </c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 t="s">
        <v>45</v>
      </c>
      <c r="Y2000" s="1" t="s">
        <v>7857</v>
      </c>
    </row>
    <row r="2001">
      <c r="A2001" s="1">
        <v>4.0176768E7</v>
      </c>
      <c r="B2001" s="1" t="s">
        <v>7858</v>
      </c>
      <c r="C2001" s="1" t="s">
        <v>1430</v>
      </c>
      <c r="D2001" s="1" t="s">
        <v>1431</v>
      </c>
      <c r="E2001" s="1" t="s">
        <v>7859</v>
      </c>
      <c r="F2001" s="2" t="str">
        <f>"168297216X"</f>
        <v>168297216X</v>
      </c>
      <c r="G2001" s="2" t="str">
        <f>"9781682972168"</f>
        <v>9781682972168</v>
      </c>
      <c r="H2001" s="1" t="s">
        <v>7860</v>
      </c>
      <c r="I2001" s="1" t="s">
        <v>36</v>
      </c>
      <c r="J2001" s="1">
        <v>96.0</v>
      </c>
      <c r="K2001" s="1">
        <v>2017.0</v>
      </c>
      <c r="L2001" s="1">
        <v>2017.0</v>
      </c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1" t="s">
        <v>96</v>
      </c>
      <c r="Y2001" s="1" t="s">
        <v>7861</v>
      </c>
    </row>
    <row r="2002">
      <c r="A2002" s="1">
        <v>1.4630929E8</v>
      </c>
      <c r="B2002" s="1" t="s">
        <v>7862</v>
      </c>
      <c r="C2002" s="1" t="s">
        <v>7863</v>
      </c>
      <c r="D2002" s="1" t="s">
        <v>7864</v>
      </c>
      <c r="F2002" s="2" t="str">
        <f t="shared" ref="F2002:G2002" si="125">""</f>
        <v/>
      </c>
      <c r="G2002" s="2" t="str">
        <f t="shared" si="125"/>
        <v/>
      </c>
      <c r="H2002" s="1" t="s">
        <v>6683</v>
      </c>
      <c r="I2002" s="1" t="s">
        <v>36</v>
      </c>
      <c r="J2002" s="1">
        <v>96.0</v>
      </c>
      <c r="K2002" s="1">
        <v>2017.0</v>
      </c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  <c r="X2002" s="1" t="s">
        <v>380</v>
      </c>
      <c r="Y2002" s="1" t="s">
        <v>7865</v>
      </c>
    </row>
    <row r="2003">
      <c r="A2003" s="1">
        <v>1.726526E7</v>
      </c>
      <c r="B2003" s="1" t="s">
        <v>7866</v>
      </c>
      <c r="C2003" s="1" t="s">
        <v>7867</v>
      </c>
      <c r="D2003" s="1" t="s">
        <v>7868</v>
      </c>
      <c r="F2003" s="2" t="str">
        <f>"0545493250"</f>
        <v>0545493250</v>
      </c>
      <c r="G2003" s="2" t="str">
        <f>"9780545493253"</f>
        <v>9780545493253</v>
      </c>
      <c r="H2003" s="1" t="s">
        <v>817</v>
      </c>
      <c r="I2003" s="1" t="s">
        <v>36</v>
      </c>
      <c r="J2003" s="1">
        <v>96.0</v>
      </c>
      <c r="K2003" s="1">
        <v>2013.0</v>
      </c>
      <c r="L2003" s="1">
        <v>2013.0</v>
      </c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  <c r="X2003" s="1" t="s">
        <v>250</v>
      </c>
      <c r="Y2003" s="1" t="s">
        <v>7869</v>
      </c>
    </row>
    <row r="2004">
      <c r="A2004" s="1">
        <v>1.6280926E7</v>
      </c>
      <c r="B2004" s="1" t="s">
        <v>7870</v>
      </c>
      <c r="C2004" s="1" t="s">
        <v>7867</v>
      </c>
      <c r="D2004" s="1" t="s">
        <v>7868</v>
      </c>
      <c r="F2004" s="2" t="str">
        <f>"0545493234"</f>
        <v>0545493234</v>
      </c>
      <c r="G2004" s="2" t="str">
        <f>"9780545493239"</f>
        <v>9780545493239</v>
      </c>
      <c r="H2004" s="1" t="s">
        <v>817</v>
      </c>
      <c r="I2004" s="1" t="s">
        <v>36</v>
      </c>
      <c r="J2004" s="1">
        <v>96.0</v>
      </c>
      <c r="K2004" s="1">
        <v>2013.0</v>
      </c>
      <c r="L2004" s="1">
        <v>2013.0</v>
      </c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  <c r="X2004" s="1" t="s">
        <v>250</v>
      </c>
      <c r="Y2004" s="1" t="s">
        <v>7871</v>
      </c>
    </row>
    <row r="2005">
      <c r="A2005" s="1">
        <v>31456.0</v>
      </c>
      <c r="B2005" s="1" t="s">
        <v>7872</v>
      </c>
      <c r="C2005" s="1" t="s">
        <v>7426</v>
      </c>
      <c r="D2005" s="1" t="s">
        <v>7427</v>
      </c>
      <c r="E2005" s="1" t="s">
        <v>5428</v>
      </c>
      <c r="F2005" s="2" t="str">
        <f>"0141318309"</f>
        <v>0141318309</v>
      </c>
      <c r="G2005" s="2" t="str">
        <f>"9780141318301"</f>
        <v>9780141318301</v>
      </c>
      <c r="H2005" s="1" t="s">
        <v>753</v>
      </c>
      <c r="I2005" s="1" t="s">
        <v>36</v>
      </c>
      <c r="J2005" s="1">
        <v>96.0</v>
      </c>
      <c r="K2005" s="1">
        <v>2004.0</v>
      </c>
      <c r="L2005" s="1">
        <v>1980.0</v>
      </c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  <c r="X2005" s="1" t="s">
        <v>45</v>
      </c>
      <c r="Y2005" s="1" t="s">
        <v>7873</v>
      </c>
    </row>
    <row r="2006">
      <c r="A2006" s="1">
        <v>4.9947861E7</v>
      </c>
      <c r="B2006" s="1" t="s">
        <v>7874</v>
      </c>
      <c r="C2006" s="1" t="s">
        <v>7875</v>
      </c>
      <c r="D2006" s="1" t="s">
        <v>7876</v>
      </c>
      <c r="F2006" s="2" t="str">
        <f>"0711241236"</f>
        <v>0711241236</v>
      </c>
      <c r="G2006" s="2" t="str">
        <f>"9780711241237"</f>
        <v>9780711241237</v>
      </c>
      <c r="I2006" s="1" t="s">
        <v>36</v>
      </c>
      <c r="J2006" s="1">
        <v>96.0</v>
      </c>
      <c r="K2006" s="1">
        <v>2018.0</v>
      </c>
      <c r="L2006" s="1">
        <v>2018.0</v>
      </c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1"/>
      <c r="X2006" s="1" t="s">
        <v>96</v>
      </c>
      <c r="Y2006" s="1" t="s">
        <v>7877</v>
      </c>
    </row>
    <row r="2007">
      <c r="A2007" s="1">
        <v>2.3395687E7</v>
      </c>
      <c r="B2007" s="1" t="s">
        <v>7878</v>
      </c>
      <c r="C2007" s="1" t="s">
        <v>7879</v>
      </c>
      <c r="D2007" s="1" t="s">
        <v>7880</v>
      </c>
      <c r="F2007" s="2" t="str">
        <f>"055351170X"</f>
        <v>055351170X</v>
      </c>
      <c r="G2007" s="2" t="str">
        <f>"9780553511703"</f>
        <v>9780553511703</v>
      </c>
      <c r="H2007" s="1" t="s">
        <v>156</v>
      </c>
      <c r="I2007" s="1" t="s">
        <v>36</v>
      </c>
      <c r="J2007" s="1">
        <v>96.0</v>
      </c>
      <c r="K2007" s="1">
        <v>2015.0</v>
      </c>
      <c r="L2007" s="1">
        <v>2015.0</v>
      </c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  <c r="X2007" s="1" t="s">
        <v>7111</v>
      </c>
      <c r="Y2007" s="1" t="s">
        <v>7881</v>
      </c>
    </row>
    <row r="2008">
      <c r="A2008" s="1">
        <v>5.4776188E7</v>
      </c>
      <c r="B2008" s="1" t="s">
        <v>7882</v>
      </c>
      <c r="C2008" s="1" t="s">
        <v>7883</v>
      </c>
      <c r="D2008" s="1" t="s">
        <v>7884</v>
      </c>
      <c r="E2008" s="1" t="s">
        <v>7885</v>
      </c>
      <c r="F2008" s="2" t="str">
        <f>"1419751832"</f>
        <v>1419751832</v>
      </c>
      <c r="G2008" s="2" t="str">
        <f>"9781419751837"</f>
        <v>9781419751837</v>
      </c>
      <c r="H2008" s="1" t="s">
        <v>7886</v>
      </c>
      <c r="I2008" s="1" t="s">
        <v>31</v>
      </c>
      <c r="J2008" s="1">
        <v>96.0</v>
      </c>
      <c r="K2008" s="1">
        <v>2021.0</v>
      </c>
      <c r="L2008" s="1">
        <v>2021.0</v>
      </c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  <c r="X2008" s="1" t="s">
        <v>7887</v>
      </c>
      <c r="Y2008" s="1" t="s">
        <v>7888</v>
      </c>
    </row>
    <row r="2009">
      <c r="A2009" s="1">
        <v>2.5779104E7</v>
      </c>
      <c r="B2009" s="1" t="s">
        <v>7889</v>
      </c>
      <c r="C2009" s="1" t="s">
        <v>7890</v>
      </c>
      <c r="D2009" s="1" t="s">
        <v>7891</v>
      </c>
      <c r="E2009" s="1" t="s">
        <v>7892</v>
      </c>
      <c r="F2009" s="2" t="str">
        <f>"0545797705"</f>
        <v>0545797705</v>
      </c>
      <c r="G2009" s="2" t="str">
        <f>"9780545797702"</f>
        <v>9780545797702</v>
      </c>
      <c r="H2009" s="1" t="s">
        <v>817</v>
      </c>
      <c r="I2009" s="1" t="s">
        <v>31</v>
      </c>
      <c r="J2009" s="1">
        <v>96.0</v>
      </c>
      <c r="K2009" s="1">
        <v>2016.0</v>
      </c>
      <c r="L2009" s="1">
        <v>2016.0</v>
      </c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  <c r="X2009" s="1" t="s">
        <v>250</v>
      </c>
      <c r="Y2009" s="1" t="s">
        <v>7893</v>
      </c>
    </row>
    <row r="2010">
      <c r="A2010" s="1">
        <v>2.4612657E7</v>
      </c>
      <c r="B2010" s="1" t="s">
        <v>7894</v>
      </c>
      <c r="C2010" s="1" t="s">
        <v>7890</v>
      </c>
      <c r="D2010" s="1" t="s">
        <v>7891</v>
      </c>
      <c r="E2010" s="1" t="s">
        <v>7892</v>
      </c>
      <c r="F2010" s="2" t="str">
        <f>"0545797659"</f>
        <v>0545797659</v>
      </c>
      <c r="G2010" s="2" t="str">
        <f>"9780545797658"</f>
        <v>9780545797658</v>
      </c>
      <c r="H2010" s="1" t="s">
        <v>817</v>
      </c>
      <c r="I2010" s="1" t="s">
        <v>36</v>
      </c>
      <c r="J2010" s="1">
        <v>96.0</v>
      </c>
      <c r="K2010" s="1">
        <v>2015.0</v>
      </c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1"/>
      <c r="X2010" s="1" t="s">
        <v>250</v>
      </c>
      <c r="Y2010" s="1" t="s">
        <v>7895</v>
      </c>
    </row>
    <row r="2011">
      <c r="A2011" s="1">
        <v>5.3018314E7</v>
      </c>
      <c r="B2011" s="1" t="s">
        <v>7896</v>
      </c>
      <c r="C2011" s="1" t="s">
        <v>288</v>
      </c>
      <c r="D2011" s="1" t="s">
        <v>289</v>
      </c>
      <c r="E2011" s="1" t="s">
        <v>7742</v>
      </c>
      <c r="F2011" s="2" t="str">
        <f>"0062947613"</f>
        <v>0062947613</v>
      </c>
      <c r="G2011" s="2" t="str">
        <f>"9780062947611"</f>
        <v>9780062947611</v>
      </c>
      <c r="H2011" s="1" t="s">
        <v>7897</v>
      </c>
      <c r="I2011" s="1" t="s">
        <v>36</v>
      </c>
      <c r="J2011" s="1">
        <v>96.0</v>
      </c>
      <c r="K2011" s="1">
        <v>2021.0</v>
      </c>
      <c r="L2011" s="1">
        <v>2021.0</v>
      </c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1"/>
      <c r="X2011" s="1" t="s">
        <v>7898</v>
      </c>
      <c r="Y2011" s="1" t="s">
        <v>7899</v>
      </c>
    </row>
    <row r="2012">
      <c r="A2012" s="1">
        <v>969958.0</v>
      </c>
      <c r="B2012" s="1" t="s">
        <v>7900</v>
      </c>
      <c r="C2012" s="1" t="s">
        <v>288</v>
      </c>
      <c r="D2012" s="1" t="s">
        <v>289</v>
      </c>
      <c r="E2012" s="1" t="s">
        <v>288</v>
      </c>
      <c r="F2012" s="2" t="str">
        <f>"0060507047"</f>
        <v>0060507047</v>
      </c>
      <c r="G2012" s="2" t="str">
        <f>"9780060507046"</f>
        <v>9780060507046</v>
      </c>
      <c r="H2012" s="1" t="s">
        <v>290</v>
      </c>
      <c r="I2012" s="1" t="s">
        <v>36</v>
      </c>
      <c r="J2012" s="1">
        <v>96.0</v>
      </c>
      <c r="K2012" s="1">
        <v>2004.0</v>
      </c>
      <c r="L2012" s="1">
        <v>2004.0</v>
      </c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  <c r="X2012" s="1" t="s">
        <v>7898</v>
      </c>
      <c r="Y2012" s="1" t="s">
        <v>7901</v>
      </c>
    </row>
    <row r="2013">
      <c r="A2013" s="1">
        <v>538166.0</v>
      </c>
      <c r="B2013" s="1" t="s">
        <v>7902</v>
      </c>
      <c r="C2013" s="1" t="s">
        <v>288</v>
      </c>
      <c r="D2013" s="1" t="s">
        <v>289</v>
      </c>
      <c r="E2013" s="1" t="s">
        <v>7742</v>
      </c>
      <c r="F2013" s="2" t="str">
        <f>"0060507004"</f>
        <v>0060507004</v>
      </c>
      <c r="G2013" s="2" t="str">
        <f>"9780060507008"</f>
        <v>9780060507008</v>
      </c>
      <c r="H2013" s="1" t="s">
        <v>290</v>
      </c>
      <c r="I2013" s="1" t="s">
        <v>36</v>
      </c>
      <c r="J2013" s="1">
        <v>96.0</v>
      </c>
      <c r="K2013" s="1">
        <v>2004.0</v>
      </c>
      <c r="L2013" s="1">
        <v>2004.0</v>
      </c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  <c r="X2013" s="1" t="s">
        <v>7898</v>
      </c>
      <c r="Y2013" s="1" t="s">
        <v>7903</v>
      </c>
    </row>
    <row r="2014">
      <c r="A2014" s="1">
        <v>969969.0</v>
      </c>
      <c r="B2014" s="1" t="s">
        <v>7904</v>
      </c>
      <c r="C2014" s="1" t="s">
        <v>288</v>
      </c>
      <c r="D2014" s="1" t="s">
        <v>289</v>
      </c>
      <c r="E2014" s="1" t="s">
        <v>7742</v>
      </c>
      <c r="F2014" s="2" t="str">
        <f>"0060507063"</f>
        <v>0060507063</v>
      </c>
      <c r="G2014" s="2" t="str">
        <f>"9780060507060"</f>
        <v>9780060507060</v>
      </c>
      <c r="H2014" s="1" t="s">
        <v>290</v>
      </c>
      <c r="I2014" s="1" t="s">
        <v>36</v>
      </c>
      <c r="J2014" s="1">
        <v>96.0</v>
      </c>
      <c r="K2014" s="1">
        <v>2004.0</v>
      </c>
      <c r="L2014" s="1">
        <v>2004.0</v>
      </c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1"/>
      <c r="X2014" s="1" t="s">
        <v>436</v>
      </c>
      <c r="Y2014" s="1" t="s">
        <v>7905</v>
      </c>
    </row>
    <row r="2015">
      <c r="A2015" s="1">
        <v>110545.0</v>
      </c>
      <c r="B2015" s="1" t="s">
        <v>7906</v>
      </c>
      <c r="C2015" s="1" t="s">
        <v>288</v>
      </c>
      <c r="D2015" s="1" t="s">
        <v>289</v>
      </c>
      <c r="E2015" s="1" t="s">
        <v>7742</v>
      </c>
      <c r="F2015" s="2" t="str">
        <f>"0060822295"</f>
        <v>0060822295</v>
      </c>
      <c r="G2015" s="2" t="str">
        <f>"9780060822293"</f>
        <v>9780060822293</v>
      </c>
      <c r="H2015" s="1" t="s">
        <v>290</v>
      </c>
      <c r="I2015" s="1" t="s">
        <v>36</v>
      </c>
      <c r="J2015" s="1">
        <v>96.0</v>
      </c>
      <c r="K2015" s="1">
        <v>2006.0</v>
      </c>
      <c r="L2015" s="1">
        <v>2006.0</v>
      </c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  <c r="X2015" s="1" t="s">
        <v>436</v>
      </c>
      <c r="Y2015" s="1" t="s">
        <v>7907</v>
      </c>
    </row>
    <row r="2016">
      <c r="A2016" s="1">
        <v>3.4129063E7</v>
      </c>
      <c r="B2016" s="1" t="s">
        <v>7908</v>
      </c>
      <c r="C2016" s="1" t="s">
        <v>6733</v>
      </c>
      <c r="D2016" s="1" t="s">
        <v>6734</v>
      </c>
      <c r="E2016" s="1" t="s">
        <v>7765</v>
      </c>
      <c r="F2016" s="2" t="str">
        <f>"0763688266"</f>
        <v>0763688266</v>
      </c>
      <c r="G2016" s="2" t="str">
        <f>"9780763688264"</f>
        <v>9780763688264</v>
      </c>
      <c r="H2016" s="1" t="s">
        <v>1454</v>
      </c>
      <c r="I2016" s="1" t="s">
        <v>31</v>
      </c>
      <c r="J2016" s="1">
        <v>96.0</v>
      </c>
      <c r="K2016" s="1">
        <v>2017.0</v>
      </c>
      <c r="L2016" s="1">
        <v>2017.0</v>
      </c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/>
      <c r="X2016" s="1" t="s">
        <v>1397</v>
      </c>
      <c r="Y2016" s="1" t="s">
        <v>7909</v>
      </c>
    </row>
    <row r="2017">
      <c r="A2017" s="1">
        <v>3.8256484E7</v>
      </c>
      <c r="B2017" s="1" t="s">
        <v>7910</v>
      </c>
      <c r="C2017" s="1" t="s">
        <v>6733</v>
      </c>
      <c r="D2017" s="1" t="s">
        <v>6734</v>
      </c>
      <c r="E2017" s="1" t="s">
        <v>7765</v>
      </c>
      <c r="F2017" s="2" t="str">
        <f>"0763688274"</f>
        <v>0763688274</v>
      </c>
      <c r="G2017" s="2" t="str">
        <f>"9780763688271"</f>
        <v>9780763688271</v>
      </c>
      <c r="H2017" s="1" t="s">
        <v>945</v>
      </c>
      <c r="I2017" s="1" t="s">
        <v>31</v>
      </c>
      <c r="J2017" s="1">
        <v>96.0</v>
      </c>
      <c r="K2017" s="1">
        <v>2018.0</v>
      </c>
      <c r="L2017" s="1">
        <v>2018.0</v>
      </c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  <c r="X2017" s="1" t="s">
        <v>1397</v>
      </c>
      <c r="Y2017" s="1" t="s">
        <v>7911</v>
      </c>
    </row>
    <row r="2018">
      <c r="A2018" s="1">
        <v>2.5937835E7</v>
      </c>
      <c r="B2018" s="1" t="s">
        <v>7912</v>
      </c>
      <c r="C2018" s="1" t="s">
        <v>6733</v>
      </c>
      <c r="D2018" s="1" t="s">
        <v>6734</v>
      </c>
      <c r="E2018" s="1" t="s">
        <v>7765</v>
      </c>
      <c r="F2018" s="2" t="str">
        <f>"0763665134"</f>
        <v>0763665134</v>
      </c>
      <c r="G2018" s="2" t="str">
        <f>"9780763665135"</f>
        <v>9780763665135</v>
      </c>
      <c r="H2018" s="1" t="s">
        <v>945</v>
      </c>
      <c r="I2018" s="1" t="s">
        <v>31</v>
      </c>
      <c r="J2018" s="1">
        <v>96.0</v>
      </c>
      <c r="K2018" s="1">
        <v>2016.0</v>
      </c>
      <c r="L2018" s="1">
        <v>2016.0</v>
      </c>
      <c r="M2018" s="1"/>
      <c r="N2018" s="1"/>
      <c r="O2018" s="1"/>
      <c r="P2018" s="1"/>
      <c r="Q2018" s="1"/>
      <c r="R2018" s="1"/>
      <c r="S2018" s="1"/>
      <c r="T2018" s="1"/>
      <c r="U2018" s="1"/>
      <c r="V2018" s="1"/>
      <c r="W2018" s="1"/>
      <c r="X2018" s="1" t="s">
        <v>7354</v>
      </c>
      <c r="Y2018" s="1" t="s">
        <v>7913</v>
      </c>
    </row>
    <row r="2019">
      <c r="A2019" s="1">
        <v>1316562.0</v>
      </c>
      <c r="B2019" s="1" t="s">
        <v>7914</v>
      </c>
      <c r="C2019" s="1" t="s">
        <v>7915</v>
      </c>
      <c r="D2019" s="1" t="s">
        <v>7916</v>
      </c>
      <c r="F2019" s="2" t="str">
        <f>"1402706723"</f>
        <v>1402706723</v>
      </c>
      <c r="G2019" s="2" t="str">
        <f>"9781402706721"</f>
        <v>9781402706721</v>
      </c>
      <c r="H2019" s="1" t="s">
        <v>1271</v>
      </c>
      <c r="I2019" s="1" t="s">
        <v>31</v>
      </c>
      <c r="J2019" s="1">
        <v>96.0</v>
      </c>
      <c r="K2019" s="1">
        <v>2004.0</v>
      </c>
      <c r="L2019" s="1">
        <v>2004.0</v>
      </c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1"/>
      <c r="X2019" s="1" t="s">
        <v>1024</v>
      </c>
      <c r="Y2019" s="1" t="s">
        <v>7917</v>
      </c>
    </row>
    <row r="2020">
      <c r="A2020" s="1">
        <v>476909.0</v>
      </c>
      <c r="B2020" s="1" t="s">
        <v>7918</v>
      </c>
      <c r="C2020" s="1" t="s">
        <v>7919</v>
      </c>
      <c r="D2020" s="1" t="s">
        <v>7920</v>
      </c>
      <c r="E2020" s="1" t="s">
        <v>7921</v>
      </c>
      <c r="F2020" s="2" t="str">
        <f>"0375832297"</f>
        <v>0375832297</v>
      </c>
      <c r="G2020" s="2" t="str">
        <f>"9780375832291"</f>
        <v>9780375832291</v>
      </c>
      <c r="H2020" s="1" t="s">
        <v>7922</v>
      </c>
      <c r="I2020" s="1" t="s">
        <v>36</v>
      </c>
      <c r="J2020" s="1">
        <v>96.0</v>
      </c>
      <c r="K2020" s="1">
        <v>2005.0</v>
      </c>
      <c r="L2020" s="1">
        <v>2005.0</v>
      </c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/>
      <c r="X2020" s="1" t="s">
        <v>7923</v>
      </c>
      <c r="Y2020" s="1" t="s">
        <v>7924</v>
      </c>
    </row>
    <row r="2021">
      <c r="A2021" s="1">
        <v>4.2202051E7</v>
      </c>
      <c r="B2021" s="1" t="s">
        <v>7925</v>
      </c>
      <c r="C2021" s="1" t="s">
        <v>1554</v>
      </c>
      <c r="D2021" s="1" t="s">
        <v>1555</v>
      </c>
      <c r="E2021" s="1" t="s">
        <v>7926</v>
      </c>
      <c r="F2021" s="2" t="str">
        <f>"1534431063"</f>
        <v>1534431063</v>
      </c>
      <c r="G2021" s="2" t="str">
        <f>"9781534431065"</f>
        <v>9781534431065</v>
      </c>
      <c r="H2021" s="1" t="s">
        <v>2496</v>
      </c>
      <c r="I2021" s="1" t="s">
        <v>31</v>
      </c>
      <c r="J2021" s="1">
        <v>96.0</v>
      </c>
      <c r="K2021" s="1">
        <v>2019.0</v>
      </c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/>
      <c r="X2021" s="1" t="s">
        <v>45</v>
      </c>
      <c r="Y2021" s="1" t="s">
        <v>7927</v>
      </c>
    </row>
    <row r="2022">
      <c r="A2022" s="1">
        <v>4.1392452E7</v>
      </c>
      <c r="B2022" s="1" t="s">
        <v>7928</v>
      </c>
      <c r="C2022" s="1" t="s">
        <v>7929</v>
      </c>
      <c r="D2022" s="1" t="s">
        <v>7930</v>
      </c>
      <c r="E2022" s="1" t="s">
        <v>7931</v>
      </c>
      <c r="F2022" s="2" t="str">
        <f>"1506709761"</f>
        <v>1506709761</v>
      </c>
      <c r="G2022" s="2" t="str">
        <f>"9781506709765"</f>
        <v>9781506709765</v>
      </c>
      <c r="H2022" s="1" t="s">
        <v>7932</v>
      </c>
      <c r="I2022" s="1" t="s">
        <v>36</v>
      </c>
      <c r="J2022" s="1">
        <v>96.0</v>
      </c>
      <c r="K2022" s="1">
        <v>2019.0</v>
      </c>
      <c r="L2022" s="1">
        <v>2019.0</v>
      </c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1"/>
      <c r="X2022" s="1" t="s">
        <v>96</v>
      </c>
      <c r="Y2022" s="1" t="s">
        <v>7933</v>
      </c>
    </row>
    <row r="2023">
      <c r="A2023" s="1">
        <v>5.7964674E7</v>
      </c>
      <c r="B2023" s="1" t="s">
        <v>7934</v>
      </c>
      <c r="C2023" s="1" t="s">
        <v>7935</v>
      </c>
      <c r="D2023" s="1" t="s">
        <v>7936</v>
      </c>
      <c r="F2023" s="2" t="str">
        <f>"1839350881"</f>
        <v>1839350881</v>
      </c>
      <c r="G2023" s="2" t="str">
        <f>"9781839350887"</f>
        <v>9781839350887</v>
      </c>
      <c r="H2023" s="1" t="s">
        <v>7937</v>
      </c>
      <c r="I2023" s="1" t="s">
        <v>238</v>
      </c>
      <c r="J2023" s="1">
        <v>96.0</v>
      </c>
      <c r="K2023" s="1">
        <v>2021.0</v>
      </c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/>
      <c r="X2023" s="1" t="s">
        <v>458</v>
      </c>
      <c r="Y2023" s="1" t="s">
        <v>7938</v>
      </c>
    </row>
    <row r="2024">
      <c r="A2024" s="1">
        <v>1.2403513E7</v>
      </c>
      <c r="B2024" s="1" t="s">
        <v>7939</v>
      </c>
      <c r="C2024" s="1" t="s">
        <v>7940</v>
      </c>
      <c r="D2024" s="1" t="s">
        <v>7941</v>
      </c>
      <c r="E2024" s="1" t="s">
        <v>7942</v>
      </c>
      <c r="F2024" s="2" t="str">
        <f>"0971436630"</f>
        <v>0971436630</v>
      </c>
      <c r="G2024" s="2" t="str">
        <f>"9780971436633"</f>
        <v>9780971436633</v>
      </c>
      <c r="H2024" s="1" t="s">
        <v>7943</v>
      </c>
      <c r="I2024" s="1" t="s">
        <v>31</v>
      </c>
      <c r="J2024" s="1">
        <v>96.0</v>
      </c>
      <c r="K2024" s="1">
        <v>2004.0</v>
      </c>
      <c r="M2024" s="1"/>
      <c r="N2024" s="1"/>
      <c r="O2024" s="1"/>
      <c r="P2024" s="1"/>
      <c r="Q2024" s="1"/>
      <c r="R2024" s="1"/>
      <c r="S2024" s="1"/>
      <c r="T2024" s="1"/>
      <c r="U2024" s="1"/>
      <c r="V2024" s="1"/>
      <c r="W2024" s="1"/>
      <c r="X2024" s="1" t="s">
        <v>245</v>
      </c>
      <c r="Y2024" s="1" t="s">
        <v>7944</v>
      </c>
    </row>
    <row r="2025">
      <c r="A2025" s="1">
        <v>7265031.0</v>
      </c>
      <c r="B2025" s="1" t="s">
        <v>7945</v>
      </c>
      <c r="C2025" s="1" t="s">
        <v>7946</v>
      </c>
      <c r="D2025" s="1" t="s">
        <v>7947</v>
      </c>
      <c r="E2025" s="1" t="s">
        <v>2739</v>
      </c>
      <c r="F2025" s="2" t="str">
        <f>"0061468959"</f>
        <v>0061468959</v>
      </c>
      <c r="G2025" s="2" t="str">
        <f>"9780061468957"</f>
        <v>9780061468957</v>
      </c>
      <c r="H2025" s="1" t="s">
        <v>2736</v>
      </c>
      <c r="I2025" s="1" t="s">
        <v>31</v>
      </c>
      <c r="J2025" s="1">
        <v>96.0</v>
      </c>
      <c r="K2025" s="1">
        <v>2010.0</v>
      </c>
      <c r="L2025" s="1">
        <v>2010.0</v>
      </c>
      <c r="M2025" s="1"/>
      <c r="N2025" s="1"/>
      <c r="O2025" s="1"/>
      <c r="P2025" s="1"/>
      <c r="Q2025" s="1"/>
      <c r="R2025" s="1"/>
      <c r="S2025" s="1"/>
      <c r="T2025" s="1"/>
      <c r="U2025" s="1"/>
      <c r="V2025" s="1"/>
      <c r="W2025" s="1"/>
      <c r="X2025" s="1" t="s">
        <v>61</v>
      </c>
      <c r="Y2025" s="1" t="s">
        <v>7948</v>
      </c>
    </row>
    <row r="2026">
      <c r="A2026" s="1">
        <v>1.6043606E7</v>
      </c>
      <c r="B2026" s="1" t="s">
        <v>7949</v>
      </c>
      <c r="C2026" s="1" t="s">
        <v>7643</v>
      </c>
      <c r="D2026" s="1" t="s">
        <v>7644</v>
      </c>
      <c r="F2026" s="2" t="str">
        <f>"0545496136"</f>
        <v>0545496136</v>
      </c>
      <c r="G2026" s="2" t="str">
        <f>"9780545496131"</f>
        <v>9780545496131</v>
      </c>
      <c r="H2026" s="1" t="s">
        <v>817</v>
      </c>
      <c r="I2026" s="1" t="s">
        <v>31</v>
      </c>
      <c r="J2026" s="1">
        <v>96.0</v>
      </c>
      <c r="K2026" s="1">
        <v>2013.0</v>
      </c>
      <c r="M2026" s="1"/>
      <c r="N2026" s="1"/>
      <c r="O2026" s="1"/>
      <c r="P2026" s="1"/>
      <c r="Q2026" s="1"/>
      <c r="R2026" s="1"/>
      <c r="S2026" s="1"/>
      <c r="T2026" s="1"/>
      <c r="U2026" s="1"/>
      <c r="V2026" s="1"/>
      <c r="W2026" s="1"/>
      <c r="X2026" s="1" t="s">
        <v>250</v>
      </c>
      <c r="Y2026" s="1" t="s">
        <v>7950</v>
      </c>
    </row>
    <row r="2027">
      <c r="A2027" s="1">
        <v>5.9028815E7</v>
      </c>
      <c r="B2027" s="1" t="s">
        <v>7951</v>
      </c>
      <c r="C2027" s="1" t="s">
        <v>4199</v>
      </c>
      <c r="D2027" s="1" t="s">
        <v>4200</v>
      </c>
      <c r="F2027" s="2" t="str">
        <f>"0316306207"</f>
        <v>0316306207</v>
      </c>
      <c r="G2027" s="2" t="str">
        <f>"9780316306201"</f>
        <v>9780316306201</v>
      </c>
      <c r="H2027" s="1" t="s">
        <v>7952</v>
      </c>
      <c r="I2027" s="1" t="s">
        <v>36</v>
      </c>
      <c r="J2027" s="1">
        <v>96.0</v>
      </c>
      <c r="K2027" s="1">
        <v>2022.0</v>
      </c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1" t="s">
        <v>7953</v>
      </c>
      <c r="Y2027" s="1" t="s">
        <v>7954</v>
      </c>
    </row>
    <row r="2028">
      <c r="A2028" s="1">
        <v>825335.0</v>
      </c>
      <c r="B2028" s="1" t="s">
        <v>7955</v>
      </c>
      <c r="C2028" s="1" t="s">
        <v>7956</v>
      </c>
      <c r="D2028" s="1" t="s">
        <v>7957</v>
      </c>
      <c r="E2028" s="1" t="s">
        <v>7958</v>
      </c>
      <c r="F2028" s="2" t="str">
        <f>"0525477330"</f>
        <v>0525477330</v>
      </c>
      <c r="G2028" s="2" t="str">
        <f>"9780525477334"</f>
        <v>9780525477334</v>
      </c>
      <c r="H2028" s="1" t="s">
        <v>4916</v>
      </c>
      <c r="I2028" s="1" t="s">
        <v>31</v>
      </c>
      <c r="J2028" s="1">
        <v>96.0</v>
      </c>
      <c r="K2028" s="1">
        <v>2005.0</v>
      </c>
      <c r="L2028" s="1">
        <v>2005.0</v>
      </c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/>
      <c r="X2028" s="1" t="s">
        <v>323</v>
      </c>
      <c r="Y2028" s="1" t="s">
        <v>7959</v>
      </c>
    </row>
    <row r="2029">
      <c r="A2029" s="1">
        <v>2.0578919E7</v>
      </c>
      <c r="B2029" s="1" t="s">
        <v>7960</v>
      </c>
      <c r="C2029" s="1" t="s">
        <v>423</v>
      </c>
      <c r="D2029" s="1" t="s">
        <v>424</v>
      </c>
      <c r="F2029" s="2" t="str">
        <f>"0545603811"</f>
        <v>0545603811</v>
      </c>
      <c r="G2029" s="2" t="str">
        <f>"9780545603812"</f>
        <v>9780545603812</v>
      </c>
      <c r="H2029" s="1" t="s">
        <v>2944</v>
      </c>
      <c r="I2029" s="1" t="s">
        <v>36</v>
      </c>
      <c r="J2029" s="1">
        <v>96.0</v>
      </c>
      <c r="K2029" s="1">
        <v>2014.0</v>
      </c>
      <c r="L2029" s="1">
        <v>2014.0</v>
      </c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1"/>
      <c r="X2029" s="1" t="s">
        <v>7111</v>
      </c>
      <c r="Y2029" s="1" t="s">
        <v>7961</v>
      </c>
    </row>
    <row r="2030">
      <c r="A2030" s="1">
        <v>1.7675474E7</v>
      </c>
      <c r="B2030" s="1" t="s">
        <v>7962</v>
      </c>
      <c r="C2030" s="1" t="s">
        <v>423</v>
      </c>
      <c r="D2030" s="1" t="s">
        <v>424</v>
      </c>
      <c r="F2030" s="2" t="str">
        <f>"0545462428"</f>
        <v>0545462428</v>
      </c>
      <c r="G2030" s="2" t="str">
        <f>"9780545462426"</f>
        <v>9780545462426</v>
      </c>
      <c r="H2030" s="1" t="s">
        <v>2944</v>
      </c>
      <c r="I2030" s="1" t="s">
        <v>36</v>
      </c>
      <c r="J2030" s="1">
        <v>96.0</v>
      </c>
      <c r="K2030" s="1">
        <v>2013.0</v>
      </c>
      <c r="L2030" s="1">
        <v>2013.0</v>
      </c>
      <c r="M2030" s="1"/>
      <c r="N2030" s="1"/>
      <c r="O2030" s="1"/>
      <c r="P2030" s="1"/>
      <c r="Q2030" s="1"/>
      <c r="R2030" s="1"/>
      <c r="S2030" s="1"/>
      <c r="T2030" s="1"/>
      <c r="U2030" s="1"/>
      <c r="V2030" s="1"/>
      <c r="W2030" s="1"/>
      <c r="X2030" s="1" t="s">
        <v>7111</v>
      </c>
      <c r="Y2030" s="1" t="s">
        <v>7963</v>
      </c>
    </row>
    <row r="2031">
      <c r="A2031" s="1">
        <v>6940409.0</v>
      </c>
      <c r="B2031" s="1" t="s">
        <v>7964</v>
      </c>
      <c r="C2031" s="1" t="s">
        <v>474</v>
      </c>
      <c r="D2031" s="1" t="s">
        <v>475</v>
      </c>
      <c r="E2031" s="1" t="s">
        <v>7412</v>
      </c>
      <c r="F2031" s="2" t="str">
        <f>"1933032502"</f>
        <v>1933032502</v>
      </c>
      <c r="G2031" s="2" t="str">
        <f>"9781933032504"</f>
        <v>9781933032504</v>
      </c>
      <c r="H2031" s="1" t="s">
        <v>7676</v>
      </c>
      <c r="I2031" s="1" t="s">
        <v>36</v>
      </c>
      <c r="J2031" s="1">
        <v>96.0</v>
      </c>
      <c r="K2031" s="1">
        <v>2008.0</v>
      </c>
      <c r="L2031" s="1">
        <v>2000.0</v>
      </c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1"/>
      <c r="X2031" s="1" t="s">
        <v>491</v>
      </c>
      <c r="Y2031" s="1" t="s">
        <v>7965</v>
      </c>
    </row>
    <row r="2032">
      <c r="A2032" s="1">
        <v>6310676.0</v>
      </c>
      <c r="B2032" s="1" t="s">
        <v>7966</v>
      </c>
      <c r="C2032" s="1" t="s">
        <v>523</v>
      </c>
      <c r="D2032" s="1" t="s">
        <v>524</v>
      </c>
      <c r="E2032" s="1" t="s">
        <v>3688</v>
      </c>
      <c r="F2032" s="2" t="str">
        <f>"0061429902"</f>
        <v>0061429902</v>
      </c>
      <c r="G2032" s="2" t="str">
        <f>"9780061429903"</f>
        <v>9780061429903</v>
      </c>
      <c r="H2032" s="1" t="s">
        <v>290</v>
      </c>
      <c r="I2032" s="1" t="s">
        <v>36</v>
      </c>
      <c r="J2032" s="1">
        <v>96.0</v>
      </c>
      <c r="K2032" s="1">
        <v>2009.0</v>
      </c>
      <c r="L2032" s="1">
        <v>2009.0</v>
      </c>
      <c r="M2032" s="1"/>
      <c r="N2032" s="1"/>
      <c r="O2032" s="1"/>
      <c r="P2032" s="1"/>
      <c r="Q2032" s="1"/>
      <c r="R2032" s="1"/>
      <c r="S2032" s="1"/>
      <c r="T2032" s="1"/>
      <c r="U2032" s="1"/>
      <c r="V2032" s="1"/>
      <c r="W2032" s="1"/>
      <c r="X2032" s="1" t="s">
        <v>180</v>
      </c>
      <c r="Y2032" s="1" t="s">
        <v>7967</v>
      </c>
    </row>
    <row r="2033">
      <c r="A2033" s="1">
        <v>830971.0</v>
      </c>
      <c r="B2033" s="1" t="s">
        <v>7968</v>
      </c>
      <c r="C2033" s="1" t="s">
        <v>546</v>
      </c>
      <c r="D2033" s="1" t="s">
        <v>547</v>
      </c>
      <c r="F2033" s="2" t="str">
        <f>"0439267617"</f>
        <v>0439267617</v>
      </c>
      <c r="G2033" s="2" t="str">
        <f>"9780439267618"</f>
        <v>9780439267618</v>
      </c>
      <c r="H2033" s="1" t="s">
        <v>817</v>
      </c>
      <c r="I2033" s="1" t="s">
        <v>36</v>
      </c>
      <c r="J2033" s="1">
        <v>96.0</v>
      </c>
      <c r="K2033" s="1">
        <v>2001.0</v>
      </c>
      <c r="L2033" s="1">
        <v>2001.0</v>
      </c>
      <c r="M2033" s="1"/>
      <c r="N2033" s="1"/>
      <c r="O2033" s="1"/>
      <c r="P2033" s="1"/>
      <c r="Q2033" s="1"/>
      <c r="R2033" s="1"/>
      <c r="S2033" s="1"/>
      <c r="T2033" s="1"/>
      <c r="U2033" s="1"/>
      <c r="V2033" s="1"/>
      <c r="W2033" s="1"/>
      <c r="X2033" s="1" t="s">
        <v>553</v>
      </c>
      <c r="Y2033" s="1" t="s">
        <v>7969</v>
      </c>
    </row>
    <row r="2034">
      <c r="A2034" s="1">
        <v>3.8657297E7</v>
      </c>
      <c r="B2034" s="1" t="s">
        <v>7970</v>
      </c>
      <c r="C2034" s="1" t="s">
        <v>1114</v>
      </c>
      <c r="D2034" s="1" t="s">
        <v>1115</v>
      </c>
      <c r="F2034" s="2" t="str">
        <f>"1465468021"</f>
        <v>1465468021</v>
      </c>
      <c r="G2034" s="2" t="str">
        <f>"9781465468024"</f>
        <v>9781465468024</v>
      </c>
      <c r="H2034" s="1" t="s">
        <v>1089</v>
      </c>
      <c r="I2034" s="1" t="s">
        <v>31</v>
      </c>
      <c r="J2034" s="1">
        <v>96.0</v>
      </c>
      <c r="K2034" s="1">
        <v>2018.0</v>
      </c>
      <c r="M2034" s="1"/>
      <c r="N2034" s="1"/>
      <c r="O2034" s="1"/>
      <c r="P2034" s="1"/>
      <c r="Q2034" s="1"/>
      <c r="R2034" s="1"/>
      <c r="S2034" s="1"/>
      <c r="T2034" s="1"/>
      <c r="U2034" s="1"/>
      <c r="V2034" s="1"/>
      <c r="W2034" s="1"/>
      <c r="X2034" s="1" t="s">
        <v>1466</v>
      </c>
      <c r="Y2034" s="1" t="s">
        <v>7971</v>
      </c>
    </row>
    <row r="2035">
      <c r="A2035" s="1">
        <v>1211698.0</v>
      </c>
      <c r="B2035" s="1" t="s">
        <v>7972</v>
      </c>
      <c r="C2035" s="1" t="s">
        <v>7973</v>
      </c>
      <c r="D2035" s="1" t="s">
        <v>7974</v>
      </c>
      <c r="F2035" s="2" t="str">
        <f>"0794501079"</f>
        <v>0794501079</v>
      </c>
      <c r="G2035" s="2" t="str">
        <f>"9780794501075"</f>
        <v>9780794501075</v>
      </c>
      <c r="H2035" s="1" t="s">
        <v>917</v>
      </c>
      <c r="I2035" s="1" t="s">
        <v>36</v>
      </c>
      <c r="J2035" s="1">
        <v>96.0</v>
      </c>
      <c r="K2035" s="1">
        <v>2002.0</v>
      </c>
      <c r="L2035" s="1">
        <v>1998.0</v>
      </c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/>
      <c r="X2035" s="1" t="s">
        <v>7975</v>
      </c>
      <c r="Y2035" s="1" t="s">
        <v>7976</v>
      </c>
    </row>
    <row r="2036">
      <c r="A2036" s="1">
        <v>1.8371578E7</v>
      </c>
      <c r="B2036" s="1" t="s">
        <v>7977</v>
      </c>
      <c r="C2036" s="1" t="s">
        <v>7978</v>
      </c>
      <c r="D2036" s="1" t="s">
        <v>7979</v>
      </c>
      <c r="F2036" s="2" t="str">
        <f>"0545559812"</f>
        <v>0545559812</v>
      </c>
      <c r="G2036" s="2" t="str">
        <f>"9780545559812"</f>
        <v>9780545559812</v>
      </c>
      <c r="H2036" s="1" t="s">
        <v>817</v>
      </c>
      <c r="I2036" s="1" t="s">
        <v>91</v>
      </c>
      <c r="J2036" s="1">
        <v>96.0</v>
      </c>
      <c r="K2036" s="1">
        <v>2014.0</v>
      </c>
      <c r="L2036" s="1">
        <v>2014.0</v>
      </c>
      <c r="M2036" s="1"/>
      <c r="N2036" s="1"/>
      <c r="O2036" s="1"/>
      <c r="P2036" s="1"/>
      <c r="Q2036" s="1"/>
      <c r="R2036" s="1"/>
      <c r="S2036" s="1"/>
      <c r="T2036" s="1"/>
      <c r="U2036" s="1"/>
      <c r="V2036" s="1"/>
      <c r="W2036" s="1"/>
      <c r="X2036" s="1" t="s">
        <v>250</v>
      </c>
      <c r="Y2036" s="1" t="s">
        <v>7980</v>
      </c>
    </row>
    <row r="2037">
      <c r="A2037" s="1">
        <v>2.0894037E7</v>
      </c>
      <c r="B2037" s="1" t="s">
        <v>7981</v>
      </c>
      <c r="C2037" s="1" t="s">
        <v>7978</v>
      </c>
      <c r="D2037" s="1" t="s">
        <v>7979</v>
      </c>
      <c r="F2037" s="2" t="str">
        <f>"0545559898"</f>
        <v>0545559898</v>
      </c>
      <c r="G2037" s="2" t="str">
        <f>"9780545559898"</f>
        <v>9780545559898</v>
      </c>
      <c r="H2037" s="1" t="s">
        <v>817</v>
      </c>
      <c r="I2037" s="1" t="s">
        <v>36</v>
      </c>
      <c r="J2037" s="1">
        <v>96.0</v>
      </c>
      <c r="K2037" s="1">
        <v>2014.0</v>
      </c>
      <c r="M2037" s="1"/>
      <c r="N2037" s="1"/>
      <c r="O2037" s="1"/>
      <c r="P2037" s="1"/>
      <c r="Q2037" s="1"/>
      <c r="R2037" s="1"/>
      <c r="S2037" s="1"/>
      <c r="T2037" s="1"/>
      <c r="U2037" s="1"/>
      <c r="V2037" s="1"/>
      <c r="W2037" s="1"/>
      <c r="X2037" s="1" t="s">
        <v>250</v>
      </c>
      <c r="Y2037" s="1" t="s">
        <v>7982</v>
      </c>
    </row>
    <row r="2038">
      <c r="A2038" s="1">
        <v>8615237.0</v>
      </c>
      <c r="B2038" s="1" t="s">
        <v>7983</v>
      </c>
      <c r="C2038" s="1" t="s">
        <v>7474</v>
      </c>
      <c r="D2038" s="1" t="s">
        <v>7475</v>
      </c>
      <c r="E2038" s="1" t="s">
        <v>7476</v>
      </c>
      <c r="F2038" s="2" t="str">
        <f t="shared" ref="F2038:G2038" si="126">""</f>
        <v/>
      </c>
      <c r="G2038" s="2" t="str">
        <f t="shared" si="126"/>
        <v/>
      </c>
      <c r="H2038" s="1" t="s">
        <v>156</v>
      </c>
      <c r="I2038" s="1" t="s">
        <v>238</v>
      </c>
      <c r="J2038" s="1">
        <v>96.0</v>
      </c>
      <c r="K2038" s="1">
        <v>2009.0</v>
      </c>
      <c r="L2038" s="1">
        <v>1998.0</v>
      </c>
      <c r="M2038" s="1"/>
      <c r="N2038" s="1"/>
      <c r="O2038" s="1"/>
      <c r="P2038" s="1"/>
      <c r="Q2038" s="1"/>
      <c r="R2038" s="1"/>
      <c r="S2038" s="1"/>
      <c r="T2038" s="1"/>
      <c r="U2038" s="1"/>
      <c r="V2038" s="1"/>
      <c r="W2038" s="1"/>
      <c r="X2038" s="1" t="s">
        <v>7614</v>
      </c>
      <c r="Y2038" s="1" t="s">
        <v>7984</v>
      </c>
    </row>
    <row r="2039">
      <c r="A2039" s="1">
        <v>8491297.0</v>
      </c>
      <c r="B2039" s="1" t="s">
        <v>7985</v>
      </c>
      <c r="C2039" s="1" t="s">
        <v>7474</v>
      </c>
      <c r="D2039" s="1" t="s">
        <v>7475</v>
      </c>
      <c r="E2039" s="1" t="s">
        <v>7476</v>
      </c>
      <c r="F2039" s="2" t="str">
        <f t="shared" ref="F2039:G2039" si="127">""</f>
        <v/>
      </c>
      <c r="G2039" s="2" t="str">
        <f t="shared" si="127"/>
        <v/>
      </c>
      <c r="H2039" s="1" t="s">
        <v>156</v>
      </c>
      <c r="I2039" s="1" t="s">
        <v>238</v>
      </c>
      <c r="J2039" s="1">
        <v>96.0</v>
      </c>
      <c r="K2039" s="1">
        <v>2009.0</v>
      </c>
      <c r="L2039" s="1">
        <v>1998.0</v>
      </c>
      <c r="M2039" s="1"/>
      <c r="N2039" s="1"/>
      <c r="O2039" s="1"/>
      <c r="P2039" s="1"/>
      <c r="Q2039" s="1"/>
      <c r="R2039" s="1"/>
      <c r="S2039" s="1"/>
      <c r="T2039" s="1"/>
      <c r="U2039" s="1"/>
      <c r="V2039" s="1"/>
      <c r="W2039" s="1"/>
      <c r="X2039" s="1" t="s">
        <v>45</v>
      </c>
      <c r="Y2039" s="1" t="s">
        <v>7986</v>
      </c>
    </row>
    <row r="2040">
      <c r="A2040" s="1">
        <v>2161830.0</v>
      </c>
      <c r="B2040" s="1" t="s">
        <v>7987</v>
      </c>
      <c r="C2040" s="1" t="s">
        <v>7474</v>
      </c>
      <c r="D2040" s="1" t="s">
        <v>7475</v>
      </c>
      <c r="F2040" s="2" t="str">
        <f>"0613077075"</f>
        <v>0613077075</v>
      </c>
      <c r="G2040" s="2" t="str">
        <f>"9780613077071"</f>
        <v>9780613077071</v>
      </c>
      <c r="H2040" s="1" t="s">
        <v>2319</v>
      </c>
      <c r="I2040" s="1" t="s">
        <v>91</v>
      </c>
      <c r="J2040" s="1">
        <v>96.0</v>
      </c>
      <c r="K2040" s="1">
        <v>1998.0</v>
      </c>
      <c r="L2040" s="1">
        <v>1998.0</v>
      </c>
      <c r="M2040" s="1"/>
      <c r="N2040" s="1"/>
      <c r="O2040" s="1"/>
      <c r="P2040" s="1"/>
      <c r="Q2040" s="1"/>
      <c r="R2040" s="1"/>
      <c r="S2040" s="1"/>
      <c r="T2040" s="1"/>
      <c r="U2040" s="1"/>
      <c r="V2040" s="1"/>
      <c r="W2040" s="1"/>
      <c r="X2040" s="1" t="s">
        <v>45</v>
      </c>
      <c r="Y2040" s="1" t="s">
        <v>7988</v>
      </c>
    </row>
    <row r="2041">
      <c r="A2041" s="1">
        <v>919492.0</v>
      </c>
      <c r="B2041" s="1" t="s">
        <v>7989</v>
      </c>
      <c r="C2041" s="1" t="s">
        <v>7474</v>
      </c>
      <c r="D2041" s="1" t="s">
        <v>7475</v>
      </c>
      <c r="E2041" s="1" t="s">
        <v>7476</v>
      </c>
      <c r="F2041" s="2" t="str">
        <f>"0679885935"</f>
        <v>0679885935</v>
      </c>
      <c r="G2041" s="2" t="str">
        <f>"9780679885931"</f>
        <v>9780679885931</v>
      </c>
      <c r="H2041" s="1" t="s">
        <v>156</v>
      </c>
      <c r="I2041" s="1" t="s">
        <v>36</v>
      </c>
      <c r="J2041" s="1">
        <v>96.0</v>
      </c>
      <c r="K2041" s="1">
        <v>1998.0</v>
      </c>
      <c r="L2041" s="1">
        <v>1998.0</v>
      </c>
      <c r="M2041" s="1"/>
      <c r="N2041" s="1"/>
      <c r="O2041" s="1"/>
      <c r="P2041" s="1"/>
      <c r="Q2041" s="1"/>
      <c r="R2041" s="1"/>
      <c r="S2041" s="1"/>
      <c r="T2041" s="1"/>
      <c r="U2041" s="1"/>
      <c r="V2041" s="1"/>
      <c r="W2041" s="1"/>
      <c r="X2041" s="1" t="s">
        <v>45</v>
      </c>
      <c r="Y2041" s="1" t="s">
        <v>7990</v>
      </c>
    </row>
    <row r="2042">
      <c r="A2042" s="1">
        <v>157993.0</v>
      </c>
      <c r="B2042" s="1" t="s">
        <v>7991</v>
      </c>
      <c r="C2042" s="1" t="s">
        <v>7992</v>
      </c>
      <c r="D2042" s="1" t="s">
        <v>7993</v>
      </c>
      <c r="E2042" s="1" t="s">
        <v>7994</v>
      </c>
      <c r="F2042" s="2" t="str">
        <f>"0152023984"</f>
        <v>0152023984</v>
      </c>
      <c r="G2042" s="2" t="str">
        <f>"9780152023980"</f>
        <v>9780152023980</v>
      </c>
      <c r="H2042" s="1" t="s">
        <v>7995</v>
      </c>
      <c r="I2042" s="1" t="s">
        <v>31</v>
      </c>
      <c r="J2042" s="1">
        <v>96.0</v>
      </c>
      <c r="K2042" s="1">
        <v>2000.0</v>
      </c>
      <c r="L2042" s="1">
        <v>1943.0</v>
      </c>
      <c r="M2042" s="1"/>
      <c r="N2042" s="1"/>
      <c r="O2042" s="1"/>
      <c r="P2042" s="1"/>
      <c r="Q2042" s="1"/>
      <c r="R2042" s="1"/>
      <c r="S2042" s="1"/>
      <c r="T2042" s="1"/>
      <c r="U2042" s="1"/>
      <c r="V2042" s="1"/>
      <c r="W2042" s="1"/>
      <c r="X2042" s="1" t="s">
        <v>323</v>
      </c>
      <c r="Y2042" s="1" t="s">
        <v>7996</v>
      </c>
    </row>
    <row r="2043">
      <c r="A2043" s="1">
        <v>4.9090535E7</v>
      </c>
      <c r="B2043" s="1" t="s">
        <v>7997</v>
      </c>
      <c r="C2043" s="1" t="s">
        <v>7998</v>
      </c>
      <c r="D2043" s="1" t="s">
        <v>7999</v>
      </c>
      <c r="F2043" s="2" t="str">
        <f>"1338636685"</f>
        <v>1338636685</v>
      </c>
      <c r="G2043" s="2" t="str">
        <f>"9781338636680"</f>
        <v>9781338636680</v>
      </c>
      <c r="H2043" s="1" t="s">
        <v>640</v>
      </c>
      <c r="I2043" s="1" t="s">
        <v>31</v>
      </c>
      <c r="J2043" s="1">
        <v>96.0</v>
      </c>
      <c r="K2043" s="1">
        <v>2020.0</v>
      </c>
      <c r="L2043" s="1">
        <v>2020.0</v>
      </c>
      <c r="M2043" s="1"/>
      <c r="N2043" s="1"/>
      <c r="O2043" s="1"/>
      <c r="P2043" s="1"/>
      <c r="Q2043" s="1"/>
      <c r="R2043" s="1"/>
      <c r="S2043" s="1"/>
      <c r="T2043" s="1"/>
      <c r="U2043" s="1"/>
      <c r="V2043" s="1"/>
      <c r="W2043" s="1"/>
      <c r="X2043" s="1" t="s">
        <v>291</v>
      </c>
      <c r="Y2043" s="1" t="s">
        <v>8000</v>
      </c>
    </row>
    <row r="2044">
      <c r="A2044" s="1">
        <v>2480741.0</v>
      </c>
      <c r="B2044" s="1" t="s">
        <v>8001</v>
      </c>
      <c r="C2044" s="1" t="s">
        <v>8002</v>
      </c>
      <c r="D2044" s="1" t="s">
        <v>8003</v>
      </c>
      <c r="F2044" s="2" t="str">
        <f>"160309010X"</f>
        <v>160309010X</v>
      </c>
      <c r="G2044" s="2" t="str">
        <f>"9781603090100"</f>
        <v>9781603090100</v>
      </c>
      <c r="H2044" s="1" t="s">
        <v>8004</v>
      </c>
      <c r="I2044" s="1" t="s">
        <v>31</v>
      </c>
      <c r="J2044" s="1">
        <v>96.0</v>
      </c>
      <c r="K2044" s="1">
        <v>2008.0</v>
      </c>
      <c r="L2044" s="1">
        <v>2008.0</v>
      </c>
      <c r="M2044" s="1"/>
      <c r="N2044" s="1"/>
      <c r="O2044" s="1"/>
      <c r="P2044" s="1"/>
      <c r="Q2044" s="1"/>
      <c r="R2044" s="1"/>
      <c r="S2044" s="1"/>
      <c r="T2044" s="1"/>
      <c r="U2044" s="1"/>
      <c r="V2044" s="1"/>
      <c r="W2044" s="1"/>
      <c r="X2044" s="1" t="s">
        <v>2254</v>
      </c>
      <c r="Y2044" s="1" t="s">
        <v>8005</v>
      </c>
    </row>
    <row r="2045">
      <c r="A2045" s="1">
        <v>286043.0</v>
      </c>
      <c r="B2045" s="1" t="s">
        <v>8006</v>
      </c>
      <c r="C2045" s="1" t="s">
        <v>7730</v>
      </c>
      <c r="D2045" s="1" t="s">
        <v>7731</v>
      </c>
      <c r="F2045" s="2" t="str">
        <f>"0553150936"</f>
        <v>0553150936</v>
      </c>
      <c r="G2045" s="2" t="str">
        <f>"9780553150933"</f>
        <v>9780553150933</v>
      </c>
      <c r="H2045" s="1" t="s">
        <v>8007</v>
      </c>
      <c r="I2045" s="1" t="s">
        <v>36</v>
      </c>
      <c r="J2045" s="1">
        <v>96.0</v>
      </c>
      <c r="K2045" s="1">
        <v>1981.0</v>
      </c>
      <c r="L2045" s="1">
        <v>1971.0</v>
      </c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1"/>
      <c r="X2045" s="1" t="s">
        <v>45</v>
      </c>
      <c r="Y2045" s="1" t="s">
        <v>8008</v>
      </c>
    </row>
    <row r="2046">
      <c r="A2046" s="1">
        <v>14656.0</v>
      </c>
      <c r="B2046" s="1" t="s">
        <v>8009</v>
      </c>
      <c r="C2046" s="1" t="s">
        <v>7730</v>
      </c>
      <c r="D2046" s="1" t="s">
        <v>7731</v>
      </c>
      <c r="E2046" s="1" t="s">
        <v>8010</v>
      </c>
      <c r="F2046" s="2" t="str">
        <f>"0553480804"</f>
        <v>0553480804</v>
      </c>
      <c r="G2046" s="2" t="str">
        <f>"9780553480801"</f>
        <v>9780553480801</v>
      </c>
      <c r="H2046" s="1" t="s">
        <v>6845</v>
      </c>
      <c r="I2046" s="1" t="s">
        <v>36</v>
      </c>
      <c r="J2046" s="1">
        <v>96.0</v>
      </c>
      <c r="K2046" s="1">
        <v>1992.0</v>
      </c>
      <c r="L2046" s="1">
        <v>1968.0</v>
      </c>
      <c r="M2046" s="1"/>
      <c r="N2046" s="1"/>
      <c r="O2046" s="1"/>
      <c r="P2046" s="1"/>
      <c r="Q2046" s="1"/>
      <c r="R2046" s="1"/>
      <c r="S2046" s="1"/>
      <c r="T2046" s="1"/>
      <c r="U2046" s="1"/>
      <c r="V2046" s="1"/>
      <c r="W2046" s="1"/>
      <c r="X2046" s="1" t="s">
        <v>45</v>
      </c>
      <c r="Y2046" s="1" t="s">
        <v>8011</v>
      </c>
    </row>
    <row r="2047">
      <c r="A2047" s="1">
        <v>1.14386596E8</v>
      </c>
      <c r="B2047" s="1" t="s">
        <v>8012</v>
      </c>
      <c r="C2047" s="1" t="s">
        <v>5155</v>
      </c>
      <c r="D2047" s="1" t="s">
        <v>5156</v>
      </c>
      <c r="F2047" s="2" t="str">
        <f>"1588650812"</f>
        <v>1588650812</v>
      </c>
      <c r="G2047" s="2" t="str">
        <f>"9781588650818"</f>
        <v>9781588650818</v>
      </c>
      <c r="H2047" s="1" t="s">
        <v>2217</v>
      </c>
      <c r="I2047" s="1" t="s">
        <v>31</v>
      </c>
      <c r="J2047" s="1">
        <v>96.0</v>
      </c>
      <c r="K2047" s="1">
        <v>2002.0</v>
      </c>
      <c r="M2047" s="1"/>
      <c r="N2047" s="1"/>
      <c r="O2047" s="1"/>
      <c r="P2047" s="1"/>
      <c r="Q2047" s="1"/>
      <c r="R2047" s="1"/>
      <c r="S2047" s="1"/>
      <c r="T2047" s="1"/>
      <c r="U2047" s="1"/>
      <c r="V2047" s="1"/>
      <c r="W2047" s="1"/>
      <c r="X2047" s="1" t="s">
        <v>380</v>
      </c>
      <c r="Y2047" s="1" t="s">
        <v>8013</v>
      </c>
    </row>
    <row r="2048">
      <c r="A2048" s="1">
        <v>1.2489091E7</v>
      </c>
      <c r="B2048" s="1" t="s">
        <v>8014</v>
      </c>
      <c r="C2048" s="1" t="s">
        <v>5155</v>
      </c>
      <c r="D2048" s="1" t="s">
        <v>5156</v>
      </c>
      <c r="F2048" s="2" t="str">
        <f>"1588650375"</f>
        <v>1588650375</v>
      </c>
      <c r="G2048" s="2" t="str">
        <f>"9781588650375"</f>
        <v>9781588650375</v>
      </c>
      <c r="H2048" s="1" t="s">
        <v>2217</v>
      </c>
      <c r="I2048" s="1" t="s">
        <v>31</v>
      </c>
      <c r="J2048" s="1">
        <v>96.0</v>
      </c>
      <c r="K2048" s="1">
        <v>2002.0</v>
      </c>
      <c r="L2048" s="1">
        <v>2002.0</v>
      </c>
      <c r="M2048" s="1"/>
      <c r="N2048" s="1"/>
      <c r="O2048" s="1"/>
      <c r="P2048" s="1"/>
      <c r="Q2048" s="1"/>
      <c r="R2048" s="1"/>
      <c r="S2048" s="1"/>
      <c r="T2048" s="1"/>
      <c r="U2048" s="1"/>
      <c r="V2048" s="1"/>
      <c r="W2048" s="1"/>
      <c r="X2048" s="1" t="s">
        <v>380</v>
      </c>
      <c r="Y2048" s="1" t="s">
        <v>8015</v>
      </c>
    </row>
    <row r="2049">
      <c r="A2049" s="1">
        <v>4054026.0</v>
      </c>
      <c r="B2049" s="1" t="s">
        <v>8016</v>
      </c>
      <c r="C2049" s="1" t="s">
        <v>8017</v>
      </c>
      <c r="D2049" s="1" t="s">
        <v>8018</v>
      </c>
      <c r="F2049" s="2" t="str">
        <f>"1561486507"</f>
        <v>1561486507</v>
      </c>
      <c r="G2049" s="2" t="str">
        <f>"9781561486502"</f>
        <v>9781561486502</v>
      </c>
      <c r="H2049" s="1" t="s">
        <v>1904</v>
      </c>
      <c r="I2049" s="1" t="s">
        <v>36</v>
      </c>
      <c r="J2049" s="1">
        <v>96.0</v>
      </c>
      <c r="K2049" s="1">
        <v>2008.0</v>
      </c>
      <c r="L2049" s="1">
        <v>2006.0</v>
      </c>
      <c r="M2049" s="1"/>
      <c r="N2049" s="1"/>
      <c r="O2049" s="1"/>
      <c r="P2049" s="1"/>
      <c r="Q2049" s="1"/>
      <c r="R2049" s="1"/>
      <c r="S2049" s="1"/>
      <c r="T2049" s="1"/>
      <c r="U2049" s="1"/>
      <c r="V2049" s="1"/>
      <c r="W2049" s="1"/>
      <c r="X2049" s="1" t="s">
        <v>7111</v>
      </c>
      <c r="Y2049" s="1" t="s">
        <v>8019</v>
      </c>
    </row>
    <row r="2050">
      <c r="A2050" s="1">
        <v>6.1967494E7</v>
      </c>
      <c r="B2050" s="1" t="s">
        <v>8020</v>
      </c>
      <c r="C2050" s="1" t="s">
        <v>2017</v>
      </c>
      <c r="D2050" s="1" t="s">
        <v>2018</v>
      </c>
      <c r="E2050" s="1" t="s">
        <v>8021</v>
      </c>
      <c r="F2050" s="2" t="str">
        <f>"8427224915"</f>
        <v>8427224915</v>
      </c>
      <c r="G2050" s="2" t="str">
        <f>"9788427224919"</f>
        <v>9788427224919</v>
      </c>
      <c r="H2050" s="1" t="s">
        <v>8022</v>
      </c>
      <c r="I2050" s="1" t="s">
        <v>31</v>
      </c>
      <c r="J2050" s="1">
        <v>96.0</v>
      </c>
      <c r="K2050" s="1">
        <v>2023.0</v>
      </c>
      <c r="L2050" s="1">
        <v>2014.0</v>
      </c>
      <c r="M2050" s="1"/>
      <c r="N2050" s="1"/>
      <c r="O2050" s="1"/>
      <c r="P2050" s="1"/>
      <c r="Q2050" s="1"/>
      <c r="R2050" s="1"/>
      <c r="S2050" s="1"/>
      <c r="T2050" s="1"/>
      <c r="U2050" s="1"/>
      <c r="V2050" s="1"/>
      <c r="W2050" s="1"/>
      <c r="X2050" s="1" t="s">
        <v>250</v>
      </c>
      <c r="Y2050" s="1" t="s">
        <v>8023</v>
      </c>
    </row>
    <row r="2051">
      <c r="A2051" s="1">
        <v>6.1967495E7</v>
      </c>
      <c r="B2051" s="1" t="s">
        <v>8024</v>
      </c>
      <c r="C2051" s="1" t="s">
        <v>2017</v>
      </c>
      <c r="D2051" s="1" t="s">
        <v>2018</v>
      </c>
      <c r="E2051" s="1" t="s">
        <v>8021</v>
      </c>
      <c r="F2051" s="2" t="str">
        <f>"8427224923"</f>
        <v>8427224923</v>
      </c>
      <c r="G2051" s="2" t="str">
        <f>"9788427224926"</f>
        <v>9788427224926</v>
      </c>
      <c r="H2051" s="1" t="s">
        <v>8022</v>
      </c>
      <c r="I2051" s="1" t="s">
        <v>31</v>
      </c>
      <c r="J2051" s="1">
        <v>96.0</v>
      </c>
      <c r="K2051" s="1">
        <v>2023.0</v>
      </c>
      <c r="M2051" s="1"/>
      <c r="N2051" s="1"/>
      <c r="O2051" s="1"/>
      <c r="P2051" s="1"/>
      <c r="Q2051" s="1"/>
      <c r="R2051" s="1"/>
      <c r="S2051" s="1"/>
      <c r="T2051" s="1"/>
      <c r="U2051" s="1"/>
      <c r="V2051" s="1"/>
      <c r="W2051" s="1"/>
      <c r="X2051" s="1" t="s">
        <v>250</v>
      </c>
      <c r="Y2051" s="1" t="s">
        <v>8025</v>
      </c>
    </row>
    <row r="2052">
      <c r="A2052" s="1">
        <v>5.9200872E7</v>
      </c>
      <c r="B2052" s="1" t="s">
        <v>8026</v>
      </c>
      <c r="C2052" s="1" t="s">
        <v>2017</v>
      </c>
      <c r="D2052" s="1" t="s">
        <v>2018</v>
      </c>
      <c r="E2052" s="1" t="s">
        <v>8027</v>
      </c>
      <c r="F2052" s="2" t="str">
        <f>"1338776908"</f>
        <v>1338776908</v>
      </c>
      <c r="G2052" s="2" t="str">
        <f>"9781338776904"</f>
        <v>9781338776904</v>
      </c>
      <c r="H2052" s="1" t="s">
        <v>817</v>
      </c>
      <c r="I2052" s="1" t="s">
        <v>36</v>
      </c>
      <c r="J2052" s="1">
        <v>96.0</v>
      </c>
      <c r="K2052" s="1">
        <v>2022.0</v>
      </c>
      <c r="M2052" s="1"/>
      <c r="N2052" s="1"/>
      <c r="O2052" s="1"/>
      <c r="P2052" s="1"/>
      <c r="Q2052" s="1"/>
      <c r="R2052" s="1"/>
      <c r="S2052" s="1"/>
      <c r="T2052" s="1"/>
      <c r="U2052" s="1"/>
      <c r="V2052" s="1"/>
      <c r="W2052" s="1"/>
      <c r="X2052" s="1" t="s">
        <v>250</v>
      </c>
      <c r="Y2052" s="1" t="s">
        <v>8028</v>
      </c>
    </row>
    <row r="2053">
      <c r="A2053" s="1">
        <v>2.0897351E7</v>
      </c>
      <c r="B2053" s="1" t="s">
        <v>8029</v>
      </c>
      <c r="C2053" s="1" t="s">
        <v>2017</v>
      </c>
      <c r="D2053" s="1" t="s">
        <v>2018</v>
      </c>
      <c r="E2053" s="1" t="s">
        <v>8030</v>
      </c>
      <c r="F2053" s="2" t="str">
        <f>"0545646251"</f>
        <v>0545646251</v>
      </c>
      <c r="G2053" s="2" t="str">
        <f>"9780545646253"</f>
        <v>9780545646253</v>
      </c>
      <c r="H2053" s="1" t="s">
        <v>817</v>
      </c>
      <c r="I2053" s="1" t="s">
        <v>36</v>
      </c>
      <c r="J2053" s="1">
        <v>96.0</v>
      </c>
      <c r="K2053" s="1">
        <v>2014.0</v>
      </c>
      <c r="L2053" s="1">
        <v>2014.0</v>
      </c>
      <c r="M2053" s="1"/>
      <c r="N2053" s="1"/>
      <c r="O2053" s="1"/>
      <c r="P2053" s="1"/>
      <c r="Q2053" s="1"/>
      <c r="R2053" s="1"/>
      <c r="S2053" s="1"/>
      <c r="T2053" s="1"/>
      <c r="U2053" s="1"/>
      <c r="V2053" s="1"/>
      <c r="W2053" s="1"/>
      <c r="X2053" s="1" t="s">
        <v>291</v>
      </c>
      <c r="Y2053" s="1" t="s">
        <v>8031</v>
      </c>
    </row>
    <row r="2054">
      <c r="A2054" s="1">
        <v>2.0578964E7</v>
      </c>
      <c r="B2054" s="1" t="s">
        <v>8032</v>
      </c>
      <c r="C2054" s="1" t="s">
        <v>2017</v>
      </c>
      <c r="D2054" s="1" t="s">
        <v>2018</v>
      </c>
      <c r="E2054" s="1" t="s">
        <v>8030</v>
      </c>
      <c r="F2054" s="2" t="str">
        <f>"0545646235"</f>
        <v>0545646235</v>
      </c>
      <c r="G2054" s="2" t="str">
        <f>"9780545646239"</f>
        <v>9780545646239</v>
      </c>
      <c r="H2054" s="1" t="s">
        <v>817</v>
      </c>
      <c r="I2054" s="1" t="s">
        <v>36</v>
      </c>
      <c r="J2054" s="1">
        <v>96.0</v>
      </c>
      <c r="K2054" s="1">
        <v>2014.0</v>
      </c>
      <c r="L2054" s="1">
        <v>2014.0</v>
      </c>
      <c r="M2054" s="1"/>
      <c r="N2054" s="1"/>
      <c r="O2054" s="1"/>
      <c r="P2054" s="1"/>
      <c r="Q2054" s="1"/>
      <c r="R2054" s="1"/>
      <c r="S2054" s="1"/>
      <c r="T2054" s="1"/>
      <c r="U2054" s="1"/>
      <c r="V2054" s="1"/>
      <c r="W2054" s="1"/>
      <c r="X2054" s="1" t="s">
        <v>291</v>
      </c>
      <c r="Y2054" s="1" t="s">
        <v>8033</v>
      </c>
    </row>
    <row r="2055">
      <c r="A2055" s="1">
        <v>1010988.0</v>
      </c>
      <c r="B2055" s="1" t="s">
        <v>8034</v>
      </c>
      <c r="C2055" s="1" t="s">
        <v>2017</v>
      </c>
      <c r="D2055" s="1" t="s">
        <v>2018</v>
      </c>
      <c r="F2055" s="2" t="str">
        <f>"0439200903"</f>
        <v>0439200903</v>
      </c>
      <c r="G2055" s="2" t="str">
        <f>"9780439200905"</f>
        <v>9780439200905</v>
      </c>
      <c r="H2055" s="1" t="s">
        <v>817</v>
      </c>
      <c r="I2055" s="1" t="s">
        <v>36</v>
      </c>
      <c r="J2055" s="1">
        <v>96.0</v>
      </c>
      <c r="K2055" s="1">
        <v>2000.0</v>
      </c>
      <c r="L2055" s="1">
        <v>2000.0</v>
      </c>
      <c r="M2055" s="1"/>
      <c r="N2055" s="1"/>
      <c r="O2055" s="1"/>
      <c r="P2055" s="1"/>
      <c r="Q2055" s="1"/>
      <c r="R2055" s="1"/>
      <c r="S2055" s="1"/>
      <c r="T2055" s="1"/>
      <c r="U2055" s="1"/>
      <c r="V2055" s="1"/>
      <c r="W2055" s="1"/>
      <c r="X2055" s="1" t="s">
        <v>45</v>
      </c>
      <c r="Y2055" s="1" t="s">
        <v>8035</v>
      </c>
    </row>
    <row r="2056">
      <c r="A2056" s="1">
        <v>5.099867E7</v>
      </c>
      <c r="B2056" s="1" t="s">
        <v>8036</v>
      </c>
      <c r="C2056" s="1" t="s">
        <v>724</v>
      </c>
      <c r="D2056" s="1" t="s">
        <v>725</v>
      </c>
      <c r="F2056" s="2" t="str">
        <f>"1368053351"</f>
        <v>1368053351</v>
      </c>
      <c r="G2056" s="2" t="str">
        <f>"9781368053358"</f>
        <v>9781368053358</v>
      </c>
      <c r="H2056" s="1" t="s">
        <v>6415</v>
      </c>
      <c r="I2056" s="1" t="s">
        <v>31</v>
      </c>
      <c r="J2056" s="1">
        <v>96.0</v>
      </c>
      <c r="K2056" s="1">
        <v>2020.0</v>
      </c>
      <c r="L2056" s="1">
        <v>2020.0</v>
      </c>
      <c r="M2056" s="1"/>
      <c r="N2056" s="1"/>
      <c r="O2056" s="1"/>
      <c r="P2056" s="1"/>
      <c r="Q2056" s="1"/>
      <c r="R2056" s="1"/>
      <c r="S2056" s="1"/>
      <c r="T2056" s="1"/>
      <c r="U2056" s="1"/>
      <c r="V2056" s="1"/>
      <c r="W2056" s="1"/>
      <c r="X2056" s="1" t="s">
        <v>727</v>
      </c>
      <c r="Y2056" s="1" t="s">
        <v>8037</v>
      </c>
    </row>
    <row r="2057">
      <c r="A2057" s="1">
        <v>3.832508E7</v>
      </c>
      <c r="B2057" s="1" t="s">
        <v>8038</v>
      </c>
      <c r="C2057" s="1" t="s">
        <v>724</v>
      </c>
      <c r="D2057" s="1" t="s">
        <v>725</v>
      </c>
      <c r="F2057" s="2" t="str">
        <f>"1368024572"</f>
        <v>1368024572</v>
      </c>
      <c r="G2057" s="2" t="str">
        <f>"9781368024570"</f>
        <v>9781368024570</v>
      </c>
      <c r="H2057" s="1" t="s">
        <v>726</v>
      </c>
      <c r="I2057" s="1" t="s">
        <v>31</v>
      </c>
      <c r="J2057" s="1">
        <v>96.0</v>
      </c>
      <c r="K2057" s="1">
        <v>2018.0</v>
      </c>
      <c r="L2057" s="1">
        <v>2018.0</v>
      </c>
      <c r="M2057" s="1"/>
      <c r="N2057" s="1"/>
      <c r="O2057" s="1"/>
      <c r="P2057" s="1"/>
      <c r="Q2057" s="1"/>
      <c r="R2057" s="1"/>
      <c r="S2057" s="1"/>
      <c r="T2057" s="1"/>
      <c r="U2057" s="1"/>
      <c r="V2057" s="1"/>
      <c r="W2057" s="1"/>
      <c r="X2057" s="1" t="s">
        <v>727</v>
      </c>
      <c r="Y2057" s="1" t="s">
        <v>8039</v>
      </c>
    </row>
    <row r="2058">
      <c r="A2058" s="1">
        <v>3.3508955E7</v>
      </c>
      <c r="B2058" s="1" t="s">
        <v>8040</v>
      </c>
      <c r="C2058" s="1" t="s">
        <v>8041</v>
      </c>
      <c r="D2058" s="1" t="s">
        <v>8042</v>
      </c>
      <c r="E2058" s="1" t="s">
        <v>8043</v>
      </c>
      <c r="F2058" s="2" t="str">
        <f>"1623368839"</f>
        <v>1623368839</v>
      </c>
      <c r="G2058" s="2" t="str">
        <f>"9781623368838"</f>
        <v>9781623368838</v>
      </c>
      <c r="H2058" s="1" t="s">
        <v>8044</v>
      </c>
      <c r="I2058" s="1" t="s">
        <v>36</v>
      </c>
      <c r="J2058" s="1">
        <v>96.0</v>
      </c>
      <c r="K2058" s="1">
        <v>2017.0</v>
      </c>
      <c r="M2058" s="1"/>
      <c r="N2058" s="1"/>
      <c r="O2058" s="1"/>
      <c r="P2058" s="1"/>
      <c r="Q2058" s="1"/>
      <c r="R2058" s="1"/>
      <c r="S2058" s="1"/>
      <c r="T2058" s="1"/>
      <c r="U2058" s="1"/>
      <c r="V2058" s="1"/>
      <c r="W2058" s="1"/>
      <c r="X2058" s="1" t="s">
        <v>1156</v>
      </c>
      <c r="Y2058" s="1" t="s">
        <v>8045</v>
      </c>
    </row>
    <row r="2059">
      <c r="A2059" s="1">
        <v>5.7642543E7</v>
      </c>
      <c r="B2059" s="1" t="s">
        <v>8046</v>
      </c>
      <c r="C2059" s="1" t="s">
        <v>739</v>
      </c>
      <c r="D2059" s="1" t="s">
        <v>740</v>
      </c>
      <c r="E2059" s="1" t="s">
        <v>8047</v>
      </c>
      <c r="F2059" s="2" t="str">
        <f>"1683371852"</f>
        <v>1683371852</v>
      </c>
      <c r="G2059" s="2" t="str">
        <f>"9781683371854"</f>
        <v>9781683371854</v>
      </c>
      <c r="H2059" s="1" t="s">
        <v>8048</v>
      </c>
      <c r="I2059" s="1" t="s">
        <v>36</v>
      </c>
      <c r="J2059" s="1">
        <v>96.0</v>
      </c>
      <c r="K2059" s="1">
        <v>2021.0</v>
      </c>
      <c r="L2059" s="1">
        <v>2021.0</v>
      </c>
      <c r="M2059" s="1"/>
      <c r="N2059" s="1"/>
      <c r="O2059" s="1"/>
      <c r="P2059" s="1"/>
      <c r="Q2059" s="1"/>
      <c r="R2059" s="1"/>
      <c r="S2059" s="1"/>
      <c r="T2059" s="1"/>
      <c r="U2059" s="1"/>
      <c r="V2059" s="1"/>
      <c r="W2059" s="1"/>
      <c r="X2059" s="1" t="s">
        <v>45</v>
      </c>
      <c r="Y2059" s="1" t="s">
        <v>8049</v>
      </c>
    </row>
    <row r="2060">
      <c r="A2060" s="1">
        <v>906543.0</v>
      </c>
      <c r="B2060" s="1" t="s">
        <v>8050</v>
      </c>
      <c r="C2060" s="1" t="s">
        <v>8051</v>
      </c>
      <c r="D2060" s="1" t="s">
        <v>8052</v>
      </c>
      <c r="E2060" s="1" t="s">
        <v>3648</v>
      </c>
      <c r="F2060" s="2" t="str">
        <f>"0064402509"</f>
        <v>0064402509</v>
      </c>
      <c r="G2060" s="2" t="str">
        <f>"9780064402507"</f>
        <v>9780064402507</v>
      </c>
      <c r="H2060" s="1" t="s">
        <v>290</v>
      </c>
      <c r="I2060" s="1" t="s">
        <v>36</v>
      </c>
      <c r="J2060" s="1">
        <v>97.0</v>
      </c>
      <c r="K2060" s="1">
        <v>1989.0</v>
      </c>
      <c r="L2060" s="1">
        <v>1958.0</v>
      </c>
      <c r="M2060" s="1"/>
      <c r="N2060" s="1"/>
      <c r="O2060" s="1"/>
      <c r="P2060" s="1"/>
      <c r="Q2060" s="1"/>
      <c r="R2060" s="1"/>
      <c r="S2060" s="1"/>
      <c r="T2060" s="1"/>
      <c r="U2060" s="1"/>
      <c r="V2060" s="1"/>
      <c r="W2060" s="1"/>
      <c r="X2060" s="1" t="s">
        <v>45</v>
      </c>
      <c r="Y2060" s="1" t="s">
        <v>8053</v>
      </c>
    </row>
    <row r="2061">
      <c r="A2061" s="1">
        <v>558394.0</v>
      </c>
      <c r="B2061" s="1" t="s">
        <v>8054</v>
      </c>
      <c r="C2061" s="1" t="s">
        <v>8055</v>
      </c>
      <c r="D2061" s="1" t="s">
        <v>8056</v>
      </c>
      <c r="F2061" s="2" t="str">
        <f>"0590443003"</f>
        <v>0590443003</v>
      </c>
      <c r="G2061" s="2" t="str">
        <f>"9780590443005"</f>
        <v>9780590443005</v>
      </c>
      <c r="H2061" s="1" t="s">
        <v>2944</v>
      </c>
      <c r="I2061" s="1" t="s">
        <v>36</v>
      </c>
      <c r="J2061" s="1">
        <v>97.0</v>
      </c>
      <c r="K2061" s="1">
        <v>1988.0</v>
      </c>
      <c r="L2061" s="1">
        <v>1988.0</v>
      </c>
      <c r="M2061" s="1"/>
      <c r="N2061" s="1"/>
      <c r="O2061" s="1"/>
      <c r="P2061" s="1"/>
      <c r="Q2061" s="1"/>
      <c r="R2061" s="1"/>
      <c r="S2061" s="1"/>
      <c r="T2061" s="1"/>
      <c r="U2061" s="1"/>
      <c r="V2061" s="1"/>
      <c r="W2061" s="1"/>
      <c r="X2061" s="1" t="s">
        <v>180</v>
      </c>
      <c r="Y2061" s="1" t="s">
        <v>8057</v>
      </c>
    </row>
    <row r="2062">
      <c r="A2062" s="1">
        <v>2.4727081E7</v>
      </c>
      <c r="B2062" s="1" t="s">
        <v>8058</v>
      </c>
      <c r="C2062" s="1" t="s">
        <v>225</v>
      </c>
      <c r="D2062" s="1" t="s">
        <v>226</v>
      </c>
      <c r="E2062" s="1" t="s">
        <v>3159</v>
      </c>
      <c r="F2062" s="2" t="str">
        <f>"0763668869"</f>
        <v>0763668869</v>
      </c>
      <c r="G2062" s="2" t="str">
        <f>"9780763668860"</f>
        <v>9780763668860</v>
      </c>
      <c r="H2062" s="1" t="s">
        <v>945</v>
      </c>
      <c r="I2062" s="1" t="s">
        <v>31</v>
      </c>
      <c r="J2062" s="1">
        <v>98.0</v>
      </c>
      <c r="K2062" s="1">
        <v>2015.0</v>
      </c>
      <c r="L2062" s="1">
        <v>2015.0</v>
      </c>
      <c r="M2062" s="1"/>
      <c r="N2062" s="1"/>
      <c r="O2062" s="1"/>
      <c r="P2062" s="1"/>
      <c r="Q2062" s="1"/>
      <c r="R2062" s="1"/>
      <c r="S2062" s="1"/>
      <c r="T2062" s="1"/>
      <c r="U2062" s="1"/>
      <c r="V2062" s="1"/>
      <c r="W2062" s="1"/>
      <c r="X2062" s="1" t="s">
        <v>1397</v>
      </c>
      <c r="Y2062" s="1" t="s">
        <v>8059</v>
      </c>
    </row>
    <row r="2063">
      <c r="A2063" s="1">
        <v>3.4504911E7</v>
      </c>
      <c r="B2063" s="1" t="s">
        <v>8060</v>
      </c>
      <c r="C2063" s="1" t="s">
        <v>571</v>
      </c>
      <c r="D2063" s="1" t="s">
        <v>572</v>
      </c>
      <c r="F2063" s="2" t="str">
        <f>"1601396295"</f>
        <v>1601396295</v>
      </c>
      <c r="G2063" s="2" t="str">
        <f>"9781601396297"</f>
        <v>9781601396297</v>
      </c>
      <c r="H2063" s="1" t="s">
        <v>8061</v>
      </c>
      <c r="I2063" s="1" t="s">
        <v>36</v>
      </c>
      <c r="J2063" s="1">
        <v>98.0</v>
      </c>
      <c r="K2063" s="1">
        <v>2024.0</v>
      </c>
      <c r="M2063" s="1"/>
      <c r="N2063" s="1"/>
      <c r="O2063" s="1"/>
      <c r="P2063" s="1"/>
      <c r="Q2063" s="1"/>
      <c r="R2063" s="1"/>
      <c r="S2063" s="1"/>
      <c r="T2063" s="1"/>
      <c r="U2063" s="1"/>
      <c r="V2063" s="1"/>
      <c r="W2063" s="1"/>
      <c r="X2063" s="1" t="s">
        <v>380</v>
      </c>
      <c r="Y2063" s="1" t="s">
        <v>8062</v>
      </c>
    </row>
    <row r="2064">
      <c r="A2064" s="1">
        <v>4.0712935E7</v>
      </c>
      <c r="B2064" s="1" t="s">
        <v>8063</v>
      </c>
      <c r="C2064" s="1" t="s">
        <v>7847</v>
      </c>
      <c r="D2064" s="1" t="s">
        <v>7848</v>
      </c>
      <c r="E2064" s="1" t="s">
        <v>7849</v>
      </c>
      <c r="F2064" s="2" t="str">
        <f>"1338275216"</f>
        <v>1338275216</v>
      </c>
      <c r="G2064" s="2" t="str">
        <f>"9781338275216"</f>
        <v>9781338275216</v>
      </c>
      <c r="H2064" s="1" t="s">
        <v>1575</v>
      </c>
      <c r="I2064" s="1" t="s">
        <v>238</v>
      </c>
      <c r="J2064" s="1">
        <v>100.0</v>
      </c>
      <c r="K2064" s="1">
        <v>2018.0</v>
      </c>
      <c r="L2064" s="1">
        <v>2016.0</v>
      </c>
      <c r="M2064" s="1"/>
      <c r="N2064" s="1"/>
      <c r="O2064" s="1"/>
      <c r="P2064" s="1"/>
      <c r="Q2064" s="1"/>
      <c r="R2064" s="1"/>
      <c r="S2064" s="1"/>
      <c r="T2064" s="1"/>
      <c r="U2064" s="1"/>
      <c r="V2064" s="1"/>
      <c r="W2064" s="1"/>
      <c r="X2064" s="1" t="s">
        <v>250</v>
      </c>
      <c r="Y2064" s="1" t="s">
        <v>8064</v>
      </c>
    </row>
    <row r="2065">
      <c r="A2065" s="1">
        <v>110561.0</v>
      </c>
      <c r="B2065" s="1" t="s">
        <v>8065</v>
      </c>
      <c r="C2065" s="1" t="s">
        <v>288</v>
      </c>
      <c r="D2065" s="1" t="s">
        <v>289</v>
      </c>
      <c r="E2065" s="1" t="s">
        <v>7742</v>
      </c>
      <c r="F2065" s="2" t="str">
        <f>"0060822279"</f>
        <v>0060822279</v>
      </c>
      <c r="G2065" s="2" t="str">
        <f>"9780060822279"</f>
        <v>9780060822279</v>
      </c>
      <c r="H2065" s="1" t="s">
        <v>290</v>
      </c>
      <c r="I2065" s="1" t="s">
        <v>36</v>
      </c>
      <c r="J2065" s="1">
        <v>100.0</v>
      </c>
      <c r="K2065" s="1">
        <v>2006.0</v>
      </c>
      <c r="L2065" s="1">
        <v>2006.0</v>
      </c>
      <c r="M2065" s="1"/>
      <c r="N2065" s="1"/>
      <c r="O2065" s="1"/>
      <c r="P2065" s="1"/>
      <c r="Q2065" s="1"/>
      <c r="R2065" s="1"/>
      <c r="S2065" s="1"/>
      <c r="T2065" s="1"/>
      <c r="U2065" s="1"/>
      <c r="V2065" s="1"/>
      <c r="W2065" s="1"/>
      <c r="X2065" s="1" t="s">
        <v>436</v>
      </c>
      <c r="Y2065" s="1" t="s">
        <v>8066</v>
      </c>
    </row>
    <row r="2066">
      <c r="A2066" s="1">
        <v>413110.0</v>
      </c>
      <c r="B2066" s="1" t="s">
        <v>8067</v>
      </c>
      <c r="C2066" s="1" t="s">
        <v>7310</v>
      </c>
      <c r="D2066" s="1" t="s">
        <v>7311</v>
      </c>
      <c r="E2066" s="1" t="s">
        <v>4868</v>
      </c>
      <c r="F2066" s="2" t="str">
        <f>"0397320825"</f>
        <v>0397320825</v>
      </c>
      <c r="G2066" s="2" t="str">
        <f>"9780397320820"</f>
        <v>9780397320820</v>
      </c>
      <c r="H2066" s="1" t="s">
        <v>4172</v>
      </c>
      <c r="I2066" s="1" t="s">
        <v>91</v>
      </c>
      <c r="J2066" s="1">
        <v>100.0</v>
      </c>
      <c r="K2066" s="1">
        <v>2001.0</v>
      </c>
      <c r="L2066" s="1">
        <v>1984.0</v>
      </c>
      <c r="M2066" s="1"/>
      <c r="N2066" s="1"/>
      <c r="O2066" s="1"/>
      <c r="P2066" s="1"/>
      <c r="Q2066" s="1"/>
      <c r="R2066" s="1"/>
      <c r="S2066" s="1"/>
      <c r="T2066" s="1"/>
      <c r="U2066" s="1"/>
      <c r="V2066" s="1"/>
      <c r="W2066" s="1"/>
      <c r="X2066" s="1" t="s">
        <v>8068</v>
      </c>
      <c r="Y2066" s="1" t="s">
        <v>8069</v>
      </c>
    </row>
    <row r="2067">
      <c r="A2067" s="1">
        <v>4.1090768E7</v>
      </c>
      <c r="B2067" s="1" t="s">
        <v>8070</v>
      </c>
      <c r="C2067" s="1" t="s">
        <v>8071</v>
      </c>
      <c r="D2067" s="1" t="s">
        <v>8072</v>
      </c>
      <c r="F2067" s="2" t="str">
        <f>"0998454354"</f>
        <v>0998454354</v>
      </c>
      <c r="G2067" s="2" t="str">
        <f>"9780998454351"</f>
        <v>9780998454351</v>
      </c>
      <c r="H2067" s="1" t="s">
        <v>8073</v>
      </c>
      <c r="I2067" s="1" t="s">
        <v>36</v>
      </c>
      <c r="J2067" s="1">
        <v>101.0</v>
      </c>
      <c r="K2067" s="1">
        <v>2018.0</v>
      </c>
      <c r="M2067" s="1"/>
      <c r="N2067" s="1"/>
      <c r="O2067" s="1"/>
      <c r="P2067" s="1"/>
      <c r="Q2067" s="1"/>
      <c r="R2067" s="1"/>
      <c r="S2067" s="1"/>
      <c r="T2067" s="1"/>
      <c r="U2067" s="1"/>
      <c r="V2067" s="1"/>
      <c r="W2067" s="1"/>
      <c r="X2067" s="1" t="s">
        <v>1024</v>
      </c>
      <c r="Y2067" s="1" t="s">
        <v>8074</v>
      </c>
    </row>
    <row r="2068">
      <c r="A2068" s="1">
        <v>8601831.0</v>
      </c>
      <c r="B2068" s="1" t="s">
        <v>8075</v>
      </c>
      <c r="C2068" s="1" t="s">
        <v>288</v>
      </c>
      <c r="D2068" s="1" t="s">
        <v>289</v>
      </c>
      <c r="E2068" s="1" t="s">
        <v>7742</v>
      </c>
      <c r="F2068" s="2" t="str">
        <f>"0061704024"</f>
        <v>0061704024</v>
      </c>
      <c r="G2068" s="2" t="str">
        <f>"9780061704024"</f>
        <v>9780061704024</v>
      </c>
      <c r="H2068" s="1" t="s">
        <v>290</v>
      </c>
      <c r="I2068" s="1" t="s">
        <v>36</v>
      </c>
      <c r="J2068" s="1">
        <v>102.0</v>
      </c>
      <c r="K2068" s="1">
        <v>2011.0</v>
      </c>
      <c r="L2068" s="1">
        <v>2011.0</v>
      </c>
      <c r="M2068" s="1"/>
      <c r="N2068" s="1"/>
      <c r="O2068" s="1"/>
      <c r="P2068" s="1"/>
      <c r="Q2068" s="1"/>
      <c r="R2068" s="1"/>
      <c r="S2068" s="1"/>
      <c r="T2068" s="1"/>
      <c r="U2068" s="1"/>
      <c r="V2068" s="1"/>
      <c r="W2068" s="1"/>
      <c r="X2068" s="1" t="s">
        <v>7898</v>
      </c>
      <c r="Y2068" s="1" t="s">
        <v>8076</v>
      </c>
    </row>
    <row r="2069">
      <c r="A2069" s="1">
        <v>6.0137236E7</v>
      </c>
      <c r="B2069" s="1" t="s">
        <v>8077</v>
      </c>
      <c r="C2069" s="1" t="s">
        <v>8071</v>
      </c>
      <c r="D2069" s="1" t="s">
        <v>8072</v>
      </c>
      <c r="F2069" s="2" t="str">
        <f>"1970146125"</f>
        <v>1970146125</v>
      </c>
      <c r="G2069" s="2" t="str">
        <f>"9781970146127"</f>
        <v>9781970146127</v>
      </c>
      <c r="H2069" s="1" t="s">
        <v>8073</v>
      </c>
      <c r="I2069" s="1" t="s">
        <v>36</v>
      </c>
      <c r="J2069" s="1">
        <v>103.0</v>
      </c>
      <c r="K2069" s="1">
        <v>2021.0</v>
      </c>
      <c r="M2069" s="1"/>
      <c r="N2069" s="1"/>
      <c r="O2069" s="1"/>
      <c r="P2069" s="1"/>
      <c r="Q2069" s="1"/>
      <c r="R2069" s="1"/>
      <c r="S2069" s="1"/>
      <c r="T2069" s="1"/>
      <c r="U2069" s="1"/>
      <c r="V2069" s="1"/>
      <c r="W2069" s="1"/>
      <c r="X2069" s="1" t="s">
        <v>1024</v>
      </c>
      <c r="Y2069" s="1" t="s">
        <v>8078</v>
      </c>
    </row>
    <row r="2070">
      <c r="A2070" s="1">
        <v>3.9851385E7</v>
      </c>
      <c r="B2070" s="1" t="s">
        <v>8079</v>
      </c>
      <c r="C2070" s="1" t="s">
        <v>8071</v>
      </c>
      <c r="D2070" s="1" t="s">
        <v>8072</v>
      </c>
      <c r="F2070" s="2" t="str">
        <f>"0998454338"</f>
        <v>0998454338</v>
      </c>
      <c r="G2070" s="2" t="str">
        <f>"9780998454337"</f>
        <v>9780998454337</v>
      </c>
      <c r="H2070" s="1" t="s">
        <v>8073</v>
      </c>
      <c r="I2070" s="1" t="s">
        <v>36</v>
      </c>
      <c r="J2070" s="1">
        <v>103.0</v>
      </c>
      <c r="K2070" s="1">
        <v>2018.0</v>
      </c>
      <c r="M2070" s="1"/>
      <c r="N2070" s="1"/>
      <c r="O2070" s="1"/>
      <c r="P2070" s="1"/>
      <c r="Q2070" s="1"/>
      <c r="R2070" s="1"/>
      <c r="S2070" s="1"/>
      <c r="T2070" s="1"/>
      <c r="U2070" s="1"/>
      <c r="V2070" s="1"/>
      <c r="W2070" s="1"/>
      <c r="X2070" s="1" t="s">
        <v>1024</v>
      </c>
      <c r="Y2070" s="1" t="s">
        <v>8080</v>
      </c>
    </row>
    <row r="2071">
      <c r="A2071" s="1">
        <v>3.5632295E7</v>
      </c>
      <c r="B2071" s="1" t="s">
        <v>8081</v>
      </c>
      <c r="C2071" s="1" t="s">
        <v>8071</v>
      </c>
      <c r="D2071" s="1" t="s">
        <v>8072</v>
      </c>
      <c r="F2071" s="2" t="str">
        <f>"0998454303"</f>
        <v>0998454303</v>
      </c>
      <c r="G2071" s="2" t="str">
        <f>"9780998454306"</f>
        <v>9780998454306</v>
      </c>
      <c r="H2071" s="1" t="s">
        <v>8073</v>
      </c>
      <c r="I2071" s="1" t="s">
        <v>36</v>
      </c>
      <c r="J2071" s="1">
        <v>103.0</v>
      </c>
      <c r="K2071" s="1">
        <v>2017.0</v>
      </c>
      <c r="M2071" s="1"/>
      <c r="N2071" s="1"/>
      <c r="O2071" s="1"/>
      <c r="P2071" s="1"/>
      <c r="Q2071" s="1"/>
      <c r="R2071" s="1"/>
      <c r="S2071" s="1"/>
      <c r="T2071" s="1"/>
      <c r="U2071" s="1"/>
      <c r="V2071" s="1"/>
      <c r="W2071" s="1"/>
      <c r="X2071" s="1" t="s">
        <v>1024</v>
      </c>
      <c r="Y2071" s="1" t="s">
        <v>8082</v>
      </c>
    </row>
    <row r="2072">
      <c r="A2072" s="1">
        <v>2.2084351E7</v>
      </c>
      <c r="B2072" s="1" t="s">
        <v>8083</v>
      </c>
      <c r="C2072" s="1" t="s">
        <v>546</v>
      </c>
      <c r="D2072" s="1" t="s">
        <v>547</v>
      </c>
      <c r="E2072" s="1" t="s">
        <v>5785</v>
      </c>
      <c r="F2072" s="2" t="str">
        <f>"0545631076"</f>
        <v>0545631076</v>
      </c>
      <c r="G2072" s="2" t="str">
        <f>"9780545631075"</f>
        <v>9780545631075</v>
      </c>
      <c r="H2072" s="1" t="s">
        <v>817</v>
      </c>
      <c r="I2072" s="1" t="s">
        <v>238</v>
      </c>
      <c r="J2072" s="1">
        <v>104.0</v>
      </c>
      <c r="K2072" s="1">
        <v>2014.0</v>
      </c>
      <c r="L2072" s="1">
        <v>2000.0</v>
      </c>
      <c r="M2072" s="1"/>
      <c r="N2072" s="1"/>
      <c r="O2072" s="1"/>
      <c r="P2072" s="1"/>
      <c r="Q2072" s="1"/>
      <c r="R2072" s="1"/>
      <c r="S2072" s="1"/>
      <c r="T2072" s="1"/>
      <c r="U2072" s="1"/>
      <c r="V2072" s="1"/>
      <c r="W2072" s="1"/>
      <c r="X2072" s="1" t="s">
        <v>1397</v>
      </c>
      <c r="Y2072" s="1" t="s">
        <v>8084</v>
      </c>
    </row>
    <row r="2073">
      <c r="A2073" s="1">
        <v>3.1812172E7</v>
      </c>
      <c r="B2073" s="1" t="s">
        <v>8085</v>
      </c>
      <c r="C2073" s="1" t="s">
        <v>8086</v>
      </c>
      <c r="D2073" s="1" t="s">
        <v>8087</v>
      </c>
      <c r="E2073" s="1" t="s">
        <v>8088</v>
      </c>
      <c r="F2073" s="2" t="str">
        <f>"1609588754"</f>
        <v>1609588754</v>
      </c>
      <c r="G2073" s="2" t="str">
        <f>"9781609588755"</f>
        <v>9781609588755</v>
      </c>
      <c r="H2073" s="1" t="s">
        <v>8048</v>
      </c>
      <c r="I2073" s="1" t="s">
        <v>36</v>
      </c>
      <c r="J2073" s="1">
        <v>104.0</v>
      </c>
      <c r="K2073" s="1">
        <v>2017.0</v>
      </c>
      <c r="L2073" s="1">
        <v>2017.0</v>
      </c>
      <c r="M2073" s="1"/>
      <c r="N2073" s="1"/>
      <c r="O2073" s="1"/>
      <c r="P2073" s="1"/>
      <c r="Q2073" s="1"/>
      <c r="R2073" s="1"/>
      <c r="S2073" s="1"/>
      <c r="T2073" s="1"/>
      <c r="U2073" s="1"/>
      <c r="V2073" s="1"/>
      <c r="W2073" s="1"/>
      <c r="X2073" s="1" t="s">
        <v>45</v>
      </c>
      <c r="Y2073" s="1" t="s">
        <v>8089</v>
      </c>
    </row>
    <row r="2074">
      <c r="A2074" s="1">
        <v>1.3543188E7</v>
      </c>
      <c r="B2074" s="1" t="s">
        <v>8090</v>
      </c>
      <c r="C2074" s="1" t="s">
        <v>8091</v>
      </c>
      <c r="D2074" s="1" t="s">
        <v>8092</v>
      </c>
      <c r="E2074" s="1" t="s">
        <v>8093</v>
      </c>
      <c r="F2074" s="2" t="str">
        <f>"0448458721"</f>
        <v>0448458721</v>
      </c>
      <c r="G2074" s="2" t="str">
        <f>"9780448458724"</f>
        <v>9780448458724</v>
      </c>
      <c r="H2074" s="1" t="s">
        <v>7281</v>
      </c>
      <c r="I2074" s="1" t="s">
        <v>36</v>
      </c>
      <c r="J2074" s="1">
        <v>105.0</v>
      </c>
      <c r="K2074" s="1">
        <v>2012.0</v>
      </c>
      <c r="L2074" s="1">
        <v>2012.0</v>
      </c>
      <c r="M2074" s="1"/>
      <c r="N2074" s="1"/>
      <c r="O2074" s="1"/>
      <c r="P2074" s="1"/>
      <c r="Q2074" s="1"/>
      <c r="R2074" s="1"/>
      <c r="S2074" s="1"/>
      <c r="T2074" s="1"/>
      <c r="U2074" s="1"/>
      <c r="V2074" s="1"/>
      <c r="W2074" s="1"/>
      <c r="X2074" s="1" t="s">
        <v>8094</v>
      </c>
      <c r="Y2074" s="1" t="s">
        <v>8095</v>
      </c>
    </row>
    <row r="2075">
      <c r="A2075" s="1">
        <v>3.7586089E7</v>
      </c>
      <c r="B2075" s="1" t="s">
        <v>8096</v>
      </c>
      <c r="C2075" s="1" t="s">
        <v>8097</v>
      </c>
      <c r="D2075" s="1" t="s">
        <v>8098</v>
      </c>
      <c r="E2075" s="1" t="s">
        <v>8099</v>
      </c>
      <c r="F2075" s="2" t="str">
        <f>"0995958726"</f>
        <v>0995958726</v>
      </c>
      <c r="G2075" s="2" t="str">
        <f>"9780995958722"</f>
        <v>9780995958722</v>
      </c>
      <c r="H2075" s="1" t="s">
        <v>8097</v>
      </c>
      <c r="I2075" s="1" t="s">
        <v>36</v>
      </c>
      <c r="J2075" s="1">
        <v>105.0</v>
      </c>
      <c r="K2075" s="1">
        <v>2017.0</v>
      </c>
      <c r="M2075" s="1"/>
      <c r="N2075" s="1"/>
      <c r="O2075" s="1"/>
      <c r="P2075" s="1"/>
      <c r="Q2075" s="1"/>
      <c r="R2075" s="1"/>
      <c r="S2075" s="1"/>
      <c r="T2075" s="1"/>
      <c r="U2075" s="1"/>
      <c r="V2075" s="1"/>
      <c r="W2075" s="1"/>
      <c r="X2075" s="1" t="s">
        <v>1024</v>
      </c>
      <c r="Y2075" s="1" t="s">
        <v>8100</v>
      </c>
    </row>
    <row r="2076">
      <c r="A2076" s="1">
        <v>3950967.0</v>
      </c>
      <c r="B2076" s="1" t="s">
        <v>8101</v>
      </c>
      <c r="C2076" s="1" t="s">
        <v>601</v>
      </c>
      <c r="D2076" s="1" t="s">
        <v>602</v>
      </c>
      <c r="E2076" s="1" t="s">
        <v>8102</v>
      </c>
      <c r="F2076" s="2" t="str">
        <f>"0747599874"</f>
        <v>0747599874</v>
      </c>
      <c r="G2076" s="2" t="str">
        <f>"9780747599876"</f>
        <v>9780747599876</v>
      </c>
      <c r="H2076" s="1" t="s">
        <v>4054</v>
      </c>
      <c r="I2076" s="1" t="s">
        <v>31</v>
      </c>
      <c r="J2076" s="1">
        <v>105.0</v>
      </c>
      <c r="K2076" s="1">
        <v>2008.0</v>
      </c>
      <c r="L2076" s="1">
        <v>2008.0</v>
      </c>
      <c r="M2076" s="1"/>
      <c r="N2076" s="1"/>
      <c r="O2076" s="1"/>
      <c r="P2076" s="1"/>
      <c r="Q2076" s="1"/>
      <c r="R2076" s="1"/>
      <c r="S2076" s="1"/>
      <c r="T2076" s="1"/>
      <c r="U2076" s="1"/>
      <c r="V2076" s="1"/>
      <c r="W2076" s="1"/>
      <c r="X2076" s="1" t="s">
        <v>8103</v>
      </c>
      <c r="Y2076" s="1" t="s">
        <v>8104</v>
      </c>
    </row>
    <row r="2077">
      <c r="A2077" s="1">
        <v>2.2318343E7</v>
      </c>
      <c r="B2077" s="1" t="s">
        <v>8105</v>
      </c>
      <c r="C2077" s="1" t="s">
        <v>2257</v>
      </c>
      <c r="D2077" s="1" t="s">
        <v>2258</v>
      </c>
      <c r="E2077" s="1" t="s">
        <v>8106</v>
      </c>
      <c r="F2077" s="2" t="str">
        <f t="shared" ref="F2077:G2077" si="128">""</f>
        <v/>
      </c>
      <c r="G2077" s="2" t="str">
        <f t="shared" si="128"/>
        <v/>
      </c>
      <c r="H2077" s="1" t="s">
        <v>2940</v>
      </c>
      <c r="I2077" s="1" t="s">
        <v>238</v>
      </c>
      <c r="J2077" s="1">
        <v>106.0</v>
      </c>
      <c r="K2077" s="1">
        <v>2014.0</v>
      </c>
      <c r="L2077" s="1">
        <v>2014.0</v>
      </c>
      <c r="M2077" s="1"/>
      <c r="N2077" s="1"/>
      <c r="O2077" s="1"/>
      <c r="P2077" s="1"/>
      <c r="Q2077" s="1"/>
      <c r="R2077" s="1"/>
      <c r="S2077" s="1"/>
      <c r="T2077" s="1"/>
      <c r="U2077" s="1"/>
      <c r="V2077" s="1"/>
      <c r="W2077" s="1"/>
      <c r="X2077" s="1" t="s">
        <v>45</v>
      </c>
      <c r="Y2077" s="1" t="s">
        <v>8107</v>
      </c>
    </row>
    <row r="2078">
      <c r="A2078" s="1">
        <v>3.700387E7</v>
      </c>
      <c r="B2078" s="1" t="s">
        <v>8108</v>
      </c>
      <c r="C2078" s="1" t="s">
        <v>8097</v>
      </c>
      <c r="D2078" s="1" t="s">
        <v>8098</v>
      </c>
      <c r="E2078" s="1" t="s">
        <v>8109</v>
      </c>
      <c r="F2078" s="2" t="str">
        <f>"099595870X"</f>
        <v>099595870X</v>
      </c>
      <c r="G2078" s="2" t="str">
        <f>"9780995958708"</f>
        <v>9780995958708</v>
      </c>
      <c r="H2078" s="1" t="s">
        <v>8097</v>
      </c>
      <c r="I2078" s="1" t="s">
        <v>36</v>
      </c>
      <c r="J2078" s="1">
        <v>106.0</v>
      </c>
      <c r="K2078" s="1">
        <v>2017.0</v>
      </c>
      <c r="M2078" s="1"/>
      <c r="N2078" s="1"/>
      <c r="O2078" s="1"/>
      <c r="P2078" s="1"/>
      <c r="Q2078" s="1"/>
      <c r="R2078" s="1"/>
      <c r="S2078" s="1"/>
      <c r="T2078" s="1"/>
      <c r="U2078" s="1"/>
      <c r="V2078" s="1"/>
      <c r="W2078" s="1"/>
      <c r="X2078" s="1" t="s">
        <v>1024</v>
      </c>
      <c r="Y2078" s="1" t="s">
        <v>8110</v>
      </c>
    </row>
    <row r="2079">
      <c r="A2079" s="1">
        <v>3.7003872E7</v>
      </c>
      <c r="B2079" s="1" t="s">
        <v>8111</v>
      </c>
      <c r="C2079" s="1" t="s">
        <v>8097</v>
      </c>
      <c r="D2079" s="1" t="s">
        <v>8098</v>
      </c>
      <c r="E2079" s="1" t="s">
        <v>8099</v>
      </c>
      <c r="F2079" s="2" t="str">
        <f>"0995958777"</f>
        <v>0995958777</v>
      </c>
      <c r="G2079" s="2" t="str">
        <f>"9780995958777"</f>
        <v>9780995958777</v>
      </c>
      <c r="H2079" s="1" t="s">
        <v>8097</v>
      </c>
      <c r="I2079" s="1" t="s">
        <v>36</v>
      </c>
      <c r="J2079" s="1">
        <v>107.0</v>
      </c>
      <c r="K2079" s="1">
        <v>2017.0</v>
      </c>
      <c r="M2079" s="1"/>
      <c r="N2079" s="1"/>
      <c r="O2079" s="1"/>
      <c r="P2079" s="1"/>
      <c r="Q2079" s="1"/>
      <c r="R2079" s="1"/>
      <c r="S2079" s="1"/>
      <c r="T2079" s="1"/>
      <c r="U2079" s="1"/>
      <c r="V2079" s="1"/>
      <c r="W2079" s="1"/>
      <c r="X2079" s="1" t="s">
        <v>1024</v>
      </c>
      <c r="Y2079" s="1" t="s">
        <v>8112</v>
      </c>
    </row>
    <row r="2080">
      <c r="A2080" s="1">
        <v>8.9691871E7</v>
      </c>
      <c r="B2080" s="1" t="s">
        <v>8113</v>
      </c>
      <c r="C2080" s="1" t="s">
        <v>8114</v>
      </c>
      <c r="D2080" s="1" t="s">
        <v>8115</v>
      </c>
      <c r="E2080" s="1" t="s">
        <v>8116</v>
      </c>
      <c r="F2080" s="2" t="str">
        <f>"3949053859"</f>
        <v>3949053859</v>
      </c>
      <c r="G2080" s="2" t="str">
        <f>"9783949053856"</f>
        <v>9783949053856</v>
      </c>
      <c r="H2080" s="1" t="s">
        <v>8117</v>
      </c>
      <c r="I2080" s="1" t="s">
        <v>36</v>
      </c>
      <c r="J2080" s="1">
        <v>108.0</v>
      </c>
      <c r="K2080" s="1">
        <v>2020.0</v>
      </c>
      <c r="M2080" s="1"/>
      <c r="N2080" s="1"/>
      <c r="O2080" s="1"/>
      <c r="P2080" s="1"/>
      <c r="Q2080" s="1"/>
      <c r="R2080" s="1"/>
      <c r="S2080" s="1"/>
      <c r="T2080" s="1"/>
      <c r="U2080" s="1"/>
      <c r="V2080" s="1"/>
      <c r="W2080" s="1"/>
      <c r="X2080" s="1" t="s">
        <v>1024</v>
      </c>
      <c r="Y2080" s="1" t="s">
        <v>8118</v>
      </c>
    </row>
    <row r="2081">
      <c r="A2081" s="1">
        <v>2.0578944E7</v>
      </c>
      <c r="B2081" s="1" t="s">
        <v>8119</v>
      </c>
      <c r="C2081" s="1" t="s">
        <v>639</v>
      </c>
      <c r="D2081" s="1" t="s">
        <v>7450</v>
      </c>
      <c r="E2081" s="1" t="s">
        <v>7451</v>
      </c>
      <c r="F2081" s="2" t="str">
        <f>"0545459397"</f>
        <v>0545459397</v>
      </c>
      <c r="G2081" s="2" t="str">
        <f>"9780545459396"</f>
        <v>9780545459396</v>
      </c>
      <c r="H2081" s="1" t="s">
        <v>817</v>
      </c>
      <c r="I2081" s="1" t="s">
        <v>36</v>
      </c>
      <c r="J2081" s="1">
        <v>108.0</v>
      </c>
      <c r="K2081" s="1">
        <v>2014.0</v>
      </c>
      <c r="M2081" s="1"/>
      <c r="N2081" s="1"/>
      <c r="O2081" s="1"/>
      <c r="P2081" s="1"/>
      <c r="Q2081" s="1"/>
      <c r="R2081" s="1"/>
      <c r="S2081" s="1"/>
      <c r="T2081" s="1"/>
      <c r="U2081" s="1"/>
      <c r="V2081" s="1"/>
      <c r="W2081" s="1"/>
      <c r="X2081" s="1" t="s">
        <v>641</v>
      </c>
      <c r="Y2081" s="1" t="s">
        <v>8120</v>
      </c>
    </row>
    <row r="2082">
      <c r="A2082" s="1">
        <v>6007151.0</v>
      </c>
      <c r="B2082" s="1" t="s">
        <v>8121</v>
      </c>
      <c r="C2082" s="1" t="s">
        <v>288</v>
      </c>
      <c r="D2082" s="1" t="s">
        <v>289</v>
      </c>
      <c r="E2082" s="1" t="s">
        <v>7742</v>
      </c>
      <c r="F2082" s="2" t="str">
        <f>"0061554111"</f>
        <v>0061554111</v>
      </c>
      <c r="G2082" s="2" t="str">
        <f>"9780061554117"</f>
        <v>9780061554117</v>
      </c>
      <c r="H2082" s="1" t="s">
        <v>290</v>
      </c>
      <c r="I2082" s="1" t="s">
        <v>36</v>
      </c>
      <c r="J2082" s="1">
        <v>109.0</v>
      </c>
      <c r="K2082" s="1">
        <v>2009.0</v>
      </c>
      <c r="L2082" s="1">
        <v>2009.0</v>
      </c>
      <c r="M2082" s="1"/>
      <c r="N2082" s="1"/>
      <c r="O2082" s="1"/>
      <c r="P2082" s="1"/>
      <c r="Q2082" s="1"/>
      <c r="R2082" s="1"/>
      <c r="S2082" s="1"/>
      <c r="T2082" s="1"/>
      <c r="U2082" s="1"/>
      <c r="V2082" s="1"/>
      <c r="W2082" s="1"/>
      <c r="X2082" s="1" t="s">
        <v>7898</v>
      </c>
      <c r="Y2082" s="1" t="s">
        <v>8122</v>
      </c>
    </row>
    <row r="2083">
      <c r="A2083" s="1">
        <v>396239.0</v>
      </c>
      <c r="B2083" s="1" t="s">
        <v>8123</v>
      </c>
      <c r="C2083" s="1" t="s">
        <v>8124</v>
      </c>
      <c r="D2083" s="1" t="s">
        <v>8125</v>
      </c>
      <c r="E2083" s="1" t="s">
        <v>8126</v>
      </c>
      <c r="F2083" s="2" t="str">
        <f>"0736423710"</f>
        <v>0736423710</v>
      </c>
      <c r="G2083" s="2" t="str">
        <f>"9780736423717"</f>
        <v>9780736423717</v>
      </c>
      <c r="H2083" s="1" t="s">
        <v>8127</v>
      </c>
      <c r="I2083" s="1" t="s">
        <v>36</v>
      </c>
      <c r="J2083" s="1">
        <v>109.0</v>
      </c>
      <c r="K2083" s="1">
        <v>2009.0</v>
      </c>
      <c r="L2083" s="1">
        <v>2005.0</v>
      </c>
      <c r="M2083" s="1"/>
      <c r="N2083" s="1"/>
      <c r="O2083" s="1"/>
      <c r="P2083" s="1"/>
      <c r="Q2083" s="1"/>
      <c r="R2083" s="1"/>
      <c r="S2083" s="1"/>
      <c r="T2083" s="1"/>
      <c r="U2083" s="1"/>
      <c r="V2083" s="1"/>
      <c r="W2083" s="1"/>
      <c r="X2083" s="1" t="s">
        <v>45</v>
      </c>
      <c r="Y2083" s="1" t="s">
        <v>8128</v>
      </c>
    </row>
    <row r="2084">
      <c r="A2084" s="1">
        <v>6.1371326E7</v>
      </c>
      <c r="B2084" s="1" t="s">
        <v>8129</v>
      </c>
      <c r="C2084" s="1" t="s">
        <v>8130</v>
      </c>
      <c r="D2084" s="1" t="s">
        <v>8131</v>
      </c>
      <c r="F2084" s="2" t="str">
        <f>""</f>
        <v/>
      </c>
      <c r="G2084" s="2" t="str">
        <f>"9798710544082"</f>
        <v>9798710544082</v>
      </c>
      <c r="I2084" s="1" t="s">
        <v>36</v>
      </c>
      <c r="J2084" s="1">
        <v>110.0</v>
      </c>
      <c r="K2084" s="1">
        <v>2021.0</v>
      </c>
      <c r="M2084" s="1"/>
      <c r="N2084" s="1"/>
      <c r="O2084" s="1"/>
      <c r="P2084" s="1"/>
      <c r="Q2084" s="1"/>
      <c r="R2084" s="1"/>
      <c r="S2084" s="1"/>
      <c r="T2084" s="1"/>
      <c r="U2084" s="1"/>
      <c r="V2084" s="1"/>
      <c r="W2084" s="1"/>
      <c r="X2084" s="1" t="s">
        <v>380</v>
      </c>
      <c r="Y2084" s="1" t="s">
        <v>8132</v>
      </c>
    </row>
    <row r="2085">
      <c r="A2085" s="1">
        <v>1325218.0</v>
      </c>
      <c r="B2085" s="1" t="s">
        <v>8133</v>
      </c>
      <c r="C2085" s="1" t="s">
        <v>7310</v>
      </c>
      <c r="D2085" s="1" t="s">
        <v>7311</v>
      </c>
      <c r="E2085" s="1" t="s">
        <v>4868</v>
      </c>
      <c r="F2085" s="2" t="str">
        <f>"0590431978"</f>
        <v>0590431978</v>
      </c>
      <c r="G2085" s="2" t="str">
        <f>"9780590431972"</f>
        <v>9780590431972</v>
      </c>
      <c r="H2085" s="1" t="s">
        <v>179</v>
      </c>
      <c r="I2085" s="1" t="s">
        <v>36</v>
      </c>
      <c r="J2085" s="1">
        <v>111.0</v>
      </c>
      <c r="K2085" s="1">
        <v>1989.0</v>
      </c>
      <c r="L2085" s="1">
        <v>1981.0</v>
      </c>
      <c r="M2085" s="1"/>
      <c r="N2085" s="1"/>
      <c r="O2085" s="1"/>
      <c r="P2085" s="1"/>
      <c r="Q2085" s="1"/>
      <c r="R2085" s="1"/>
      <c r="S2085" s="1"/>
      <c r="T2085" s="1"/>
      <c r="U2085" s="1"/>
      <c r="V2085" s="1"/>
      <c r="W2085" s="1"/>
      <c r="X2085" s="1" t="s">
        <v>8068</v>
      </c>
      <c r="Y2085" s="1" t="s">
        <v>8134</v>
      </c>
    </row>
    <row r="2086">
      <c r="A2086" s="1">
        <v>5.196896E7</v>
      </c>
      <c r="B2086" s="1" t="s">
        <v>8135</v>
      </c>
      <c r="C2086" s="1" t="s">
        <v>8136</v>
      </c>
      <c r="D2086" s="1" t="s">
        <v>8137</v>
      </c>
      <c r="E2086" s="1" t="s">
        <v>8138</v>
      </c>
      <c r="F2086" s="2" t="str">
        <f>"8417430741"</f>
        <v>8417430741</v>
      </c>
      <c r="G2086" s="2" t="str">
        <f>"9788417430740"</f>
        <v>9788417430740</v>
      </c>
      <c r="H2086" s="1" t="s">
        <v>8139</v>
      </c>
      <c r="I2086" s="1" t="s">
        <v>31</v>
      </c>
      <c r="J2086" s="1">
        <v>112.0</v>
      </c>
      <c r="K2086" s="1">
        <v>2020.0</v>
      </c>
      <c r="L2086" s="1">
        <v>1835.0</v>
      </c>
      <c r="M2086" s="1"/>
      <c r="N2086" s="1"/>
      <c r="O2086" s="1"/>
      <c r="P2086" s="1"/>
      <c r="Q2086" s="1"/>
      <c r="R2086" s="1"/>
      <c r="S2086" s="1"/>
      <c r="T2086" s="1"/>
      <c r="U2086" s="1"/>
      <c r="V2086" s="1"/>
      <c r="W2086" s="1"/>
      <c r="X2086" s="1" t="s">
        <v>7786</v>
      </c>
      <c r="Y2086" s="1" t="s">
        <v>8140</v>
      </c>
    </row>
    <row r="2087">
      <c r="A2087" s="1">
        <v>5.9144956E7</v>
      </c>
      <c r="B2087" s="1" t="s">
        <v>8141</v>
      </c>
      <c r="C2087" s="1" t="s">
        <v>8142</v>
      </c>
      <c r="D2087" s="1" t="s">
        <v>8143</v>
      </c>
      <c r="F2087" s="2" t="str">
        <f>"1426373414"</f>
        <v>1426373414</v>
      </c>
      <c r="G2087" s="2" t="str">
        <f>"9781426373411"</f>
        <v>9781426373411</v>
      </c>
      <c r="H2087" s="1" t="s">
        <v>1490</v>
      </c>
      <c r="I2087" s="1" t="s">
        <v>31</v>
      </c>
      <c r="J2087" s="1">
        <v>112.0</v>
      </c>
      <c r="K2087" s="1">
        <v>2023.0</v>
      </c>
      <c r="M2087" s="1"/>
      <c r="N2087" s="1"/>
      <c r="O2087" s="1"/>
      <c r="P2087" s="1"/>
      <c r="Q2087" s="1"/>
      <c r="R2087" s="1"/>
      <c r="S2087" s="1"/>
      <c r="T2087" s="1"/>
      <c r="U2087" s="1"/>
      <c r="V2087" s="1"/>
      <c r="W2087" s="1"/>
      <c r="X2087" s="1" t="s">
        <v>1024</v>
      </c>
      <c r="Y2087" s="1" t="s">
        <v>8144</v>
      </c>
    </row>
    <row r="2088">
      <c r="A2088" s="1">
        <v>1502899.0</v>
      </c>
      <c r="B2088" s="1" t="s">
        <v>8145</v>
      </c>
      <c r="C2088" s="1" t="s">
        <v>8146</v>
      </c>
      <c r="D2088" s="1" t="s">
        <v>8147</v>
      </c>
      <c r="F2088" s="2" t="str">
        <f>"1416902325"</f>
        <v>1416902325</v>
      </c>
      <c r="G2088" s="2" t="str">
        <f>"9781416902324"</f>
        <v>9781416902324</v>
      </c>
      <c r="H2088" s="1" t="s">
        <v>3030</v>
      </c>
      <c r="I2088" s="1" t="s">
        <v>36</v>
      </c>
      <c r="J2088" s="1">
        <v>112.0</v>
      </c>
      <c r="K2088" s="1">
        <v>2007.0</v>
      </c>
      <c r="L2088" s="1">
        <v>2006.0</v>
      </c>
      <c r="M2088" s="1"/>
      <c r="N2088" s="1"/>
      <c r="O2088" s="1"/>
      <c r="P2088" s="1"/>
      <c r="Q2088" s="1"/>
      <c r="R2088" s="1"/>
      <c r="S2088" s="1"/>
      <c r="T2088" s="1"/>
      <c r="U2088" s="1"/>
      <c r="V2088" s="1"/>
      <c r="W2088" s="1"/>
      <c r="X2088" s="1" t="s">
        <v>8148</v>
      </c>
      <c r="Y2088" s="1" t="s">
        <v>8149</v>
      </c>
    </row>
    <row r="2089">
      <c r="A2089" s="1">
        <v>8550799.0</v>
      </c>
      <c r="B2089" s="1" t="s">
        <v>8150</v>
      </c>
      <c r="C2089" s="1" t="s">
        <v>1346</v>
      </c>
      <c r="D2089" s="1" t="s">
        <v>1347</v>
      </c>
      <c r="E2089" s="1" t="s">
        <v>8151</v>
      </c>
      <c r="F2089" s="2" t="str">
        <f>"0545146054"</f>
        <v>0545146054</v>
      </c>
      <c r="G2089" s="2" t="str">
        <f>"9780545146050"</f>
        <v>9780545146050</v>
      </c>
      <c r="H2089" s="1" t="s">
        <v>2944</v>
      </c>
      <c r="I2089" s="1" t="s">
        <v>36</v>
      </c>
      <c r="J2089" s="1">
        <v>112.0</v>
      </c>
      <c r="K2089" s="1">
        <v>2010.0</v>
      </c>
      <c r="L2089" s="1">
        <v>2010.0</v>
      </c>
      <c r="M2089" s="1"/>
      <c r="N2089" s="1"/>
      <c r="O2089" s="1"/>
      <c r="P2089" s="1"/>
      <c r="Q2089" s="1"/>
      <c r="R2089" s="1"/>
      <c r="S2089" s="1"/>
      <c r="T2089" s="1"/>
      <c r="U2089" s="1"/>
      <c r="V2089" s="1"/>
      <c r="W2089" s="1"/>
      <c r="X2089" s="1" t="s">
        <v>8152</v>
      </c>
      <c r="Y2089" s="1" t="s">
        <v>8153</v>
      </c>
    </row>
    <row r="2090">
      <c r="A2090" s="1">
        <v>142271.0</v>
      </c>
      <c r="B2090" s="1" t="s">
        <v>8154</v>
      </c>
      <c r="C2090" s="1" t="s">
        <v>8155</v>
      </c>
      <c r="D2090" s="1" t="s">
        <v>8156</v>
      </c>
      <c r="E2090" s="1" t="s">
        <v>8157</v>
      </c>
      <c r="F2090" s="2" t="str">
        <f>"0448424967"</f>
        <v>0448424967</v>
      </c>
      <c r="G2090" s="2" t="str">
        <f>"9780448424965"</f>
        <v>9780448424965</v>
      </c>
      <c r="H2090" s="1" t="s">
        <v>7281</v>
      </c>
      <c r="I2090" s="1" t="s">
        <v>36</v>
      </c>
      <c r="J2090" s="1">
        <v>112.0</v>
      </c>
      <c r="K2090" s="1">
        <v>2002.0</v>
      </c>
      <c r="L2090" s="1">
        <v>2002.0</v>
      </c>
      <c r="M2090" s="1"/>
      <c r="N2090" s="1"/>
      <c r="O2090" s="1"/>
      <c r="P2090" s="1"/>
      <c r="Q2090" s="1"/>
      <c r="R2090" s="1"/>
      <c r="S2090" s="1"/>
      <c r="T2090" s="1"/>
      <c r="U2090" s="1"/>
      <c r="V2090" s="1"/>
      <c r="W2090" s="1"/>
      <c r="X2090" s="1" t="s">
        <v>8158</v>
      </c>
      <c r="Y2090" s="1" t="s">
        <v>8159</v>
      </c>
    </row>
    <row r="2091">
      <c r="A2091" s="1">
        <v>5.7070677E7</v>
      </c>
      <c r="B2091" s="1" t="s">
        <v>8160</v>
      </c>
      <c r="C2091" s="1" t="s">
        <v>1021</v>
      </c>
      <c r="D2091" s="1" t="s">
        <v>1022</v>
      </c>
      <c r="E2091" s="1" t="s">
        <v>8161</v>
      </c>
      <c r="F2091" s="2" t="str">
        <f>"0593386205"</f>
        <v>0593386205</v>
      </c>
      <c r="G2091" s="2" t="str">
        <f>"9780593386200"</f>
        <v>9780593386200</v>
      </c>
      <c r="H2091" s="1" t="s">
        <v>1023</v>
      </c>
      <c r="I2091" s="1" t="s">
        <v>36</v>
      </c>
      <c r="J2091" s="1">
        <v>112.0</v>
      </c>
      <c r="K2091" s="1">
        <v>2021.0</v>
      </c>
      <c r="M2091" s="1"/>
      <c r="N2091" s="1"/>
      <c r="O2091" s="1"/>
      <c r="P2091" s="1"/>
      <c r="Q2091" s="1"/>
      <c r="R2091" s="1"/>
      <c r="S2091" s="1"/>
      <c r="T2091" s="1"/>
      <c r="U2091" s="1"/>
      <c r="V2091" s="1"/>
      <c r="W2091" s="1"/>
      <c r="X2091" s="1" t="s">
        <v>1024</v>
      </c>
      <c r="Y2091" s="1" t="s">
        <v>8162</v>
      </c>
    </row>
    <row r="2092">
      <c r="A2092" s="1">
        <v>1.7659718E7</v>
      </c>
      <c r="B2092" s="1" t="s">
        <v>8163</v>
      </c>
      <c r="C2092" s="1" t="s">
        <v>1425</v>
      </c>
      <c r="D2092" s="1" t="s">
        <v>1426</v>
      </c>
      <c r="E2092" s="1" t="s">
        <v>8164</v>
      </c>
      <c r="F2092" s="2" t="str">
        <f>"1620656876"</f>
        <v>1620656876</v>
      </c>
      <c r="G2092" s="2" t="str">
        <f>"9781620656877"</f>
        <v>9781620656877</v>
      </c>
      <c r="H2092" s="1" t="s">
        <v>1427</v>
      </c>
      <c r="I2092" s="1" t="s">
        <v>36</v>
      </c>
      <c r="J2092" s="1">
        <v>112.0</v>
      </c>
      <c r="K2092" s="1">
        <v>2013.0</v>
      </c>
      <c r="L2092" s="1">
        <v>2013.0</v>
      </c>
      <c r="M2092" s="1"/>
      <c r="N2092" s="1"/>
      <c r="O2092" s="1"/>
      <c r="P2092" s="1"/>
      <c r="Q2092" s="1"/>
      <c r="R2092" s="1"/>
      <c r="S2092" s="1"/>
      <c r="T2092" s="1"/>
      <c r="U2092" s="1"/>
      <c r="V2092" s="1"/>
      <c r="W2092" s="1"/>
      <c r="X2092" s="1" t="s">
        <v>1024</v>
      </c>
      <c r="Y2092" s="1" t="s">
        <v>8165</v>
      </c>
    </row>
    <row r="2093">
      <c r="A2093" s="1">
        <v>6556423.0</v>
      </c>
      <c r="B2093" s="1" t="s">
        <v>8166</v>
      </c>
      <c r="C2093" s="1" t="s">
        <v>8167</v>
      </c>
      <c r="D2093" s="1" t="s">
        <v>8168</v>
      </c>
      <c r="E2093" s="1" t="s">
        <v>8169</v>
      </c>
      <c r="F2093" s="2" t="str">
        <f>"0375855580"</f>
        <v>0375855580</v>
      </c>
      <c r="G2093" s="2" t="str">
        <f>"9780375855580"</f>
        <v>9780375855580</v>
      </c>
      <c r="H2093" s="1" t="s">
        <v>156</v>
      </c>
      <c r="I2093" s="1" t="s">
        <v>36</v>
      </c>
      <c r="J2093" s="1">
        <v>112.0</v>
      </c>
      <c r="K2093" s="1">
        <v>2009.0</v>
      </c>
      <c r="L2093" s="1">
        <v>2009.0</v>
      </c>
      <c r="M2093" s="1"/>
      <c r="N2093" s="1"/>
      <c r="O2093" s="1"/>
      <c r="P2093" s="1"/>
      <c r="Q2093" s="1"/>
      <c r="R2093" s="1"/>
      <c r="S2093" s="1"/>
      <c r="T2093" s="1"/>
      <c r="U2093" s="1"/>
      <c r="V2093" s="1"/>
      <c r="W2093" s="1"/>
      <c r="X2093" s="1" t="s">
        <v>7111</v>
      </c>
      <c r="Y2093" s="1" t="s">
        <v>8170</v>
      </c>
    </row>
    <row r="2094">
      <c r="A2094" s="1">
        <v>1.5812778E7</v>
      </c>
      <c r="B2094" s="1" t="s">
        <v>8171</v>
      </c>
      <c r="C2094" s="1" t="s">
        <v>8172</v>
      </c>
      <c r="D2094" s="1" t="s">
        <v>8173</v>
      </c>
      <c r="E2094" s="1" t="s">
        <v>8174</v>
      </c>
      <c r="F2094" s="2" t="str">
        <f>"044846585X"</f>
        <v>044846585X</v>
      </c>
      <c r="G2094" s="2" t="str">
        <f>"9780448465852"</f>
        <v>9780448465852</v>
      </c>
      <c r="H2094" s="1" t="s">
        <v>7281</v>
      </c>
      <c r="I2094" s="1" t="s">
        <v>31</v>
      </c>
      <c r="J2094" s="1">
        <v>112.0</v>
      </c>
      <c r="K2094" s="1">
        <v>2013.0</v>
      </c>
      <c r="L2094" s="1">
        <v>2013.0</v>
      </c>
      <c r="M2094" s="1"/>
      <c r="N2094" s="1"/>
      <c r="O2094" s="1"/>
      <c r="P2094" s="1"/>
      <c r="Q2094" s="1"/>
      <c r="R2094" s="1"/>
      <c r="S2094" s="1"/>
      <c r="T2094" s="1"/>
      <c r="U2094" s="1"/>
      <c r="V2094" s="1"/>
      <c r="W2094" s="1"/>
      <c r="X2094" s="1" t="s">
        <v>8158</v>
      </c>
      <c r="Y2094" s="1" t="s">
        <v>8175</v>
      </c>
    </row>
    <row r="2095">
      <c r="A2095" s="1">
        <v>4.997758E7</v>
      </c>
      <c r="B2095" s="1" t="s">
        <v>8176</v>
      </c>
      <c r="C2095" s="1" t="s">
        <v>8172</v>
      </c>
      <c r="D2095" s="1" t="s">
        <v>8173</v>
      </c>
      <c r="E2095" s="1" t="s">
        <v>8177</v>
      </c>
      <c r="F2095" s="2" t="str">
        <f>"045153252X"</f>
        <v>045153252X</v>
      </c>
      <c r="G2095" s="2" t="str">
        <f>"9780451532527"</f>
        <v>9780451532527</v>
      </c>
      <c r="H2095" s="1" t="s">
        <v>7281</v>
      </c>
      <c r="I2095" s="1" t="s">
        <v>238</v>
      </c>
      <c r="J2095" s="1">
        <v>112.0</v>
      </c>
      <c r="K2095" s="1">
        <v>2020.0</v>
      </c>
      <c r="M2095" s="1"/>
      <c r="N2095" s="1"/>
      <c r="O2095" s="1"/>
      <c r="P2095" s="1"/>
      <c r="Q2095" s="1"/>
      <c r="R2095" s="1"/>
      <c r="S2095" s="1"/>
      <c r="T2095" s="1"/>
      <c r="U2095" s="1"/>
      <c r="V2095" s="1"/>
      <c r="W2095" s="1"/>
      <c r="X2095" s="1" t="s">
        <v>8178</v>
      </c>
      <c r="Y2095" s="1" t="s">
        <v>8179</v>
      </c>
    </row>
    <row r="2096">
      <c r="A2096" s="1">
        <v>1.7572857E7</v>
      </c>
      <c r="B2096" s="1" t="s">
        <v>8180</v>
      </c>
      <c r="C2096" s="1" t="s">
        <v>8172</v>
      </c>
      <c r="D2096" s="1" t="s">
        <v>8173</v>
      </c>
      <c r="E2096" s="1" t="s">
        <v>8181</v>
      </c>
      <c r="F2096" s="2" t="str">
        <f>"0448467062"</f>
        <v>0448467062</v>
      </c>
      <c r="G2096" s="2" t="str">
        <f>"9780448467061"</f>
        <v>9780448467061</v>
      </c>
      <c r="H2096" s="1" t="s">
        <v>7281</v>
      </c>
      <c r="I2096" s="1" t="s">
        <v>36</v>
      </c>
      <c r="J2096" s="1">
        <v>112.0</v>
      </c>
      <c r="K2096" s="1">
        <v>2013.0</v>
      </c>
      <c r="L2096" s="1">
        <v>2013.0</v>
      </c>
      <c r="M2096" s="1"/>
      <c r="N2096" s="1"/>
      <c r="O2096" s="1"/>
      <c r="P2096" s="1"/>
      <c r="Q2096" s="1"/>
      <c r="R2096" s="1"/>
      <c r="S2096" s="1"/>
      <c r="T2096" s="1"/>
      <c r="U2096" s="1"/>
      <c r="V2096" s="1"/>
      <c r="W2096" s="1"/>
      <c r="X2096" s="1" t="s">
        <v>8158</v>
      </c>
      <c r="Y2096" s="1" t="s">
        <v>8182</v>
      </c>
    </row>
    <row r="2097">
      <c r="A2097" s="1">
        <v>1.1389231E7</v>
      </c>
      <c r="B2097" s="1" t="s">
        <v>8183</v>
      </c>
      <c r="C2097" s="1" t="s">
        <v>8184</v>
      </c>
      <c r="D2097" s="1" t="s">
        <v>8185</v>
      </c>
      <c r="E2097" s="1" t="s">
        <v>8186</v>
      </c>
      <c r="F2097" s="2" t="str">
        <f>"1442427043"</f>
        <v>1442427043</v>
      </c>
      <c r="G2097" s="2" t="str">
        <f>"9781442427044"</f>
        <v>9781442427044</v>
      </c>
      <c r="H2097" s="1" t="s">
        <v>2496</v>
      </c>
      <c r="I2097" s="1" t="s">
        <v>36</v>
      </c>
      <c r="J2097" s="1">
        <v>112.0</v>
      </c>
      <c r="K2097" s="1">
        <v>2011.0</v>
      </c>
      <c r="L2097" s="1">
        <v>1996.0</v>
      </c>
    </row>
    <row r="2098">
      <c r="A2098" s="1">
        <v>2.0821179E7</v>
      </c>
      <c r="B2098" s="1" t="s">
        <v>8187</v>
      </c>
      <c r="C2098" s="1" t="s">
        <v>8188</v>
      </c>
      <c r="D2098" s="1" t="s">
        <v>8189</v>
      </c>
      <c r="E2098" s="1" t="s">
        <v>8190</v>
      </c>
      <c r="F2098" s="2" t="str">
        <f>"0448482363"</f>
        <v>0448482363</v>
      </c>
      <c r="G2098" s="2" t="str">
        <f>"9780448482361"</f>
        <v>9780448482361</v>
      </c>
      <c r="H2098" s="1" t="s">
        <v>7281</v>
      </c>
      <c r="I2098" s="1" t="s">
        <v>36</v>
      </c>
      <c r="J2098" s="1">
        <v>112.0</v>
      </c>
      <c r="K2098" s="1">
        <v>2014.0</v>
      </c>
      <c r="L2098" s="1">
        <v>2014.0</v>
      </c>
      <c r="M2098" s="1"/>
      <c r="N2098" s="1"/>
      <c r="O2098" s="1"/>
      <c r="P2098" s="1"/>
      <c r="Q2098" s="1"/>
      <c r="R2098" s="1"/>
      <c r="S2098" s="1"/>
      <c r="T2098" s="1"/>
      <c r="U2098" s="1"/>
      <c r="V2098" s="1"/>
      <c r="W2098" s="1"/>
      <c r="X2098" s="1" t="s">
        <v>641</v>
      </c>
      <c r="Y2098" s="1" t="s">
        <v>8191</v>
      </c>
    </row>
    <row r="2099">
      <c r="A2099" s="1">
        <v>2748676.0</v>
      </c>
      <c r="B2099" s="1" t="s">
        <v>8192</v>
      </c>
      <c r="C2099" s="1" t="s">
        <v>8193</v>
      </c>
      <c r="D2099" s="1" t="s">
        <v>8194</v>
      </c>
      <c r="E2099" s="1" t="s">
        <v>8195</v>
      </c>
      <c r="F2099" s="2" t="str">
        <f>"0448448394"</f>
        <v>0448448394</v>
      </c>
      <c r="G2099" s="2" t="str">
        <f>"9780448448398"</f>
        <v>9780448448398</v>
      </c>
      <c r="H2099" s="1" t="s">
        <v>7281</v>
      </c>
      <c r="I2099" s="1" t="s">
        <v>36</v>
      </c>
      <c r="J2099" s="1">
        <v>112.0</v>
      </c>
      <c r="K2099" s="1">
        <v>2008.0</v>
      </c>
      <c r="L2099" s="1">
        <v>2008.0</v>
      </c>
      <c r="M2099" s="1"/>
      <c r="N2099" s="1"/>
      <c r="O2099" s="1"/>
      <c r="P2099" s="1"/>
      <c r="Q2099" s="1"/>
      <c r="R2099" s="1"/>
      <c r="S2099" s="1"/>
      <c r="T2099" s="1"/>
      <c r="U2099" s="1"/>
      <c r="V2099" s="1"/>
      <c r="W2099" s="1"/>
      <c r="X2099" s="1" t="s">
        <v>8158</v>
      </c>
      <c r="Y2099" s="1" t="s">
        <v>8196</v>
      </c>
    </row>
    <row r="2100">
      <c r="A2100" s="1">
        <v>5.8082206E7</v>
      </c>
      <c r="B2100" s="1" t="s">
        <v>8197</v>
      </c>
      <c r="C2100" s="1" t="s">
        <v>8198</v>
      </c>
      <c r="D2100" s="1" t="s">
        <v>8199</v>
      </c>
      <c r="E2100" s="1" t="s">
        <v>8200</v>
      </c>
      <c r="F2100" s="2" t="str">
        <f>"0593226860"</f>
        <v>0593226860</v>
      </c>
      <c r="G2100" s="2" t="str">
        <f>"9780593226865"</f>
        <v>9780593226865</v>
      </c>
      <c r="H2100" s="1" t="s">
        <v>7281</v>
      </c>
      <c r="I2100" s="1" t="s">
        <v>36</v>
      </c>
      <c r="J2100" s="1">
        <v>112.0</v>
      </c>
      <c r="K2100" s="1">
        <v>2022.0</v>
      </c>
      <c r="M2100" s="1"/>
      <c r="N2100" s="1"/>
      <c r="O2100" s="1"/>
      <c r="P2100" s="1"/>
      <c r="Q2100" s="1"/>
      <c r="R2100" s="1"/>
      <c r="S2100" s="1"/>
      <c r="T2100" s="1"/>
      <c r="U2100" s="1"/>
      <c r="V2100" s="1"/>
      <c r="W2100" s="1"/>
      <c r="X2100" s="1" t="s">
        <v>8201</v>
      </c>
      <c r="Y2100" s="1" t="s">
        <v>8202</v>
      </c>
    </row>
    <row r="2101">
      <c r="A2101" s="1">
        <v>3.9196229E7</v>
      </c>
      <c r="B2101" s="1" t="s">
        <v>8203</v>
      </c>
      <c r="C2101" s="1" t="s">
        <v>8204</v>
      </c>
      <c r="D2101" s="1" t="s">
        <v>8205</v>
      </c>
      <c r="E2101" s="1" t="s">
        <v>8206</v>
      </c>
      <c r="F2101" s="2" t="str">
        <f>"1524788546"</f>
        <v>1524788546</v>
      </c>
      <c r="G2101" s="2" t="str">
        <f>"9781524788544"</f>
        <v>9781524788544</v>
      </c>
      <c r="H2101" s="1" t="s">
        <v>7281</v>
      </c>
      <c r="I2101" s="1" t="s">
        <v>91</v>
      </c>
      <c r="J2101" s="1">
        <v>112.0</v>
      </c>
      <c r="K2101" s="1">
        <v>2018.0</v>
      </c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/>
      <c r="X2101" s="1" t="s">
        <v>8158</v>
      </c>
      <c r="Y2101" s="1" t="s">
        <v>8207</v>
      </c>
    </row>
    <row r="2102">
      <c r="A2102" s="1">
        <v>2.5310621E7</v>
      </c>
      <c r="B2102" s="1" t="s">
        <v>8208</v>
      </c>
      <c r="C2102" s="1" t="s">
        <v>8204</v>
      </c>
      <c r="D2102" s="1" t="s">
        <v>8205</v>
      </c>
      <c r="E2102" s="1" t="s">
        <v>8209</v>
      </c>
      <c r="F2102" s="2" t="str">
        <f>"0448483122"</f>
        <v>0448483122</v>
      </c>
      <c r="G2102" s="2" t="str">
        <f>"9780448483122"</f>
        <v>9780448483122</v>
      </c>
      <c r="H2102" s="1" t="s">
        <v>7281</v>
      </c>
      <c r="I2102" s="1" t="s">
        <v>36</v>
      </c>
      <c r="J2102" s="1">
        <v>112.0</v>
      </c>
      <c r="K2102" s="1">
        <v>2015.0</v>
      </c>
      <c r="L2102" s="1">
        <v>2015.0</v>
      </c>
      <c r="M2102" s="1"/>
      <c r="N2102" s="1"/>
      <c r="O2102" s="1"/>
      <c r="P2102" s="1"/>
      <c r="Q2102" s="1"/>
      <c r="R2102" s="1"/>
      <c r="S2102" s="1"/>
      <c r="T2102" s="1"/>
      <c r="U2102" s="1"/>
      <c r="V2102" s="1"/>
      <c r="W2102" s="1"/>
      <c r="X2102" s="1" t="s">
        <v>8210</v>
      </c>
      <c r="Y2102" s="1" t="s">
        <v>8211</v>
      </c>
    </row>
    <row r="2103">
      <c r="A2103" s="1">
        <v>4.1880218E7</v>
      </c>
      <c r="B2103" s="1" t="s">
        <v>8212</v>
      </c>
      <c r="C2103" s="1" t="s">
        <v>8204</v>
      </c>
      <c r="D2103" s="1" t="s">
        <v>8205</v>
      </c>
      <c r="E2103" s="1" t="s">
        <v>8213</v>
      </c>
      <c r="F2103" s="2" t="str">
        <f>"0451532481"</f>
        <v>0451532481</v>
      </c>
      <c r="G2103" s="2" t="str">
        <f>"9780451532480"</f>
        <v>9780451532480</v>
      </c>
      <c r="H2103" s="1" t="s">
        <v>7281</v>
      </c>
      <c r="I2103" s="1" t="s">
        <v>36</v>
      </c>
      <c r="J2103" s="1">
        <v>112.0</v>
      </c>
      <c r="K2103" s="1">
        <v>2019.0</v>
      </c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1"/>
      <c r="X2103" s="1" t="s">
        <v>8158</v>
      </c>
      <c r="Y2103" s="1" t="s">
        <v>8214</v>
      </c>
    </row>
    <row r="2104">
      <c r="A2104" s="1">
        <v>4.8612538E7</v>
      </c>
      <c r="B2104" s="1" t="s">
        <v>8215</v>
      </c>
      <c r="C2104" s="1" t="s">
        <v>8216</v>
      </c>
      <c r="D2104" s="1" t="s">
        <v>8217</v>
      </c>
      <c r="E2104" s="1" t="s">
        <v>8218</v>
      </c>
      <c r="F2104" s="2" t="str">
        <f>"059312300X"</f>
        <v>059312300X</v>
      </c>
      <c r="G2104" s="2" t="str">
        <f>"9780593123003"</f>
        <v>9780593123003</v>
      </c>
      <c r="H2104" s="1" t="s">
        <v>6981</v>
      </c>
      <c r="I2104" s="1" t="s">
        <v>238</v>
      </c>
      <c r="J2104" s="1">
        <v>112.0</v>
      </c>
      <c r="K2104" s="1">
        <v>2020.0</v>
      </c>
      <c r="L2104" s="1">
        <v>2020.0</v>
      </c>
      <c r="M2104" s="1"/>
      <c r="N2104" s="1"/>
      <c r="O2104" s="1"/>
      <c r="P2104" s="1"/>
      <c r="Q2104" s="1"/>
      <c r="R2104" s="1"/>
      <c r="S2104" s="1"/>
      <c r="T2104" s="1"/>
      <c r="U2104" s="1"/>
      <c r="V2104" s="1"/>
      <c r="W2104" s="1"/>
      <c r="X2104" s="1" t="s">
        <v>629</v>
      </c>
      <c r="Y2104" s="1" t="s">
        <v>8219</v>
      </c>
    </row>
    <row r="2105">
      <c r="A2105" s="1">
        <v>7738962.0</v>
      </c>
      <c r="B2105" s="1" t="s">
        <v>8220</v>
      </c>
      <c r="C2105" s="1" t="s">
        <v>288</v>
      </c>
      <c r="D2105" s="1" t="s">
        <v>289</v>
      </c>
      <c r="E2105" s="1" t="s">
        <v>7742</v>
      </c>
      <c r="F2105" s="2" t="str">
        <f>"0061554162"</f>
        <v>0061554162</v>
      </c>
      <c r="G2105" s="2" t="str">
        <f>"9780061554162"</f>
        <v>9780061554162</v>
      </c>
      <c r="H2105" s="1" t="s">
        <v>290</v>
      </c>
      <c r="I2105" s="1" t="s">
        <v>36</v>
      </c>
      <c r="J2105" s="1">
        <v>112.0</v>
      </c>
      <c r="K2105" s="1">
        <v>2010.0</v>
      </c>
      <c r="L2105" s="1">
        <v>2010.0</v>
      </c>
      <c r="M2105" s="1"/>
      <c r="N2105" s="1"/>
      <c r="O2105" s="1"/>
      <c r="P2105" s="1"/>
      <c r="Q2105" s="1"/>
      <c r="R2105" s="1"/>
      <c r="S2105" s="1"/>
      <c r="T2105" s="1"/>
      <c r="U2105" s="1"/>
      <c r="V2105" s="1"/>
      <c r="W2105" s="1"/>
      <c r="X2105" s="1" t="s">
        <v>7898</v>
      </c>
      <c r="Y2105" s="1" t="s">
        <v>8221</v>
      </c>
    </row>
    <row r="2106">
      <c r="A2106" s="1">
        <v>6985789.0</v>
      </c>
      <c r="B2106" s="1" t="s">
        <v>8222</v>
      </c>
      <c r="C2106" s="1" t="s">
        <v>288</v>
      </c>
      <c r="D2106" s="1" t="s">
        <v>289</v>
      </c>
      <c r="E2106" s="1" t="s">
        <v>7742</v>
      </c>
      <c r="F2106" s="2" t="str">
        <f>"0061554154"</f>
        <v>0061554154</v>
      </c>
      <c r="G2106" s="2" t="str">
        <f>"9780061554155"</f>
        <v>9780061554155</v>
      </c>
      <c r="H2106" s="1" t="s">
        <v>290</v>
      </c>
      <c r="I2106" s="1" t="s">
        <v>36</v>
      </c>
      <c r="J2106" s="1">
        <v>112.0</v>
      </c>
      <c r="K2106" s="1">
        <v>2010.0</v>
      </c>
      <c r="L2106" s="1">
        <v>2010.0</v>
      </c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1"/>
      <c r="X2106" s="1" t="s">
        <v>7898</v>
      </c>
      <c r="Y2106" s="1" t="s">
        <v>8223</v>
      </c>
    </row>
    <row r="2107">
      <c r="A2107" s="1">
        <v>6457102.0</v>
      </c>
      <c r="B2107" s="1" t="s">
        <v>8224</v>
      </c>
      <c r="C2107" s="1" t="s">
        <v>288</v>
      </c>
      <c r="D2107" s="1" t="s">
        <v>289</v>
      </c>
      <c r="E2107" s="1" t="s">
        <v>7742</v>
      </c>
      <c r="F2107" s="2" t="str">
        <f>"006155412X"</f>
        <v>006155412X</v>
      </c>
      <c r="G2107" s="2" t="str">
        <f>"9780061554124"</f>
        <v>9780061554124</v>
      </c>
      <c r="H2107" s="1" t="s">
        <v>290</v>
      </c>
      <c r="I2107" s="1" t="s">
        <v>36</v>
      </c>
      <c r="J2107" s="1">
        <v>112.0</v>
      </c>
      <c r="K2107" s="1">
        <v>2009.0</v>
      </c>
      <c r="L2107" s="1">
        <v>2009.0</v>
      </c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1"/>
      <c r="X2107" s="1" t="s">
        <v>7898</v>
      </c>
      <c r="Y2107" s="1" t="s">
        <v>8225</v>
      </c>
    </row>
    <row r="2108">
      <c r="A2108" s="1">
        <v>6007149.0</v>
      </c>
      <c r="B2108" s="1" t="s">
        <v>8226</v>
      </c>
      <c r="C2108" s="1" t="s">
        <v>288</v>
      </c>
      <c r="D2108" s="1" t="s">
        <v>289</v>
      </c>
      <c r="E2108" s="1" t="s">
        <v>7742</v>
      </c>
      <c r="F2108" s="2" t="str">
        <f>"0061554065"</f>
        <v>0061554065</v>
      </c>
      <c r="G2108" s="2" t="str">
        <f>"9780061554063"</f>
        <v>9780061554063</v>
      </c>
      <c r="H2108" s="1" t="s">
        <v>290</v>
      </c>
      <c r="I2108" s="1" t="s">
        <v>36</v>
      </c>
      <c r="J2108" s="1">
        <v>112.0</v>
      </c>
      <c r="K2108" s="1">
        <v>2008.0</v>
      </c>
      <c r="L2108" s="1">
        <v>2008.0</v>
      </c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  <c r="X2108" s="1" t="s">
        <v>7898</v>
      </c>
      <c r="Y2108" s="1" t="s">
        <v>8227</v>
      </c>
    </row>
    <row r="2109">
      <c r="A2109" s="1">
        <v>2909655.0</v>
      </c>
      <c r="B2109" s="1" t="s">
        <v>8228</v>
      </c>
      <c r="C2109" s="1" t="s">
        <v>288</v>
      </c>
      <c r="D2109" s="1" t="s">
        <v>289</v>
      </c>
      <c r="E2109" s="1" t="s">
        <v>7742</v>
      </c>
      <c r="F2109" s="2" t="str">
        <f>"006134611X"</f>
        <v>006134611X</v>
      </c>
      <c r="G2109" s="2" t="str">
        <f>"9780061346118"</f>
        <v>9780061346118</v>
      </c>
      <c r="H2109" s="1" t="s">
        <v>290</v>
      </c>
      <c r="I2109" s="1" t="s">
        <v>36</v>
      </c>
      <c r="J2109" s="1">
        <v>112.0</v>
      </c>
      <c r="K2109" s="1">
        <v>2008.0</v>
      </c>
      <c r="L2109" s="1">
        <v>2008.0</v>
      </c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  <c r="X2109" s="1" t="s">
        <v>7898</v>
      </c>
      <c r="Y2109" s="1" t="s">
        <v>8229</v>
      </c>
    </row>
    <row r="2110">
      <c r="A2110" s="1">
        <v>673814.0</v>
      </c>
      <c r="B2110" s="1" t="s">
        <v>8230</v>
      </c>
      <c r="C2110" s="1" t="s">
        <v>288</v>
      </c>
      <c r="D2110" s="1" t="s">
        <v>289</v>
      </c>
      <c r="E2110" s="1" t="s">
        <v>7742</v>
      </c>
      <c r="F2110" s="2" t="str">
        <f>"0060745185"</f>
        <v>0060745185</v>
      </c>
      <c r="G2110" s="2" t="str">
        <f>"9780060745189"</f>
        <v>9780060745189</v>
      </c>
      <c r="H2110" s="1" t="s">
        <v>290</v>
      </c>
      <c r="I2110" s="1" t="s">
        <v>36</v>
      </c>
      <c r="J2110" s="1">
        <v>112.0</v>
      </c>
      <c r="K2110" s="1">
        <v>2005.0</v>
      </c>
      <c r="L2110" s="1">
        <v>2005.0</v>
      </c>
      <c r="M2110" s="1"/>
      <c r="N2110" s="1"/>
      <c r="O2110" s="1"/>
      <c r="P2110" s="1"/>
      <c r="Q2110" s="1"/>
      <c r="R2110" s="1"/>
      <c r="S2110" s="1"/>
      <c r="T2110" s="1"/>
      <c r="U2110" s="1"/>
      <c r="V2110" s="1"/>
      <c r="W2110" s="1"/>
      <c r="X2110" s="1" t="s">
        <v>436</v>
      </c>
      <c r="Y2110" s="1" t="s">
        <v>8231</v>
      </c>
    </row>
    <row r="2111">
      <c r="A2111" s="1">
        <v>2556490.0</v>
      </c>
      <c r="B2111" s="1" t="s">
        <v>8232</v>
      </c>
      <c r="C2111" s="1" t="s">
        <v>288</v>
      </c>
      <c r="D2111" s="1" t="s">
        <v>289</v>
      </c>
      <c r="E2111" s="1" t="s">
        <v>7742</v>
      </c>
      <c r="F2111" s="2" t="str">
        <f>"0061346071"</f>
        <v>0061346071</v>
      </c>
      <c r="G2111" s="2" t="str">
        <f>"9780061346071"</f>
        <v>9780061346071</v>
      </c>
      <c r="H2111" s="1" t="s">
        <v>290</v>
      </c>
      <c r="I2111" s="1" t="s">
        <v>36</v>
      </c>
      <c r="J2111" s="1">
        <v>112.0</v>
      </c>
      <c r="K2111" s="1">
        <v>2008.0</v>
      </c>
      <c r="L2111" s="1">
        <v>2008.0</v>
      </c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  <c r="X2111" s="1" t="s">
        <v>7445</v>
      </c>
      <c r="Y2111" s="1" t="s">
        <v>8233</v>
      </c>
    </row>
    <row r="2112">
      <c r="A2112" s="1">
        <v>7803091.0</v>
      </c>
      <c r="B2112" s="1" t="s">
        <v>8234</v>
      </c>
      <c r="C2112" s="1" t="s">
        <v>288</v>
      </c>
      <c r="D2112" s="1" t="s">
        <v>289</v>
      </c>
      <c r="E2112" s="1" t="s">
        <v>7742</v>
      </c>
      <c r="F2112" s="2" t="str">
        <f>"0061703990"</f>
        <v>0061703990</v>
      </c>
      <c r="G2112" s="2" t="str">
        <f>"9780061703997"</f>
        <v>9780061703997</v>
      </c>
      <c r="H2112" s="1" t="s">
        <v>290</v>
      </c>
      <c r="I2112" s="1" t="s">
        <v>36</v>
      </c>
      <c r="J2112" s="1">
        <v>112.0</v>
      </c>
      <c r="K2112" s="1">
        <v>2010.0</v>
      </c>
      <c r="L2112" s="1">
        <v>2010.0</v>
      </c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1"/>
      <c r="X2112" s="1" t="s">
        <v>436</v>
      </c>
      <c r="Y2112" s="1" t="s">
        <v>8235</v>
      </c>
    </row>
    <row r="2113">
      <c r="A2113" s="1">
        <v>783609.0</v>
      </c>
      <c r="B2113" s="1" t="s">
        <v>8236</v>
      </c>
      <c r="C2113" s="1" t="s">
        <v>288</v>
      </c>
      <c r="D2113" s="1" t="s">
        <v>289</v>
      </c>
      <c r="E2113" s="1" t="s">
        <v>7742</v>
      </c>
      <c r="F2113" s="2" t="str">
        <f>"0060745223"</f>
        <v>0060745223</v>
      </c>
      <c r="G2113" s="2" t="str">
        <f>"9780060745226"</f>
        <v>9780060745226</v>
      </c>
      <c r="H2113" s="1" t="s">
        <v>290</v>
      </c>
      <c r="I2113" s="1" t="s">
        <v>36</v>
      </c>
      <c r="J2113" s="1">
        <v>112.0</v>
      </c>
      <c r="K2113" s="1">
        <v>2005.0</v>
      </c>
      <c r="L2113" s="1">
        <v>2005.0</v>
      </c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/>
      <c r="X2113" s="1" t="s">
        <v>436</v>
      </c>
      <c r="Y2113" s="1" t="s">
        <v>8237</v>
      </c>
    </row>
    <row r="2114">
      <c r="A2114" s="1">
        <v>2556491.0</v>
      </c>
      <c r="B2114" s="1" t="s">
        <v>8238</v>
      </c>
      <c r="C2114" s="1" t="s">
        <v>288</v>
      </c>
      <c r="D2114" s="1" t="s">
        <v>289</v>
      </c>
      <c r="E2114" s="1" t="s">
        <v>7742</v>
      </c>
      <c r="F2114" s="2" t="str">
        <f>"0061346098"</f>
        <v>0061346098</v>
      </c>
      <c r="G2114" s="2" t="str">
        <f>"9780061346095"</f>
        <v>9780061346095</v>
      </c>
      <c r="H2114" s="1" t="s">
        <v>290</v>
      </c>
      <c r="I2114" s="1" t="s">
        <v>36</v>
      </c>
      <c r="J2114" s="1">
        <v>112.0</v>
      </c>
      <c r="K2114" s="1">
        <v>2008.0</v>
      </c>
      <c r="L2114" s="1">
        <v>2008.0</v>
      </c>
      <c r="M2114" s="1"/>
      <c r="N2114" s="1"/>
      <c r="O2114" s="1"/>
      <c r="P2114" s="1"/>
      <c r="Q2114" s="1"/>
      <c r="R2114" s="1"/>
      <c r="S2114" s="1"/>
      <c r="T2114" s="1"/>
      <c r="U2114" s="1"/>
      <c r="V2114" s="1"/>
      <c r="W2114" s="1"/>
      <c r="X2114" s="1" t="s">
        <v>436</v>
      </c>
      <c r="Y2114" s="1" t="s">
        <v>8239</v>
      </c>
    </row>
    <row r="2115">
      <c r="A2115" s="1">
        <v>6007150.0</v>
      </c>
      <c r="B2115" s="1" t="s">
        <v>8240</v>
      </c>
      <c r="C2115" s="1" t="s">
        <v>288</v>
      </c>
      <c r="D2115" s="1" t="s">
        <v>289</v>
      </c>
      <c r="E2115" s="1" t="s">
        <v>7742</v>
      </c>
      <c r="F2115" s="2" t="str">
        <f>"006155409X"</f>
        <v>006155409X</v>
      </c>
      <c r="G2115" s="2" t="str">
        <f>"9780061554094"</f>
        <v>9780061554094</v>
      </c>
      <c r="H2115" s="1" t="s">
        <v>290</v>
      </c>
      <c r="I2115" s="1" t="s">
        <v>36</v>
      </c>
      <c r="J2115" s="1">
        <v>112.0</v>
      </c>
      <c r="K2115" s="1">
        <v>2009.0</v>
      </c>
      <c r="L2115" s="1">
        <v>2009.0</v>
      </c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1"/>
      <c r="X2115" s="1" t="s">
        <v>8241</v>
      </c>
      <c r="Y2115" s="1" t="s">
        <v>8242</v>
      </c>
    </row>
    <row r="2116">
      <c r="A2116" s="1">
        <v>7738517.0</v>
      </c>
      <c r="B2116" s="1" t="s">
        <v>8243</v>
      </c>
      <c r="C2116" s="1" t="s">
        <v>1554</v>
      </c>
      <c r="D2116" s="1" t="s">
        <v>1555</v>
      </c>
      <c r="E2116" s="1" t="s">
        <v>8195</v>
      </c>
      <c r="F2116" s="2" t="str">
        <f>"0448454068"</f>
        <v>0448454068</v>
      </c>
      <c r="G2116" s="2" t="str">
        <f>"9780448454061"</f>
        <v>9780448454061</v>
      </c>
      <c r="H2116" s="1" t="s">
        <v>7281</v>
      </c>
      <c r="I2116" s="1" t="s">
        <v>36</v>
      </c>
      <c r="J2116" s="1">
        <v>112.0</v>
      </c>
      <c r="K2116" s="1">
        <v>2010.0</v>
      </c>
      <c r="L2116" s="1">
        <v>2010.0</v>
      </c>
      <c r="M2116" s="1"/>
      <c r="N2116" s="1"/>
      <c r="O2116" s="1"/>
      <c r="P2116" s="1"/>
      <c r="Q2116" s="1"/>
      <c r="R2116" s="1"/>
      <c r="S2116" s="1"/>
      <c r="T2116" s="1"/>
      <c r="U2116" s="1"/>
      <c r="V2116" s="1"/>
      <c r="W2116" s="1"/>
      <c r="X2116" s="1" t="s">
        <v>8158</v>
      </c>
      <c r="Y2116" s="1" t="s">
        <v>8244</v>
      </c>
    </row>
    <row r="2117">
      <c r="A2117" s="1">
        <v>5.4981093E7</v>
      </c>
      <c r="B2117" s="1" t="s">
        <v>8245</v>
      </c>
      <c r="C2117" s="1" t="s">
        <v>7929</v>
      </c>
      <c r="D2117" s="1" t="s">
        <v>7930</v>
      </c>
      <c r="E2117" s="1" t="s">
        <v>8246</v>
      </c>
      <c r="F2117" s="2" t="str">
        <f>"1506715761"</f>
        <v>1506715761</v>
      </c>
      <c r="G2117" s="2" t="str">
        <f>"9781506715766"</f>
        <v>9781506715766</v>
      </c>
      <c r="H2117" s="1" t="s">
        <v>7932</v>
      </c>
      <c r="I2117" s="1" t="s">
        <v>36</v>
      </c>
      <c r="J2117" s="1">
        <v>112.0</v>
      </c>
      <c r="K2117" s="1">
        <v>2021.0</v>
      </c>
      <c r="L2117" s="1">
        <v>2021.0</v>
      </c>
      <c r="M2117" s="1"/>
      <c r="N2117" s="1"/>
      <c r="O2117" s="1"/>
      <c r="P2117" s="1"/>
      <c r="Q2117" s="1"/>
      <c r="R2117" s="1"/>
      <c r="S2117" s="1"/>
      <c r="T2117" s="1"/>
      <c r="U2117" s="1"/>
      <c r="V2117" s="1"/>
      <c r="W2117" s="1"/>
      <c r="X2117" s="1" t="s">
        <v>161</v>
      </c>
      <c r="Y2117" s="1" t="s">
        <v>8247</v>
      </c>
    </row>
    <row r="2118">
      <c r="A2118" s="1">
        <v>7712462.0</v>
      </c>
      <c r="B2118" s="1" t="s">
        <v>8248</v>
      </c>
      <c r="C2118" s="1" t="s">
        <v>8249</v>
      </c>
      <c r="D2118" s="1" t="s">
        <v>8250</v>
      </c>
      <c r="E2118" s="1" t="s">
        <v>8251</v>
      </c>
      <c r="F2118" s="2" t="str">
        <f>"1603964312"</f>
        <v>1603964312</v>
      </c>
      <c r="G2118" s="2" t="str">
        <f>"9781603964319"</f>
        <v>9781603964319</v>
      </c>
      <c r="H2118" s="1" t="s">
        <v>58</v>
      </c>
      <c r="I2118" s="1" t="s">
        <v>36</v>
      </c>
      <c r="J2118" s="1">
        <v>112.0</v>
      </c>
      <c r="K2118" s="1">
        <v>2009.0</v>
      </c>
      <c r="L2118" s="1">
        <v>2002.0</v>
      </c>
      <c r="M2118" s="1"/>
      <c r="N2118" s="1"/>
      <c r="O2118" s="1"/>
      <c r="P2118" s="1"/>
      <c r="Q2118" s="1"/>
      <c r="R2118" s="1"/>
      <c r="S2118" s="1"/>
      <c r="T2118" s="1"/>
      <c r="U2118" s="1"/>
      <c r="V2118" s="1"/>
      <c r="W2118" s="1"/>
      <c r="X2118" s="1" t="s">
        <v>92</v>
      </c>
      <c r="Y2118" s="1" t="s">
        <v>8252</v>
      </c>
    </row>
    <row r="2119">
      <c r="A2119" s="1">
        <v>5.7639359E7</v>
      </c>
      <c r="B2119" s="1" t="s">
        <v>8253</v>
      </c>
      <c r="C2119" s="1" t="s">
        <v>3785</v>
      </c>
      <c r="D2119" s="1" t="s">
        <v>3786</v>
      </c>
      <c r="E2119" s="1" t="s">
        <v>8213</v>
      </c>
      <c r="F2119" s="2" t="str">
        <f>"0399542655"</f>
        <v>0399542655</v>
      </c>
      <c r="G2119" s="2" t="str">
        <f>"9780399542657"</f>
        <v>9780399542657</v>
      </c>
      <c r="H2119" s="1" t="s">
        <v>7281</v>
      </c>
      <c r="I2119" s="1" t="s">
        <v>36</v>
      </c>
      <c r="J2119" s="1">
        <v>112.0</v>
      </c>
      <c r="K2119" s="1">
        <v>2021.0</v>
      </c>
      <c r="L2119" s="1">
        <v>2021.0</v>
      </c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1"/>
      <c r="X2119" s="1" t="s">
        <v>8158</v>
      </c>
      <c r="Y2119" s="1" t="s">
        <v>8254</v>
      </c>
    </row>
    <row r="2120">
      <c r="A2120" s="1">
        <v>1.8114162E7</v>
      </c>
      <c r="B2120" s="1" t="s">
        <v>8255</v>
      </c>
      <c r="C2120" s="1" t="s">
        <v>6025</v>
      </c>
      <c r="D2120" s="1" t="s">
        <v>8256</v>
      </c>
      <c r="E2120" s="1" t="s">
        <v>8209</v>
      </c>
      <c r="F2120" s="2" t="str">
        <f>"0448478927"</f>
        <v>0448478927</v>
      </c>
      <c r="G2120" s="2" t="str">
        <f>"9780448478920"</f>
        <v>9780448478920</v>
      </c>
      <c r="H2120" s="1" t="s">
        <v>7281</v>
      </c>
      <c r="I2120" s="1" t="s">
        <v>36</v>
      </c>
      <c r="J2120" s="1">
        <v>112.0</v>
      </c>
      <c r="K2120" s="1">
        <v>2014.0</v>
      </c>
      <c r="L2120" s="1">
        <v>2014.0</v>
      </c>
      <c r="M2120" s="1"/>
      <c r="N2120" s="1"/>
      <c r="O2120" s="1"/>
      <c r="P2120" s="1"/>
      <c r="Q2120" s="1"/>
      <c r="R2120" s="1"/>
      <c r="S2120" s="1"/>
      <c r="T2120" s="1"/>
      <c r="U2120" s="1"/>
      <c r="V2120" s="1"/>
      <c r="W2120" s="1"/>
      <c r="X2120" s="1" t="s">
        <v>8158</v>
      </c>
      <c r="Y2120" s="1" t="s">
        <v>8257</v>
      </c>
    </row>
    <row r="2121">
      <c r="A2121" s="1">
        <v>1.1729099E7</v>
      </c>
      <c r="B2121" s="1" t="s">
        <v>8258</v>
      </c>
      <c r="C2121" s="1" t="s">
        <v>8259</v>
      </c>
      <c r="D2121" s="1" t="s">
        <v>8260</v>
      </c>
      <c r="E2121" s="1" t="s">
        <v>8261</v>
      </c>
      <c r="F2121" s="2" t="str">
        <f>"0375868836"</f>
        <v>0375868836</v>
      </c>
      <c r="G2121" s="2" t="str">
        <f>"9780375868832"</f>
        <v>9780375868832</v>
      </c>
      <c r="H2121" s="1" t="s">
        <v>156</v>
      </c>
      <c r="I2121" s="1" t="s">
        <v>36</v>
      </c>
      <c r="J2121" s="1">
        <v>112.0</v>
      </c>
      <c r="K2121" s="1">
        <v>2012.0</v>
      </c>
      <c r="L2121" s="1">
        <v>2012.0</v>
      </c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  <c r="X2121" s="1" t="s">
        <v>1397</v>
      </c>
      <c r="Y2121" s="1" t="s">
        <v>8262</v>
      </c>
    </row>
    <row r="2122">
      <c r="A2122" s="1">
        <v>9974013.0</v>
      </c>
      <c r="B2122" s="1" t="s">
        <v>8263</v>
      </c>
      <c r="C2122" s="1" t="s">
        <v>8259</v>
      </c>
      <c r="D2122" s="1" t="s">
        <v>8260</v>
      </c>
      <c r="E2122" s="1" t="s">
        <v>8261</v>
      </c>
      <c r="F2122" s="2" t="str">
        <f>"0375868852"</f>
        <v>0375868852</v>
      </c>
      <c r="G2122" s="2" t="str">
        <f>"9780375868856"</f>
        <v>9780375868856</v>
      </c>
      <c r="H2122" s="1" t="s">
        <v>156</v>
      </c>
      <c r="I2122" s="1" t="s">
        <v>36</v>
      </c>
      <c r="J2122" s="1">
        <v>112.0</v>
      </c>
      <c r="K2122" s="1">
        <v>2011.0</v>
      </c>
      <c r="L2122" s="1">
        <v>2011.0</v>
      </c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  <c r="X2122" s="1" t="s">
        <v>1397</v>
      </c>
      <c r="Y2122" s="1" t="s">
        <v>8264</v>
      </c>
    </row>
    <row r="2123">
      <c r="A2123" s="1">
        <v>8664164.0</v>
      </c>
      <c r="B2123" s="1" t="s">
        <v>8265</v>
      </c>
      <c r="C2123" s="1" t="s">
        <v>8259</v>
      </c>
      <c r="D2123" s="1" t="s">
        <v>8260</v>
      </c>
      <c r="E2123" s="1" t="s">
        <v>8261</v>
      </c>
      <c r="F2123" s="2" t="str">
        <f>"0375867031"</f>
        <v>0375867031</v>
      </c>
      <c r="G2123" s="2" t="str">
        <f>"9780375867033"</f>
        <v>9780375867033</v>
      </c>
      <c r="H2123" s="1" t="s">
        <v>156</v>
      </c>
      <c r="I2123" s="1" t="s">
        <v>36</v>
      </c>
      <c r="J2123" s="1">
        <v>112.0</v>
      </c>
      <c r="K2123" s="1">
        <v>2011.0</v>
      </c>
      <c r="L2123" s="1">
        <v>2011.0</v>
      </c>
      <c r="M2123" s="1"/>
      <c r="N2123" s="1"/>
      <c r="O2123" s="1"/>
      <c r="P2123" s="1"/>
      <c r="Q2123" s="1"/>
      <c r="R2123" s="1"/>
      <c r="S2123" s="1"/>
      <c r="T2123" s="1"/>
      <c r="U2123" s="1"/>
      <c r="V2123" s="1"/>
      <c r="W2123" s="1"/>
      <c r="X2123" s="1" t="s">
        <v>8266</v>
      </c>
      <c r="Y2123" s="1" t="s">
        <v>8267</v>
      </c>
    </row>
    <row r="2124">
      <c r="A2124" s="1">
        <v>2.8517276E7</v>
      </c>
      <c r="B2124" s="1" t="s">
        <v>8268</v>
      </c>
      <c r="C2124" s="1" t="s">
        <v>8259</v>
      </c>
      <c r="D2124" s="1" t="s">
        <v>8260</v>
      </c>
      <c r="F2124" s="2" t="str">
        <f>"0399557547"</f>
        <v>0399557547</v>
      </c>
      <c r="G2124" s="2" t="str">
        <f>"9780399557545"</f>
        <v>9780399557545</v>
      </c>
      <c r="H2124" s="1" t="s">
        <v>156</v>
      </c>
      <c r="I2124" s="1" t="s">
        <v>36</v>
      </c>
      <c r="J2124" s="1">
        <v>112.0</v>
      </c>
      <c r="K2124" s="1">
        <v>2016.0</v>
      </c>
      <c r="M2124" s="1"/>
      <c r="N2124" s="1"/>
      <c r="O2124" s="1"/>
      <c r="P2124" s="1"/>
      <c r="Q2124" s="1"/>
      <c r="R2124" s="1"/>
      <c r="S2124" s="1"/>
      <c r="T2124" s="1"/>
      <c r="U2124" s="1"/>
      <c r="V2124" s="1"/>
      <c r="W2124" s="1"/>
      <c r="X2124" s="1" t="s">
        <v>291</v>
      </c>
      <c r="Y2124" s="1" t="s">
        <v>8269</v>
      </c>
    </row>
    <row r="2125">
      <c r="A2125" s="1">
        <v>3.9280451E7</v>
      </c>
      <c r="B2125" s="1" t="s">
        <v>8270</v>
      </c>
      <c r="C2125" s="1" t="s">
        <v>8271</v>
      </c>
      <c r="D2125" s="1" t="s">
        <v>8272</v>
      </c>
      <c r="E2125" s="1" t="s">
        <v>8273</v>
      </c>
      <c r="F2125" s="2" t="str">
        <f>"1627798773"</f>
        <v>1627798773</v>
      </c>
      <c r="G2125" s="2" t="str">
        <f>"9781627798778"</f>
        <v>9781627798778</v>
      </c>
      <c r="H2125" s="1" t="s">
        <v>2118</v>
      </c>
      <c r="I2125" s="1" t="s">
        <v>31</v>
      </c>
      <c r="J2125" s="1">
        <v>112.0</v>
      </c>
      <c r="K2125" s="1">
        <v>2019.0</v>
      </c>
      <c r="L2125" s="1">
        <v>2019.0</v>
      </c>
      <c r="M2125" s="1"/>
      <c r="N2125" s="1"/>
      <c r="O2125" s="1"/>
      <c r="P2125" s="1"/>
      <c r="Q2125" s="1"/>
      <c r="R2125" s="1"/>
      <c r="S2125" s="1"/>
      <c r="T2125" s="1"/>
      <c r="U2125" s="1"/>
      <c r="V2125" s="1"/>
      <c r="W2125" s="1"/>
      <c r="X2125" s="1" t="s">
        <v>45</v>
      </c>
      <c r="Y2125" s="1" t="s">
        <v>8274</v>
      </c>
    </row>
    <row r="2126">
      <c r="A2126" s="1">
        <v>558307.0</v>
      </c>
      <c r="B2126" s="1" t="s">
        <v>8275</v>
      </c>
      <c r="C2126" s="1" t="s">
        <v>8055</v>
      </c>
      <c r="D2126" s="1" t="s">
        <v>8056</v>
      </c>
      <c r="F2126" s="2" t="str">
        <f>"059043652X"</f>
        <v>059043652X</v>
      </c>
      <c r="G2126" s="2" t="str">
        <f>"9780590436526"</f>
        <v>9780590436526</v>
      </c>
      <c r="H2126" s="1" t="s">
        <v>50</v>
      </c>
      <c r="I2126" s="1" t="s">
        <v>36</v>
      </c>
      <c r="J2126" s="1">
        <v>112.0</v>
      </c>
      <c r="K2126" s="1">
        <v>1990.0</v>
      </c>
      <c r="L2126" s="1">
        <v>1990.0</v>
      </c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1"/>
      <c r="X2126" s="1" t="s">
        <v>180</v>
      </c>
      <c r="Y2126" s="1" t="s">
        <v>8276</v>
      </c>
    </row>
    <row r="2127">
      <c r="A2127" s="1">
        <v>579228.0</v>
      </c>
      <c r="B2127" s="1" t="s">
        <v>8277</v>
      </c>
      <c r="C2127" s="1" t="s">
        <v>8278</v>
      </c>
      <c r="D2127" s="1" t="s">
        <v>8279</v>
      </c>
      <c r="E2127" s="1" t="s">
        <v>2272</v>
      </c>
      <c r="F2127" s="2" t="str">
        <f>"0763628913"</f>
        <v>0763628913</v>
      </c>
      <c r="G2127" s="2" t="str">
        <f>"9780763628918"</f>
        <v>9780763628918</v>
      </c>
      <c r="H2127" s="1" t="s">
        <v>945</v>
      </c>
      <c r="I2127" s="1" t="s">
        <v>36</v>
      </c>
      <c r="J2127" s="1">
        <v>112.0</v>
      </c>
      <c r="K2127" s="1">
        <v>2007.0</v>
      </c>
      <c r="L2127" s="1">
        <v>2005.0</v>
      </c>
      <c r="M2127" s="1"/>
      <c r="N2127" s="1"/>
      <c r="O2127" s="1"/>
      <c r="P2127" s="1"/>
      <c r="Q2127" s="1"/>
      <c r="R2127" s="1"/>
      <c r="S2127" s="1"/>
      <c r="T2127" s="1"/>
      <c r="U2127" s="1"/>
      <c r="V2127" s="1"/>
      <c r="W2127" s="1"/>
      <c r="X2127" s="1" t="s">
        <v>8280</v>
      </c>
      <c r="Y2127" s="1" t="s">
        <v>8281</v>
      </c>
    </row>
    <row r="2128">
      <c r="A2128" s="1">
        <v>2.5310625E7</v>
      </c>
      <c r="B2128" s="1" t="s">
        <v>8282</v>
      </c>
      <c r="C2128" s="1" t="s">
        <v>8283</v>
      </c>
      <c r="D2128" s="1" t="s">
        <v>8284</v>
      </c>
      <c r="E2128" s="1" t="s">
        <v>8285</v>
      </c>
      <c r="F2128" s="2" t="str">
        <f>"0448486784"</f>
        <v>0448486784</v>
      </c>
      <c r="G2128" s="2" t="str">
        <f>"9780448486789"</f>
        <v>9780448486789</v>
      </c>
      <c r="H2128" s="1" t="s">
        <v>7281</v>
      </c>
      <c r="I2128" s="1" t="s">
        <v>36</v>
      </c>
      <c r="J2128" s="1">
        <v>112.0</v>
      </c>
      <c r="K2128" s="1">
        <v>2015.0</v>
      </c>
      <c r="L2128" s="1">
        <v>2015.0</v>
      </c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1"/>
      <c r="X2128" s="1" t="s">
        <v>8158</v>
      </c>
      <c r="Y2128" s="1" t="s">
        <v>8286</v>
      </c>
    </row>
    <row r="2129">
      <c r="A2129" s="1">
        <v>1.7572826E7</v>
      </c>
      <c r="B2129" s="1" t="s">
        <v>8287</v>
      </c>
      <c r="C2129" s="1" t="s">
        <v>8283</v>
      </c>
      <c r="D2129" s="1" t="s">
        <v>8284</v>
      </c>
      <c r="E2129" s="1" t="s">
        <v>8288</v>
      </c>
      <c r="F2129" s="2" t="str">
        <f>"0448467127"</f>
        <v>0448467127</v>
      </c>
      <c r="G2129" s="2" t="str">
        <f>"9780448467122"</f>
        <v>9780448467122</v>
      </c>
      <c r="H2129" s="1" t="s">
        <v>7281</v>
      </c>
      <c r="I2129" s="1" t="s">
        <v>36</v>
      </c>
      <c r="J2129" s="1">
        <v>112.0</v>
      </c>
      <c r="K2129" s="1">
        <v>2013.0</v>
      </c>
      <c r="L2129" s="1">
        <v>2013.0</v>
      </c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/>
      <c r="X2129" s="1" t="s">
        <v>8158</v>
      </c>
      <c r="Y2129" s="1" t="s">
        <v>8289</v>
      </c>
    </row>
    <row r="2130">
      <c r="A2130" s="1">
        <v>9548739.0</v>
      </c>
      <c r="B2130" s="1" t="s">
        <v>8290</v>
      </c>
      <c r="C2130" s="1" t="s">
        <v>8283</v>
      </c>
      <c r="D2130" s="1" t="s">
        <v>8284</v>
      </c>
      <c r="E2130" s="1" t="s">
        <v>8209</v>
      </c>
      <c r="F2130" s="2" t="str">
        <f>"0448454424"</f>
        <v>0448454424</v>
      </c>
      <c r="G2130" s="2" t="str">
        <f>"9780448454429"</f>
        <v>9780448454429</v>
      </c>
      <c r="H2130" s="1" t="s">
        <v>7281</v>
      </c>
      <c r="I2130" s="1" t="s">
        <v>36</v>
      </c>
      <c r="J2130" s="1">
        <v>112.0</v>
      </c>
      <c r="K2130" s="1">
        <v>2010.0</v>
      </c>
      <c r="L2130" s="1">
        <v>2010.0</v>
      </c>
      <c r="M2130" s="1"/>
      <c r="N2130" s="1"/>
      <c r="O2130" s="1"/>
      <c r="P2130" s="1"/>
      <c r="Q2130" s="1"/>
      <c r="R2130" s="1"/>
      <c r="S2130" s="1"/>
      <c r="T2130" s="1"/>
      <c r="U2130" s="1"/>
      <c r="V2130" s="1"/>
      <c r="W2130" s="1"/>
      <c r="X2130" s="1" t="s">
        <v>8178</v>
      </c>
      <c r="Y2130" s="1" t="s">
        <v>8291</v>
      </c>
    </row>
    <row r="2131">
      <c r="A2131" s="1">
        <v>3.8749202E7</v>
      </c>
      <c r="B2131" s="1" t="s">
        <v>8292</v>
      </c>
      <c r="C2131" s="1" t="s">
        <v>8293</v>
      </c>
      <c r="D2131" s="1" t="s">
        <v>8294</v>
      </c>
      <c r="E2131" s="1" t="s">
        <v>8295</v>
      </c>
      <c r="F2131" s="2" t="str">
        <f>"1499805853"</f>
        <v>1499805853</v>
      </c>
      <c r="G2131" s="2" t="str">
        <f>"9781499805857"</f>
        <v>9781499805857</v>
      </c>
      <c r="H2131" s="1" t="s">
        <v>2546</v>
      </c>
      <c r="I2131" s="1" t="s">
        <v>1278</v>
      </c>
      <c r="J2131" s="1">
        <v>112.0</v>
      </c>
      <c r="K2131" s="1">
        <v>2018.0</v>
      </c>
      <c r="M2131" s="1"/>
      <c r="N2131" s="1"/>
      <c r="O2131" s="1"/>
      <c r="P2131" s="1"/>
      <c r="Q2131" s="1"/>
      <c r="R2131" s="1"/>
      <c r="S2131" s="1"/>
      <c r="T2131" s="1"/>
      <c r="U2131" s="1"/>
      <c r="V2131" s="1"/>
      <c r="W2131" s="1"/>
      <c r="X2131" s="1" t="s">
        <v>45</v>
      </c>
      <c r="Y2131" s="1" t="s">
        <v>8296</v>
      </c>
    </row>
    <row r="2132">
      <c r="A2132" s="1">
        <v>660539.0</v>
      </c>
      <c r="B2132" s="1" t="s">
        <v>8297</v>
      </c>
      <c r="C2132" s="1" t="s">
        <v>8298</v>
      </c>
      <c r="D2132" s="1" t="s">
        <v>8299</v>
      </c>
      <c r="F2132" s="2" t="str">
        <f>"0689820879"</f>
        <v>0689820879</v>
      </c>
      <c r="G2132" s="2" t="str">
        <f>"9780689820878"</f>
        <v>9780689820878</v>
      </c>
      <c r="H2132" s="1" t="s">
        <v>2496</v>
      </c>
      <c r="I2132" s="1" t="s">
        <v>36</v>
      </c>
      <c r="J2132" s="1">
        <v>112.0</v>
      </c>
      <c r="K2132" s="1">
        <v>1998.0</v>
      </c>
      <c r="L2132" s="1">
        <v>1995.0</v>
      </c>
      <c r="M2132" s="1"/>
      <c r="N2132" s="1"/>
      <c r="O2132" s="1"/>
      <c r="P2132" s="1"/>
      <c r="Q2132" s="1"/>
      <c r="R2132" s="1"/>
      <c r="S2132" s="1"/>
      <c r="T2132" s="1"/>
      <c r="U2132" s="1"/>
      <c r="V2132" s="1"/>
      <c r="W2132" s="1"/>
      <c r="X2132" s="1" t="s">
        <v>68</v>
      </c>
      <c r="Y2132" s="1" t="s">
        <v>8300</v>
      </c>
    </row>
    <row r="2133">
      <c r="A2133" s="1">
        <v>1.576053E7</v>
      </c>
      <c r="B2133" s="1" t="s">
        <v>8301</v>
      </c>
      <c r="C2133" s="1" t="s">
        <v>905</v>
      </c>
      <c r="D2133" s="1" t="s">
        <v>906</v>
      </c>
      <c r="E2133" s="1" t="s">
        <v>1753</v>
      </c>
      <c r="F2133" s="2" t="str">
        <f>"0062082957"</f>
        <v>0062082957</v>
      </c>
      <c r="G2133" s="2" t="str">
        <f>"9780062082954"</f>
        <v>9780062082954</v>
      </c>
      <c r="H2133" s="1" t="s">
        <v>290</v>
      </c>
      <c r="I2133" s="1" t="s">
        <v>31</v>
      </c>
      <c r="J2133" s="1">
        <v>112.0</v>
      </c>
      <c r="K2133" s="1">
        <v>2013.0</v>
      </c>
      <c r="M2133" s="1"/>
      <c r="N2133" s="1"/>
      <c r="O2133" s="1"/>
      <c r="P2133" s="1"/>
      <c r="Q2133" s="1"/>
      <c r="R2133" s="1"/>
      <c r="S2133" s="1"/>
      <c r="T2133" s="1"/>
      <c r="U2133" s="1"/>
      <c r="V2133" s="1"/>
      <c r="W2133" s="1"/>
      <c r="X2133" s="1" t="s">
        <v>1397</v>
      </c>
      <c r="Y2133" s="1" t="s">
        <v>8302</v>
      </c>
    </row>
    <row r="2134">
      <c r="A2134" s="1">
        <v>4.9823211E7</v>
      </c>
      <c r="B2134" s="1" t="s">
        <v>8303</v>
      </c>
      <c r="C2134" s="1" t="s">
        <v>8304</v>
      </c>
      <c r="D2134" s="1" t="s">
        <v>8305</v>
      </c>
      <c r="E2134" s="1" t="s">
        <v>8306</v>
      </c>
      <c r="F2134" s="2" t="str">
        <f>"133854036X"</f>
        <v>133854036X</v>
      </c>
      <c r="G2134" s="2" t="str">
        <f>"9781338540369"</f>
        <v>9781338540369</v>
      </c>
      <c r="H2134" s="1" t="s">
        <v>2944</v>
      </c>
      <c r="I2134" s="1" t="s">
        <v>36</v>
      </c>
      <c r="J2134" s="1">
        <v>112.0</v>
      </c>
      <c r="K2134" s="1">
        <v>2020.0</v>
      </c>
      <c r="M2134" s="1"/>
      <c r="N2134" s="1"/>
      <c r="O2134" s="1"/>
      <c r="P2134" s="1"/>
      <c r="Q2134" s="1"/>
      <c r="R2134" s="1"/>
      <c r="S2134" s="1"/>
      <c r="T2134" s="1"/>
      <c r="U2134" s="1"/>
      <c r="V2134" s="1"/>
      <c r="W2134" s="1"/>
      <c r="X2134" s="1" t="s">
        <v>302</v>
      </c>
      <c r="Y2134" s="1" t="s">
        <v>8307</v>
      </c>
    </row>
    <row r="2135">
      <c r="A2135" s="1">
        <v>2287658.0</v>
      </c>
      <c r="B2135" s="1" t="s">
        <v>8308</v>
      </c>
      <c r="C2135" s="1" t="s">
        <v>546</v>
      </c>
      <c r="D2135" s="1" t="s">
        <v>547</v>
      </c>
      <c r="E2135" s="1" t="s">
        <v>8309</v>
      </c>
      <c r="F2135" s="2" t="str">
        <f>"0439236258"</f>
        <v>0439236258</v>
      </c>
      <c r="G2135" s="2" t="str">
        <f>"9780439236256"</f>
        <v>9780439236256</v>
      </c>
      <c r="H2135" s="1" t="s">
        <v>179</v>
      </c>
      <c r="I2135" s="1" t="s">
        <v>36</v>
      </c>
      <c r="J2135" s="1">
        <v>112.0</v>
      </c>
      <c r="K2135" s="1">
        <v>2001.0</v>
      </c>
      <c r="L2135" s="1">
        <v>1994.0</v>
      </c>
      <c r="M2135" s="1"/>
      <c r="N2135" s="1"/>
      <c r="O2135" s="1"/>
      <c r="P2135" s="1"/>
      <c r="Q2135" s="1"/>
      <c r="R2135" s="1"/>
      <c r="S2135" s="1"/>
      <c r="T2135" s="1"/>
      <c r="U2135" s="1"/>
      <c r="V2135" s="1"/>
      <c r="W2135" s="1"/>
      <c r="X2135" s="1" t="s">
        <v>1397</v>
      </c>
      <c r="Y2135" s="1" t="s">
        <v>8310</v>
      </c>
    </row>
    <row r="2136">
      <c r="A2136" s="1">
        <v>2.8192994E7</v>
      </c>
      <c r="B2136" s="1" t="s">
        <v>8311</v>
      </c>
      <c r="C2136" s="1" t="s">
        <v>8091</v>
      </c>
      <c r="D2136" s="1" t="s">
        <v>8092</v>
      </c>
      <c r="E2136" s="1" t="s">
        <v>8312</v>
      </c>
      <c r="F2136" s="2" t="str">
        <f>"0606380388"</f>
        <v>0606380388</v>
      </c>
      <c r="G2136" s="2" t="str">
        <f>"9780606380386"</f>
        <v>9780606380386</v>
      </c>
      <c r="H2136" s="1" t="s">
        <v>2319</v>
      </c>
      <c r="I2136" s="1" t="s">
        <v>91</v>
      </c>
      <c r="J2136" s="1">
        <v>112.0</v>
      </c>
      <c r="K2136" s="1">
        <v>2015.0</v>
      </c>
      <c r="L2136" s="1">
        <v>2013.0</v>
      </c>
      <c r="M2136" s="1"/>
      <c r="N2136" s="1"/>
      <c r="O2136" s="1"/>
      <c r="P2136" s="1"/>
      <c r="Q2136" s="1"/>
      <c r="R2136" s="1"/>
      <c r="S2136" s="1"/>
      <c r="T2136" s="1"/>
      <c r="U2136" s="1"/>
      <c r="V2136" s="1"/>
      <c r="W2136" s="1"/>
      <c r="X2136" s="1" t="s">
        <v>92</v>
      </c>
      <c r="Y2136" s="1" t="s">
        <v>8313</v>
      </c>
    </row>
    <row r="2137">
      <c r="A2137" s="1">
        <v>2.3743734E7</v>
      </c>
      <c r="B2137" s="1" t="s">
        <v>8314</v>
      </c>
      <c r="C2137" s="1" t="s">
        <v>8315</v>
      </c>
      <c r="D2137" s="1" t="s">
        <v>8316</v>
      </c>
      <c r="E2137" s="1" t="s">
        <v>8317</v>
      </c>
      <c r="F2137" s="2" t="str">
        <f>"0553499246"</f>
        <v>0553499246</v>
      </c>
      <c r="G2137" s="2" t="str">
        <f>"9780553499247"</f>
        <v>9780553499247</v>
      </c>
      <c r="H2137" s="1" t="s">
        <v>3211</v>
      </c>
      <c r="I2137" s="1" t="s">
        <v>91</v>
      </c>
      <c r="J2137" s="1">
        <v>112.0</v>
      </c>
      <c r="K2137" s="1">
        <v>2015.0</v>
      </c>
      <c r="L2137" s="1">
        <v>2015.0</v>
      </c>
      <c r="M2137" s="1"/>
      <c r="N2137" s="1"/>
      <c r="O2137" s="1"/>
      <c r="P2137" s="1"/>
      <c r="Q2137" s="1"/>
      <c r="R2137" s="1"/>
      <c r="S2137" s="1"/>
      <c r="T2137" s="1"/>
      <c r="U2137" s="1"/>
      <c r="V2137" s="1"/>
      <c r="W2137" s="1"/>
      <c r="X2137" s="1" t="s">
        <v>250</v>
      </c>
      <c r="Y2137" s="1" t="s">
        <v>8318</v>
      </c>
    </row>
    <row r="2138">
      <c r="A2138" s="1">
        <v>7.9974109E7</v>
      </c>
      <c r="B2138" s="1" t="s">
        <v>8319</v>
      </c>
      <c r="C2138" s="1" t="s">
        <v>571</v>
      </c>
      <c r="D2138" s="1" t="s">
        <v>572</v>
      </c>
      <c r="F2138" s="2" t="str">
        <f t="shared" ref="F2138:G2138" si="129">""</f>
        <v/>
      </c>
      <c r="G2138" s="2" t="str">
        <f t="shared" si="129"/>
        <v/>
      </c>
      <c r="H2138" s="1" t="s">
        <v>8320</v>
      </c>
      <c r="I2138" s="1" t="s">
        <v>36</v>
      </c>
      <c r="J2138" s="1">
        <v>112.0</v>
      </c>
      <c r="K2138" s="1">
        <v>2009.0</v>
      </c>
      <c r="M2138" s="1"/>
      <c r="N2138" s="1"/>
      <c r="O2138" s="1"/>
      <c r="P2138" s="1"/>
      <c r="Q2138" s="1"/>
      <c r="R2138" s="1"/>
      <c r="S2138" s="1"/>
      <c r="T2138" s="1"/>
      <c r="U2138" s="1"/>
      <c r="V2138" s="1"/>
      <c r="W2138" s="1"/>
      <c r="X2138" s="1" t="s">
        <v>380</v>
      </c>
      <c r="Y2138" s="1" t="s">
        <v>8321</v>
      </c>
    </row>
    <row r="2139">
      <c r="A2139" s="1">
        <v>2.9496475E7</v>
      </c>
      <c r="B2139" s="1" t="s">
        <v>8322</v>
      </c>
      <c r="C2139" s="1" t="s">
        <v>8323</v>
      </c>
      <c r="D2139" s="1" t="s">
        <v>8324</v>
      </c>
      <c r="E2139" s="1" t="s">
        <v>8325</v>
      </c>
      <c r="F2139" s="2" t="str">
        <f>"0448487039"</f>
        <v>0448487039</v>
      </c>
      <c r="G2139" s="2" t="str">
        <f>"9780448487038"</f>
        <v>9780448487038</v>
      </c>
      <c r="H2139" s="1" t="s">
        <v>7281</v>
      </c>
      <c r="I2139" s="1" t="s">
        <v>36</v>
      </c>
      <c r="J2139" s="1">
        <v>112.0</v>
      </c>
      <c r="K2139" s="1">
        <v>2016.0</v>
      </c>
      <c r="L2139" s="1">
        <v>2016.0</v>
      </c>
      <c r="M2139" s="1"/>
      <c r="N2139" s="1"/>
      <c r="O2139" s="1"/>
      <c r="P2139" s="1"/>
      <c r="Q2139" s="1"/>
      <c r="R2139" s="1"/>
      <c r="S2139" s="1"/>
      <c r="T2139" s="1"/>
      <c r="U2139" s="1"/>
      <c r="V2139" s="1"/>
      <c r="W2139" s="1"/>
      <c r="X2139" s="1" t="s">
        <v>8326</v>
      </c>
      <c r="Y2139" s="1" t="s">
        <v>8327</v>
      </c>
    </row>
    <row r="2140">
      <c r="A2140" s="1">
        <v>1.3436366E7</v>
      </c>
      <c r="B2140" s="1" t="s">
        <v>8328</v>
      </c>
      <c r="C2140" s="1" t="s">
        <v>8329</v>
      </c>
      <c r="D2140" s="1" t="s">
        <v>8330</v>
      </c>
      <c r="F2140" s="2" t="str">
        <f>"0545387728"</f>
        <v>0545387728</v>
      </c>
      <c r="G2140" s="2" t="str">
        <f>"9780545387729"</f>
        <v>9780545387729</v>
      </c>
      <c r="H2140" s="1" t="s">
        <v>4705</v>
      </c>
      <c r="I2140" s="1" t="s">
        <v>31</v>
      </c>
      <c r="J2140" s="1">
        <v>112.0</v>
      </c>
      <c r="K2140" s="1">
        <v>2012.0</v>
      </c>
      <c r="L2140" s="1">
        <v>2012.0</v>
      </c>
      <c r="M2140" s="1"/>
      <c r="N2140" s="1"/>
      <c r="O2140" s="1"/>
      <c r="P2140" s="1"/>
      <c r="Q2140" s="1"/>
      <c r="R2140" s="1"/>
      <c r="S2140" s="1"/>
      <c r="T2140" s="1"/>
      <c r="U2140" s="1"/>
      <c r="V2140" s="1"/>
      <c r="W2140" s="1"/>
      <c r="X2140" s="1" t="s">
        <v>45</v>
      </c>
      <c r="Y2140" s="1" t="s">
        <v>8331</v>
      </c>
    </row>
    <row r="2141">
      <c r="A2141" s="1">
        <v>1.8114174E7</v>
      </c>
      <c r="B2141" s="1" t="s">
        <v>8332</v>
      </c>
      <c r="C2141" s="1" t="s">
        <v>8333</v>
      </c>
      <c r="D2141" s="1" t="s">
        <v>8334</v>
      </c>
      <c r="E2141" s="1" t="s">
        <v>8335</v>
      </c>
      <c r="F2141" s="2" t="str">
        <f>"0448479354"</f>
        <v>0448479354</v>
      </c>
      <c r="G2141" s="2" t="str">
        <f>"9780448479354"</f>
        <v>9780448479354</v>
      </c>
      <c r="H2141" s="1" t="s">
        <v>7281</v>
      </c>
      <c r="I2141" s="1" t="s">
        <v>36</v>
      </c>
      <c r="J2141" s="1">
        <v>112.0</v>
      </c>
      <c r="K2141" s="1">
        <v>2013.0</v>
      </c>
      <c r="L2141" s="1">
        <v>2013.0</v>
      </c>
      <c r="M2141" s="1"/>
      <c r="N2141" s="1"/>
      <c r="O2141" s="1"/>
      <c r="P2141" s="1"/>
      <c r="Q2141" s="1"/>
      <c r="R2141" s="1"/>
      <c r="S2141" s="1"/>
      <c r="T2141" s="1"/>
      <c r="U2141" s="1"/>
      <c r="V2141" s="1"/>
      <c r="W2141" s="1"/>
      <c r="X2141" s="1" t="s">
        <v>8158</v>
      </c>
      <c r="Y2141" s="1" t="s">
        <v>8336</v>
      </c>
    </row>
    <row r="2142">
      <c r="A2142" s="1">
        <v>5818570.0</v>
      </c>
      <c r="B2142" s="1" t="s">
        <v>8337</v>
      </c>
      <c r="C2142" s="1" t="s">
        <v>8338</v>
      </c>
      <c r="D2142" s="1" t="s">
        <v>8339</v>
      </c>
      <c r="E2142" s="1" t="s">
        <v>8340</v>
      </c>
      <c r="F2142" s="2" t="str">
        <f>"0448450526"</f>
        <v>0448450526</v>
      </c>
      <c r="G2142" s="2" t="str">
        <f>"9780448450520"</f>
        <v>9780448450520</v>
      </c>
      <c r="H2142" s="1" t="s">
        <v>8341</v>
      </c>
      <c r="I2142" s="1" t="s">
        <v>36</v>
      </c>
      <c r="J2142" s="1">
        <v>112.0</v>
      </c>
      <c r="K2142" s="1">
        <v>2012.0</v>
      </c>
      <c r="L2142" s="1">
        <v>2009.0</v>
      </c>
      <c r="M2142" s="1"/>
      <c r="N2142" s="1"/>
      <c r="O2142" s="1"/>
      <c r="P2142" s="1"/>
      <c r="Q2142" s="1"/>
      <c r="R2142" s="1"/>
      <c r="S2142" s="1"/>
      <c r="T2142" s="1"/>
      <c r="U2142" s="1"/>
      <c r="V2142" s="1"/>
      <c r="W2142" s="1"/>
      <c r="X2142" s="1" t="s">
        <v>8158</v>
      </c>
      <c r="Y2142" s="1" t="s">
        <v>8342</v>
      </c>
    </row>
    <row r="2143">
      <c r="A2143" s="1">
        <v>157634.0</v>
      </c>
      <c r="B2143" s="1" t="s">
        <v>8343</v>
      </c>
      <c r="C2143" s="1" t="s">
        <v>8344</v>
      </c>
      <c r="D2143" s="1" t="s">
        <v>8345</v>
      </c>
      <c r="F2143" s="2" t="str">
        <f>"0439661625"</f>
        <v>0439661625</v>
      </c>
      <c r="G2143" s="2" t="str">
        <f>"9780439661621"</f>
        <v>9780439661621</v>
      </c>
      <c r="H2143" s="1" t="s">
        <v>2944</v>
      </c>
      <c r="I2143" s="1" t="s">
        <v>36</v>
      </c>
      <c r="J2143" s="1">
        <v>112.0</v>
      </c>
      <c r="K2143" s="1">
        <v>2004.0</v>
      </c>
      <c r="L2143" s="1">
        <v>2006.0</v>
      </c>
      <c r="M2143" s="1"/>
      <c r="N2143" s="1"/>
      <c r="O2143" s="1"/>
      <c r="P2143" s="1"/>
      <c r="Q2143" s="1"/>
      <c r="R2143" s="1"/>
      <c r="S2143" s="1"/>
      <c r="T2143" s="1"/>
      <c r="U2143" s="1"/>
      <c r="V2143" s="1"/>
      <c r="W2143" s="1"/>
      <c r="X2143" s="1" t="s">
        <v>45</v>
      </c>
      <c r="Y2143" s="1" t="s">
        <v>8346</v>
      </c>
    </row>
    <row r="2144">
      <c r="A2144" s="1">
        <v>1.7624005E7</v>
      </c>
      <c r="B2144" s="1" t="s">
        <v>8347</v>
      </c>
      <c r="C2144" s="1" t="s">
        <v>8348</v>
      </c>
      <c r="D2144" s="1" t="s">
        <v>8349</v>
      </c>
      <c r="E2144" s="1" t="s">
        <v>8350</v>
      </c>
      <c r="F2144" s="2" t="str">
        <f>"0448478633"</f>
        <v>0448478633</v>
      </c>
      <c r="G2144" s="2" t="str">
        <f>"9780448478630"</f>
        <v>9780448478630</v>
      </c>
      <c r="H2144" s="1" t="s">
        <v>7281</v>
      </c>
      <c r="I2144" s="1" t="s">
        <v>36</v>
      </c>
      <c r="J2144" s="1">
        <v>112.0</v>
      </c>
      <c r="K2144" s="1">
        <v>2013.0</v>
      </c>
      <c r="L2144" s="1">
        <v>2013.0</v>
      </c>
      <c r="M2144" s="1"/>
      <c r="N2144" s="1"/>
      <c r="O2144" s="1"/>
      <c r="P2144" s="1"/>
      <c r="Q2144" s="1"/>
      <c r="R2144" s="1"/>
      <c r="S2144" s="1"/>
      <c r="T2144" s="1"/>
      <c r="U2144" s="1"/>
      <c r="V2144" s="1"/>
      <c r="W2144" s="1"/>
      <c r="X2144" s="1" t="s">
        <v>8158</v>
      </c>
      <c r="Y2144" s="1" t="s">
        <v>8351</v>
      </c>
    </row>
    <row r="2145">
      <c r="A2145" s="1">
        <v>1.6115666E7</v>
      </c>
      <c r="B2145" s="1" t="s">
        <v>8352</v>
      </c>
      <c r="C2145" s="1" t="s">
        <v>8348</v>
      </c>
      <c r="D2145" s="1" t="s">
        <v>8349</v>
      </c>
      <c r="E2145" s="1" t="s">
        <v>8353</v>
      </c>
      <c r="F2145" s="2" t="str">
        <f>"0448466872"</f>
        <v>0448466872</v>
      </c>
      <c r="G2145" s="2" t="str">
        <f>"9780448466873"</f>
        <v>9780448466873</v>
      </c>
      <c r="H2145" s="1" t="s">
        <v>7281</v>
      </c>
      <c r="I2145" s="1" t="s">
        <v>36</v>
      </c>
      <c r="J2145" s="1">
        <v>112.0</v>
      </c>
      <c r="K2145" s="1">
        <v>2013.0</v>
      </c>
      <c r="L2145" s="1">
        <v>2013.0</v>
      </c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1"/>
      <c r="X2145" s="1" t="s">
        <v>8158</v>
      </c>
      <c r="Y2145" s="1" t="s">
        <v>8354</v>
      </c>
    </row>
    <row r="2146">
      <c r="A2146" s="1">
        <v>7285966.0</v>
      </c>
      <c r="B2146" s="1" t="s">
        <v>8355</v>
      </c>
      <c r="C2146" s="1" t="s">
        <v>639</v>
      </c>
      <c r="D2146" s="1" t="s">
        <v>7450</v>
      </c>
      <c r="E2146" s="1" t="s">
        <v>8356</v>
      </c>
      <c r="F2146" s="2" t="str">
        <f>"0545206871"</f>
        <v>0545206871</v>
      </c>
      <c r="G2146" s="2" t="str">
        <f>"9780545206877"</f>
        <v>9780545206877</v>
      </c>
      <c r="H2146" s="1" t="s">
        <v>857</v>
      </c>
      <c r="I2146" s="1" t="s">
        <v>31</v>
      </c>
      <c r="J2146" s="1">
        <v>112.0</v>
      </c>
      <c r="K2146" s="1">
        <v>2010.0</v>
      </c>
      <c r="L2146" s="1">
        <v>2010.0</v>
      </c>
      <c r="M2146" s="1"/>
      <c r="N2146" s="1"/>
      <c r="O2146" s="1"/>
      <c r="P2146" s="1"/>
      <c r="Q2146" s="1"/>
      <c r="R2146" s="1"/>
      <c r="S2146" s="1"/>
      <c r="T2146" s="1"/>
      <c r="U2146" s="1"/>
      <c r="V2146" s="1"/>
      <c r="W2146" s="1"/>
      <c r="X2146" s="1" t="s">
        <v>8357</v>
      </c>
      <c r="Y2146" s="1" t="s">
        <v>8358</v>
      </c>
    </row>
    <row r="2147">
      <c r="A2147" s="1">
        <v>1.7265269E7</v>
      </c>
      <c r="B2147" s="1" t="s">
        <v>8359</v>
      </c>
      <c r="C2147" s="1" t="s">
        <v>639</v>
      </c>
      <c r="D2147" s="1" t="s">
        <v>7450</v>
      </c>
      <c r="F2147" s="2" t="str">
        <f>"0545459370"</f>
        <v>0545459370</v>
      </c>
      <c r="G2147" s="2" t="str">
        <f>"9780545459372"</f>
        <v>9780545459372</v>
      </c>
      <c r="H2147" s="1" t="s">
        <v>2944</v>
      </c>
      <c r="I2147" s="1" t="s">
        <v>36</v>
      </c>
      <c r="J2147" s="1">
        <v>112.0</v>
      </c>
      <c r="K2147" s="1">
        <v>2013.0</v>
      </c>
      <c r="L2147" s="1">
        <v>2013.0</v>
      </c>
      <c r="M2147" s="1"/>
      <c r="N2147" s="1"/>
      <c r="O2147" s="1"/>
      <c r="P2147" s="1"/>
      <c r="Q2147" s="1"/>
      <c r="R2147" s="1"/>
      <c r="S2147" s="1"/>
      <c r="T2147" s="1"/>
      <c r="U2147" s="1"/>
      <c r="V2147" s="1"/>
      <c r="W2147" s="1"/>
      <c r="X2147" s="1" t="s">
        <v>641</v>
      </c>
      <c r="Y2147" s="1" t="s">
        <v>8360</v>
      </c>
    </row>
    <row r="2148">
      <c r="A2148" s="1">
        <v>5.291536E7</v>
      </c>
      <c r="B2148" s="1" t="s">
        <v>8361</v>
      </c>
      <c r="C2148" s="1" t="s">
        <v>8362</v>
      </c>
      <c r="D2148" s="1" t="s">
        <v>8363</v>
      </c>
      <c r="F2148" s="2" t="str">
        <f>"0593095618"</f>
        <v>0593095618</v>
      </c>
      <c r="G2148" s="2" t="str">
        <f>"9780593095614"</f>
        <v>9780593095614</v>
      </c>
      <c r="H2148" s="1" t="s">
        <v>7281</v>
      </c>
      <c r="I2148" s="1" t="s">
        <v>36</v>
      </c>
      <c r="J2148" s="1">
        <v>112.0</v>
      </c>
      <c r="K2148" s="1">
        <v>2020.0</v>
      </c>
      <c r="M2148" s="1"/>
      <c r="N2148" s="1"/>
      <c r="O2148" s="1"/>
      <c r="P2148" s="1"/>
      <c r="Q2148" s="1"/>
      <c r="R2148" s="1"/>
      <c r="S2148" s="1"/>
      <c r="T2148" s="1"/>
      <c r="U2148" s="1"/>
      <c r="V2148" s="1"/>
      <c r="W2148" s="1"/>
      <c r="X2148" s="1" t="s">
        <v>641</v>
      </c>
      <c r="Y2148" s="1" t="s">
        <v>8364</v>
      </c>
    </row>
    <row r="2149">
      <c r="A2149" s="1">
        <v>5.6657374E7</v>
      </c>
      <c r="B2149" s="1" t="s">
        <v>8365</v>
      </c>
      <c r="C2149" s="1" t="s">
        <v>433</v>
      </c>
      <c r="D2149" s="1" t="s">
        <v>434</v>
      </c>
      <c r="E2149" s="1" t="s">
        <v>8366</v>
      </c>
      <c r="F2149" s="2" t="str">
        <f>"133866218X"</f>
        <v>133866218X</v>
      </c>
      <c r="G2149" s="2" t="str">
        <f>"9781338662184"</f>
        <v>9781338662184</v>
      </c>
      <c r="H2149" s="1" t="s">
        <v>857</v>
      </c>
      <c r="I2149" s="1" t="s">
        <v>238</v>
      </c>
      <c r="J2149" s="1">
        <v>113.0</v>
      </c>
      <c r="K2149" s="1">
        <v>2021.0</v>
      </c>
      <c r="L2149" s="1">
        <v>2021.0</v>
      </c>
      <c r="M2149" s="1"/>
      <c r="N2149" s="1"/>
      <c r="O2149" s="1"/>
      <c r="P2149" s="1"/>
      <c r="Q2149" s="1"/>
      <c r="R2149" s="1"/>
      <c r="S2149" s="1"/>
      <c r="T2149" s="1"/>
      <c r="U2149" s="1"/>
      <c r="V2149" s="1"/>
      <c r="W2149" s="1"/>
      <c r="X2149" s="1" t="s">
        <v>8367</v>
      </c>
      <c r="Y2149" s="1" t="s">
        <v>8368</v>
      </c>
    </row>
    <row r="2150">
      <c r="A2150" s="1">
        <v>125560.0</v>
      </c>
      <c r="B2150" s="1" t="s">
        <v>8369</v>
      </c>
      <c r="C2150" s="1" t="s">
        <v>8370</v>
      </c>
      <c r="D2150" s="1" t="s">
        <v>8371</v>
      </c>
      <c r="F2150" s="2" t="str">
        <f>"0439671124"</f>
        <v>0439671124</v>
      </c>
      <c r="G2150" s="2" t="str">
        <f>"9780439671125"</f>
        <v>9780439671125</v>
      </c>
      <c r="H2150" s="1" t="s">
        <v>2944</v>
      </c>
      <c r="I2150" s="1" t="s">
        <v>36</v>
      </c>
      <c r="J2150" s="1">
        <v>113.0</v>
      </c>
      <c r="K2150" s="1">
        <v>2004.0</v>
      </c>
      <c r="L2150" s="1">
        <v>1993.0</v>
      </c>
      <c r="M2150" s="1"/>
      <c r="N2150" s="1"/>
      <c r="O2150" s="1"/>
      <c r="P2150" s="1"/>
      <c r="Q2150" s="1"/>
      <c r="R2150" s="1"/>
      <c r="S2150" s="1"/>
      <c r="T2150" s="1"/>
      <c r="U2150" s="1"/>
      <c r="V2150" s="1"/>
      <c r="W2150" s="1"/>
      <c r="X2150" s="1" t="s">
        <v>8068</v>
      </c>
      <c r="Y2150" s="1" t="s">
        <v>8372</v>
      </c>
    </row>
    <row r="2151">
      <c r="A2151" s="1">
        <v>1.8884591E7</v>
      </c>
      <c r="B2151" s="1" t="s">
        <v>8373</v>
      </c>
      <c r="C2151" s="1" t="s">
        <v>8374</v>
      </c>
      <c r="D2151" s="1" t="s">
        <v>8375</v>
      </c>
      <c r="E2151" s="1" t="s">
        <v>8376</v>
      </c>
      <c r="F2151" s="2" t="str">
        <f t="shared" ref="F2151:G2151" si="130">""</f>
        <v/>
      </c>
      <c r="G2151" s="2" t="str">
        <f t="shared" si="130"/>
        <v/>
      </c>
      <c r="H2151" s="1" t="s">
        <v>156</v>
      </c>
      <c r="I2151" s="1" t="s">
        <v>238</v>
      </c>
      <c r="J2151" s="1">
        <v>114.0</v>
      </c>
      <c r="K2151" s="1">
        <v>2012.0</v>
      </c>
      <c r="L2151" s="1">
        <v>2012.0</v>
      </c>
      <c r="M2151" s="1"/>
      <c r="N2151" s="1"/>
      <c r="O2151" s="1"/>
      <c r="P2151" s="1"/>
      <c r="Q2151" s="1"/>
      <c r="R2151" s="1"/>
      <c r="S2151" s="1"/>
      <c r="T2151" s="1"/>
      <c r="U2151" s="1"/>
      <c r="V2151" s="1"/>
      <c r="W2151" s="1"/>
      <c r="X2151" s="1" t="s">
        <v>45</v>
      </c>
      <c r="Y2151" s="1" t="s">
        <v>8377</v>
      </c>
    </row>
    <row r="2152">
      <c r="A2152" s="1">
        <v>1.0548966E7</v>
      </c>
      <c r="B2152" s="1" t="s">
        <v>8378</v>
      </c>
      <c r="C2152" s="1" t="s">
        <v>8259</v>
      </c>
      <c r="D2152" s="1" t="s">
        <v>8260</v>
      </c>
      <c r="E2152" s="1" t="s">
        <v>8261</v>
      </c>
      <c r="F2152" s="2" t="str">
        <f t="shared" ref="F2152:G2152" si="131">""</f>
        <v/>
      </c>
      <c r="G2152" s="2" t="str">
        <f t="shared" si="131"/>
        <v/>
      </c>
      <c r="I2152" s="1" t="s">
        <v>238</v>
      </c>
      <c r="J2152" s="1">
        <v>114.0</v>
      </c>
      <c r="L2152" s="1">
        <v>2011.0</v>
      </c>
      <c r="M2152" s="1"/>
      <c r="N2152" s="1"/>
      <c r="O2152" s="1"/>
      <c r="P2152" s="1"/>
      <c r="Q2152" s="1"/>
      <c r="R2152" s="1"/>
      <c r="S2152" s="1"/>
      <c r="T2152" s="1"/>
      <c r="U2152" s="1"/>
      <c r="V2152" s="1"/>
      <c r="W2152" s="1"/>
      <c r="X2152" s="1" t="s">
        <v>8266</v>
      </c>
      <c r="Y2152" s="1" t="s">
        <v>8379</v>
      </c>
    </row>
    <row r="2153">
      <c r="A2153" s="1">
        <v>824787.0</v>
      </c>
      <c r="B2153" s="1" t="s">
        <v>8380</v>
      </c>
      <c r="C2153" s="1" t="s">
        <v>8344</v>
      </c>
      <c r="D2153" s="1" t="s">
        <v>8345</v>
      </c>
      <c r="F2153" s="2" t="str">
        <f>"0439841178"</f>
        <v>0439841178</v>
      </c>
      <c r="G2153" s="2" t="str">
        <f>"9780439841177"</f>
        <v>9780439841177</v>
      </c>
      <c r="H2153" s="1" t="s">
        <v>2944</v>
      </c>
      <c r="I2153" s="1" t="s">
        <v>36</v>
      </c>
      <c r="J2153" s="1">
        <v>114.0</v>
      </c>
      <c r="K2153" s="1">
        <v>2006.0</v>
      </c>
      <c r="L2153" s="1">
        <v>2006.0</v>
      </c>
      <c r="M2153" s="1"/>
      <c r="N2153" s="1"/>
      <c r="O2153" s="1"/>
      <c r="P2153" s="1"/>
      <c r="Q2153" s="1"/>
      <c r="R2153" s="1"/>
      <c r="S2153" s="1"/>
      <c r="T2153" s="1"/>
      <c r="U2153" s="1"/>
      <c r="V2153" s="1"/>
      <c r="W2153" s="1"/>
      <c r="X2153" s="1" t="s">
        <v>45</v>
      </c>
      <c r="Y2153" s="1" t="s">
        <v>8381</v>
      </c>
    </row>
    <row r="2154">
      <c r="A2154" s="1">
        <v>125537.0</v>
      </c>
      <c r="B2154" s="1" t="s">
        <v>8382</v>
      </c>
      <c r="C2154" s="1" t="s">
        <v>8370</v>
      </c>
      <c r="D2154" s="1" t="s">
        <v>8371</v>
      </c>
      <c r="F2154" s="2" t="str">
        <f>"0439796199"</f>
        <v>0439796199</v>
      </c>
      <c r="G2154" s="2" t="str">
        <f>"9780439796194"</f>
        <v>9780439796194</v>
      </c>
      <c r="H2154" s="1" t="s">
        <v>817</v>
      </c>
      <c r="I2154" s="1" t="s">
        <v>36</v>
      </c>
      <c r="J2154" s="1">
        <v>114.0</v>
      </c>
      <c r="K2154" s="1">
        <v>2006.0</v>
      </c>
      <c r="L2154" s="1">
        <v>1997.0</v>
      </c>
      <c r="M2154" s="1"/>
      <c r="N2154" s="1"/>
      <c r="O2154" s="1"/>
      <c r="P2154" s="1"/>
      <c r="Q2154" s="1"/>
      <c r="R2154" s="1"/>
      <c r="S2154" s="1"/>
      <c r="T2154" s="1"/>
      <c r="U2154" s="1"/>
      <c r="V2154" s="1"/>
      <c r="W2154" s="1"/>
      <c r="X2154" s="1" t="s">
        <v>8068</v>
      </c>
      <c r="Y2154" s="1" t="s">
        <v>8383</v>
      </c>
    </row>
    <row r="2155">
      <c r="A2155" s="1">
        <v>348566.0</v>
      </c>
      <c r="B2155" s="1" t="s">
        <v>8384</v>
      </c>
      <c r="C2155" s="1" t="s">
        <v>176</v>
      </c>
      <c r="D2155" s="1" t="s">
        <v>177</v>
      </c>
      <c r="E2155" s="1" t="s">
        <v>2715</v>
      </c>
      <c r="F2155" s="2" t="str">
        <f>"0060097930"</f>
        <v>0060097930</v>
      </c>
      <c r="G2155" s="2" t="str">
        <f>"9780060097936"</f>
        <v>9780060097936</v>
      </c>
      <c r="H2155" s="1" t="s">
        <v>290</v>
      </c>
      <c r="I2155" s="1" t="s">
        <v>36</v>
      </c>
      <c r="J2155" s="1">
        <v>115.0</v>
      </c>
      <c r="K2155" s="1">
        <v>2003.0</v>
      </c>
      <c r="L2155" s="1">
        <v>1983.0</v>
      </c>
      <c r="M2155" s="1"/>
      <c r="N2155" s="1"/>
      <c r="O2155" s="1"/>
      <c r="P2155" s="1"/>
      <c r="Q2155" s="1"/>
      <c r="R2155" s="1"/>
      <c r="S2155" s="1"/>
      <c r="T2155" s="1"/>
      <c r="U2155" s="1"/>
      <c r="V2155" s="1"/>
      <c r="W2155" s="1"/>
      <c r="X2155" s="1" t="s">
        <v>180</v>
      </c>
      <c r="Y2155" s="1" t="s">
        <v>8385</v>
      </c>
    </row>
    <row r="2156">
      <c r="A2156" s="1">
        <v>1.2015487E7</v>
      </c>
      <c r="B2156" s="1" t="s">
        <v>8386</v>
      </c>
      <c r="C2156" s="1" t="s">
        <v>349</v>
      </c>
      <c r="D2156" s="1" t="s">
        <v>350</v>
      </c>
      <c r="F2156" s="2" t="str">
        <f>"0545388481"</f>
        <v>0545388481</v>
      </c>
      <c r="G2156" s="2" t="str">
        <f>"9780545388481"</f>
        <v>9780545388481</v>
      </c>
      <c r="H2156" s="1" t="s">
        <v>179</v>
      </c>
      <c r="I2156" s="1" t="s">
        <v>238</v>
      </c>
      <c r="J2156" s="1">
        <v>115.0</v>
      </c>
      <c r="K2156" s="1">
        <v>2011.0</v>
      </c>
      <c r="L2156" s="1">
        <v>2011.0</v>
      </c>
      <c r="M2156" s="1"/>
      <c r="N2156" s="1"/>
      <c r="O2156" s="1"/>
      <c r="P2156" s="1"/>
      <c r="Q2156" s="1"/>
      <c r="R2156" s="1"/>
      <c r="S2156" s="1"/>
      <c r="T2156" s="1"/>
      <c r="U2156" s="1"/>
      <c r="V2156" s="1"/>
      <c r="W2156" s="1"/>
      <c r="X2156" s="1" t="s">
        <v>609</v>
      </c>
      <c r="Y2156" s="1" t="s">
        <v>8387</v>
      </c>
    </row>
    <row r="2157">
      <c r="A2157" s="1">
        <v>632532.0</v>
      </c>
      <c r="B2157" s="1" t="s">
        <v>8388</v>
      </c>
      <c r="C2157" s="1" t="s">
        <v>474</v>
      </c>
      <c r="D2157" s="1" t="s">
        <v>475</v>
      </c>
      <c r="E2157" s="1" t="s">
        <v>8389</v>
      </c>
      <c r="F2157" s="2" t="str">
        <f>"0739336819"</f>
        <v>0739336819</v>
      </c>
      <c r="G2157" s="2" t="str">
        <f>"9780739336816"</f>
        <v>9780739336816</v>
      </c>
      <c r="H2157" s="1" t="s">
        <v>8390</v>
      </c>
      <c r="I2157" s="1" t="s">
        <v>443</v>
      </c>
      <c r="J2157" s="1">
        <v>116.0</v>
      </c>
      <c r="K2157" s="1">
        <v>2006.0</v>
      </c>
      <c r="L2157" s="1">
        <v>2006.0</v>
      </c>
      <c r="M2157" s="1"/>
      <c r="N2157" s="1"/>
      <c r="O2157" s="1"/>
      <c r="P2157" s="1"/>
      <c r="Q2157" s="1"/>
      <c r="R2157" s="1"/>
      <c r="S2157" s="1"/>
      <c r="T2157" s="1"/>
      <c r="U2157" s="1"/>
      <c r="V2157" s="1"/>
      <c r="W2157" s="1"/>
      <c r="X2157" s="1" t="s">
        <v>291</v>
      </c>
      <c r="Y2157" s="1" t="s">
        <v>8391</v>
      </c>
    </row>
    <row r="2158">
      <c r="A2158" s="1">
        <v>2.2822074E7</v>
      </c>
      <c r="B2158" s="1" t="s">
        <v>8392</v>
      </c>
      <c r="C2158" s="1" t="s">
        <v>288</v>
      </c>
      <c r="D2158" s="1" t="s">
        <v>289</v>
      </c>
      <c r="E2158" s="1" t="s">
        <v>7742</v>
      </c>
      <c r="F2158" s="2" t="str">
        <f t="shared" ref="F2158:G2158" si="132">""</f>
        <v/>
      </c>
      <c r="G2158" s="2" t="str">
        <f t="shared" si="132"/>
        <v/>
      </c>
      <c r="H2158" s="1" t="s">
        <v>290</v>
      </c>
      <c r="I2158" s="1" t="s">
        <v>238</v>
      </c>
      <c r="J2158" s="1">
        <v>117.0</v>
      </c>
      <c r="K2158" s="1">
        <v>2015.0</v>
      </c>
      <c r="L2158" s="1">
        <v>2015.0</v>
      </c>
      <c r="M2158" s="1"/>
      <c r="N2158" s="1"/>
      <c r="O2158" s="1"/>
      <c r="P2158" s="1"/>
      <c r="Q2158" s="1"/>
      <c r="R2158" s="1"/>
      <c r="S2158" s="1"/>
      <c r="T2158" s="1"/>
      <c r="U2158" s="1"/>
      <c r="V2158" s="1"/>
      <c r="W2158" s="1"/>
      <c r="X2158" s="1" t="s">
        <v>436</v>
      </c>
      <c r="Y2158" s="1" t="s">
        <v>8393</v>
      </c>
    </row>
    <row r="2159">
      <c r="A2159" s="1">
        <v>1.8051168E7</v>
      </c>
      <c r="B2159" s="1" t="s">
        <v>8394</v>
      </c>
      <c r="C2159" s="1" t="s">
        <v>8395</v>
      </c>
      <c r="D2159" s="1" t="s">
        <v>8396</v>
      </c>
      <c r="E2159" s="1" t="s">
        <v>8397</v>
      </c>
      <c r="F2159" s="2" t="str">
        <f>"1442496940"</f>
        <v>1442496940</v>
      </c>
      <c r="G2159" s="2" t="str">
        <f>"9781442496941"</f>
        <v>9781442496941</v>
      </c>
      <c r="H2159" s="1" t="s">
        <v>1234</v>
      </c>
      <c r="I2159" s="1" t="s">
        <v>31</v>
      </c>
      <c r="J2159" s="1">
        <v>117.0</v>
      </c>
      <c r="K2159" s="1">
        <v>2014.0</v>
      </c>
      <c r="L2159" s="1">
        <v>2014.0</v>
      </c>
      <c r="M2159" s="1"/>
      <c r="N2159" s="1"/>
      <c r="O2159" s="1"/>
      <c r="P2159" s="1"/>
      <c r="Q2159" s="1"/>
      <c r="R2159" s="1"/>
      <c r="S2159" s="1"/>
      <c r="T2159" s="1"/>
      <c r="U2159" s="1"/>
      <c r="V2159" s="1"/>
      <c r="W2159" s="1"/>
      <c r="X2159" s="1" t="s">
        <v>45</v>
      </c>
      <c r="Y2159" s="1" t="s">
        <v>8398</v>
      </c>
    </row>
    <row r="2160">
      <c r="A2160" s="1">
        <v>586322.0</v>
      </c>
      <c r="B2160" s="1" t="s">
        <v>8399</v>
      </c>
      <c r="C2160" s="1" t="s">
        <v>502</v>
      </c>
      <c r="D2160" s="1" t="s">
        <v>503</v>
      </c>
      <c r="E2160" s="1" t="s">
        <v>8400</v>
      </c>
      <c r="F2160" s="2" t="str">
        <f>"0307282562"</f>
        <v>0307282562</v>
      </c>
      <c r="G2160" s="2" t="str">
        <f>"9780307282569"</f>
        <v>9780307282569</v>
      </c>
      <c r="H2160" s="1" t="s">
        <v>7735</v>
      </c>
      <c r="I2160" s="1" t="s">
        <v>443</v>
      </c>
      <c r="J2160" s="1">
        <v>118.0</v>
      </c>
      <c r="K2160" s="1">
        <v>2005.0</v>
      </c>
      <c r="L2160" s="1">
        <v>2005.0</v>
      </c>
      <c r="M2160" s="1"/>
      <c r="N2160" s="1"/>
      <c r="O2160" s="1"/>
      <c r="P2160" s="1"/>
      <c r="Q2160" s="1"/>
      <c r="R2160" s="1"/>
      <c r="S2160" s="1"/>
      <c r="T2160" s="1"/>
      <c r="U2160" s="1"/>
      <c r="V2160" s="1"/>
      <c r="W2160" s="1"/>
      <c r="X2160" s="1" t="s">
        <v>180</v>
      </c>
      <c r="Y2160" s="1" t="s">
        <v>8401</v>
      </c>
    </row>
    <row r="2161">
      <c r="A2161" s="1">
        <v>125589.0</v>
      </c>
      <c r="B2161" s="1" t="s">
        <v>8402</v>
      </c>
      <c r="C2161" s="1" t="s">
        <v>8370</v>
      </c>
      <c r="D2161" s="1" t="s">
        <v>8371</v>
      </c>
      <c r="F2161" s="2" t="str">
        <f>"0439568269"</f>
        <v>0439568269</v>
      </c>
      <c r="G2161" s="2" t="str">
        <f>"9780439568265"</f>
        <v>9780439568265</v>
      </c>
      <c r="H2161" s="1" t="s">
        <v>50</v>
      </c>
      <c r="I2161" s="1" t="s">
        <v>36</v>
      </c>
      <c r="J2161" s="1">
        <v>118.0</v>
      </c>
      <c r="K2161" s="1">
        <v>2003.0</v>
      </c>
      <c r="L2161" s="1">
        <v>1995.0</v>
      </c>
      <c r="M2161" s="1"/>
      <c r="N2161" s="1"/>
      <c r="O2161" s="1"/>
      <c r="P2161" s="1"/>
      <c r="Q2161" s="1"/>
      <c r="R2161" s="1"/>
      <c r="S2161" s="1"/>
      <c r="T2161" s="1"/>
      <c r="U2161" s="1"/>
      <c r="V2161" s="1"/>
      <c r="W2161" s="1"/>
      <c r="X2161" s="1" t="s">
        <v>8068</v>
      </c>
      <c r="Y2161" s="1" t="s">
        <v>8403</v>
      </c>
    </row>
    <row r="2162">
      <c r="A2162" s="1">
        <v>5.9573747E7</v>
      </c>
      <c r="B2162" s="1" t="s">
        <v>8404</v>
      </c>
      <c r="C2162" s="1" t="s">
        <v>8405</v>
      </c>
      <c r="D2162" s="1" t="s">
        <v>8406</v>
      </c>
      <c r="E2162" s="1" t="s">
        <v>8407</v>
      </c>
      <c r="F2162" s="2" t="str">
        <f>"0063116014"</f>
        <v>0063116014</v>
      </c>
      <c r="G2162" s="2" t="str">
        <f>"9780063116016"</f>
        <v>9780063116016</v>
      </c>
      <c r="H2162" s="1" t="s">
        <v>290</v>
      </c>
      <c r="I2162" s="1" t="s">
        <v>31</v>
      </c>
      <c r="J2162" s="1">
        <v>119.0</v>
      </c>
      <c r="K2162" s="1">
        <v>2022.0</v>
      </c>
      <c r="L2162" s="1">
        <v>2022.0</v>
      </c>
    </row>
    <row r="2163">
      <c r="A2163" s="1">
        <v>586321.0</v>
      </c>
      <c r="B2163" s="1" t="s">
        <v>8408</v>
      </c>
      <c r="C2163" s="1" t="s">
        <v>502</v>
      </c>
      <c r="D2163" s="1" t="s">
        <v>503</v>
      </c>
      <c r="E2163" s="1" t="s">
        <v>8400</v>
      </c>
      <c r="F2163" s="2" t="str">
        <f>"0739335537"</f>
        <v>0739335537</v>
      </c>
      <c r="G2163" s="2" t="str">
        <f>"9780739335536"</f>
        <v>9780739335536</v>
      </c>
      <c r="H2163" s="1" t="s">
        <v>7735</v>
      </c>
      <c r="I2163" s="1" t="s">
        <v>443</v>
      </c>
      <c r="J2163" s="1">
        <v>119.0</v>
      </c>
      <c r="K2163" s="1">
        <v>2006.0</v>
      </c>
      <c r="L2163" s="1">
        <v>2006.0</v>
      </c>
      <c r="M2163" s="1"/>
      <c r="N2163" s="1"/>
      <c r="O2163" s="1"/>
      <c r="P2163" s="1"/>
      <c r="Q2163" s="1"/>
      <c r="R2163" s="1"/>
      <c r="S2163" s="1"/>
      <c r="T2163" s="1"/>
      <c r="U2163" s="1"/>
      <c r="V2163" s="1"/>
      <c r="W2163" s="1"/>
      <c r="X2163" s="1" t="s">
        <v>180</v>
      </c>
      <c r="Y2163" s="1" t="s">
        <v>8409</v>
      </c>
    </row>
    <row r="2164">
      <c r="A2164" s="1">
        <v>108980.0</v>
      </c>
      <c r="B2164" s="1" t="s">
        <v>8410</v>
      </c>
      <c r="C2164" s="1" t="s">
        <v>8411</v>
      </c>
      <c r="D2164" s="1" t="s">
        <v>8412</v>
      </c>
      <c r="E2164" s="1" t="s">
        <v>8413</v>
      </c>
      <c r="F2164" s="2" t="str">
        <f>"0811849090"</f>
        <v>0811849090</v>
      </c>
      <c r="G2164" s="2" t="str">
        <f>"9780811849098"</f>
        <v>9780811849098</v>
      </c>
      <c r="H2164" s="1" t="s">
        <v>1593</v>
      </c>
      <c r="I2164" s="1" t="s">
        <v>36</v>
      </c>
      <c r="J2164" s="1">
        <v>120.0</v>
      </c>
      <c r="K2164" s="1">
        <v>2007.0</v>
      </c>
      <c r="L2164" s="1">
        <v>2006.0</v>
      </c>
      <c r="M2164" s="1"/>
      <c r="N2164" s="1"/>
      <c r="O2164" s="1"/>
      <c r="P2164" s="1"/>
      <c r="Q2164" s="1"/>
      <c r="R2164" s="1"/>
      <c r="S2164" s="1"/>
      <c r="T2164" s="1"/>
      <c r="U2164" s="1"/>
      <c r="V2164" s="1"/>
      <c r="W2164" s="1"/>
      <c r="X2164" s="1" t="s">
        <v>250</v>
      </c>
      <c r="Y2164" s="1" t="s">
        <v>8414</v>
      </c>
    </row>
    <row r="2165">
      <c r="A2165" s="1">
        <v>2.4789011E7</v>
      </c>
      <c r="B2165" s="1" t="s">
        <v>8415</v>
      </c>
      <c r="C2165" s="1" t="s">
        <v>817</v>
      </c>
      <c r="D2165" s="1" t="s">
        <v>896</v>
      </c>
      <c r="F2165" s="2" t="str">
        <f>"054549253X"</f>
        <v>054549253X</v>
      </c>
      <c r="G2165" s="2" t="str">
        <f>"9780545492539"</f>
        <v>9780545492539</v>
      </c>
      <c r="H2165" s="1" t="s">
        <v>50</v>
      </c>
      <c r="I2165" s="1" t="s">
        <v>36</v>
      </c>
      <c r="J2165" s="1">
        <v>120.0</v>
      </c>
      <c r="K2165" s="1">
        <v>2012.0</v>
      </c>
      <c r="M2165" s="1"/>
      <c r="N2165" s="1"/>
      <c r="O2165" s="1"/>
      <c r="P2165" s="1"/>
      <c r="Q2165" s="1"/>
      <c r="R2165" s="1"/>
      <c r="S2165" s="1"/>
      <c r="T2165" s="1"/>
      <c r="U2165" s="1"/>
      <c r="V2165" s="1"/>
      <c r="W2165" s="1"/>
      <c r="X2165" s="1" t="s">
        <v>8416</v>
      </c>
      <c r="Y2165" s="1" t="s">
        <v>8417</v>
      </c>
    </row>
    <row r="2166">
      <c r="A2166" s="1">
        <v>5.3205976E7</v>
      </c>
      <c r="B2166" s="1" t="s">
        <v>8418</v>
      </c>
      <c r="C2166" s="1" t="s">
        <v>8419</v>
      </c>
      <c r="D2166" s="1" t="s">
        <v>8420</v>
      </c>
      <c r="E2166" s="1" t="s">
        <v>8421</v>
      </c>
      <c r="F2166" s="2" t="str">
        <f>"125076260X"</f>
        <v>125076260X</v>
      </c>
      <c r="G2166" s="2" t="str">
        <f>"9781250762603"</f>
        <v>9781250762603</v>
      </c>
      <c r="H2166" s="1" t="s">
        <v>8422</v>
      </c>
      <c r="I2166" s="1" t="s">
        <v>238</v>
      </c>
      <c r="J2166" s="1">
        <v>121.0</v>
      </c>
      <c r="K2166" s="1">
        <v>2021.0</v>
      </c>
      <c r="M2166" s="1"/>
      <c r="N2166" s="1"/>
      <c r="O2166" s="1"/>
      <c r="P2166" s="1"/>
      <c r="Q2166" s="1"/>
      <c r="R2166" s="1"/>
      <c r="S2166" s="1"/>
      <c r="T2166" s="1"/>
      <c r="U2166" s="1"/>
      <c r="V2166" s="1"/>
      <c r="W2166" s="1"/>
      <c r="X2166" s="1" t="s">
        <v>8423</v>
      </c>
      <c r="Y2166" s="1" t="s">
        <v>8424</v>
      </c>
    </row>
    <row r="2167">
      <c r="A2167" s="1">
        <v>125568.0</v>
      </c>
      <c r="B2167" s="1" t="s">
        <v>8425</v>
      </c>
      <c r="C2167" s="1" t="s">
        <v>8370</v>
      </c>
      <c r="D2167" s="1" t="s">
        <v>8371</v>
      </c>
      <c r="F2167" s="2" t="str">
        <f>"0590767836"</f>
        <v>0590767836</v>
      </c>
      <c r="G2167" s="2" t="str">
        <f>"9780590767835"</f>
        <v>9780590767835</v>
      </c>
      <c r="H2167" s="1" t="s">
        <v>50</v>
      </c>
      <c r="I2167" s="1" t="s">
        <v>36</v>
      </c>
      <c r="J2167" s="1">
        <v>121.0</v>
      </c>
      <c r="K2167" s="1">
        <v>1998.0</v>
      </c>
      <c r="L2167" s="1">
        <v>1998.0</v>
      </c>
      <c r="M2167" s="1"/>
      <c r="N2167" s="1"/>
      <c r="O2167" s="1"/>
      <c r="P2167" s="1"/>
      <c r="Q2167" s="1"/>
      <c r="R2167" s="1"/>
      <c r="S2167" s="1"/>
      <c r="T2167" s="1"/>
      <c r="U2167" s="1"/>
      <c r="V2167" s="1"/>
      <c r="W2167" s="1"/>
      <c r="X2167" s="1" t="s">
        <v>8068</v>
      </c>
      <c r="Y2167" s="1" t="s">
        <v>8426</v>
      </c>
    </row>
    <row r="2168">
      <c r="A2168" s="1">
        <v>49552.0</v>
      </c>
      <c r="B2168" s="1" t="s">
        <v>8427</v>
      </c>
      <c r="C2168" s="1" t="s">
        <v>8428</v>
      </c>
      <c r="D2168" s="1" t="s">
        <v>8429</v>
      </c>
      <c r="E2168" s="1" t="s">
        <v>8430</v>
      </c>
      <c r="F2168" s="2" t="str">
        <f t="shared" ref="F2168:G2168" si="133">""</f>
        <v/>
      </c>
      <c r="G2168" s="2" t="str">
        <f t="shared" si="133"/>
        <v/>
      </c>
      <c r="H2168" s="1" t="s">
        <v>8431</v>
      </c>
      <c r="I2168" s="1" t="s">
        <v>36</v>
      </c>
      <c r="J2168" s="1">
        <v>123.0</v>
      </c>
      <c r="K2168" s="1">
        <v>1989.0</v>
      </c>
      <c r="L2168" s="1">
        <v>1942.0</v>
      </c>
      <c r="M2168" s="1"/>
      <c r="N2168" s="1"/>
      <c r="O2168" s="1"/>
      <c r="P2168" s="1"/>
      <c r="Q2168" s="1"/>
      <c r="R2168" s="1"/>
      <c r="S2168" s="1"/>
      <c r="T2168" s="1"/>
      <c r="U2168" s="1"/>
      <c r="V2168" s="1"/>
      <c r="W2168" s="1"/>
      <c r="X2168" s="1" t="s">
        <v>609</v>
      </c>
      <c r="Y2168" s="1" t="s">
        <v>8432</v>
      </c>
    </row>
    <row r="2169">
      <c r="A2169" s="1">
        <v>5.871918E7</v>
      </c>
      <c r="B2169" s="1" t="s">
        <v>8433</v>
      </c>
      <c r="C2169" s="1" t="s">
        <v>8370</v>
      </c>
      <c r="D2169" s="1" t="s">
        <v>8371</v>
      </c>
      <c r="F2169" s="2" t="str">
        <f>"1338752189"</f>
        <v>1338752189</v>
      </c>
      <c r="G2169" s="2" t="str">
        <f>"9781338752182"</f>
        <v>9781338752182</v>
      </c>
      <c r="H2169" s="1" t="s">
        <v>2944</v>
      </c>
      <c r="I2169" s="1" t="s">
        <v>36</v>
      </c>
      <c r="J2169" s="1">
        <v>123.0</v>
      </c>
      <c r="K2169" s="1">
        <v>2022.0</v>
      </c>
      <c r="L2169" s="1">
        <v>2022.0</v>
      </c>
      <c r="M2169" s="1"/>
      <c r="N2169" s="1"/>
      <c r="O2169" s="1"/>
      <c r="P2169" s="1"/>
      <c r="Q2169" s="1"/>
      <c r="R2169" s="1"/>
      <c r="S2169" s="1"/>
      <c r="T2169" s="1"/>
      <c r="U2169" s="1"/>
      <c r="V2169" s="1"/>
      <c r="W2169" s="1"/>
      <c r="X2169" s="1" t="s">
        <v>8068</v>
      </c>
      <c r="Y2169" s="1" t="s">
        <v>8434</v>
      </c>
    </row>
    <row r="2170">
      <c r="A2170" s="1">
        <v>207266.0</v>
      </c>
      <c r="B2170" s="1" t="s">
        <v>8435</v>
      </c>
      <c r="C2170" s="1" t="s">
        <v>546</v>
      </c>
      <c r="D2170" s="1" t="s">
        <v>547</v>
      </c>
      <c r="F2170" s="2" t="str">
        <f>"0439014573"</f>
        <v>0439014573</v>
      </c>
      <c r="G2170" s="2" t="str">
        <f>"9780439014571"</f>
        <v>9780439014571</v>
      </c>
      <c r="H2170" s="1" t="s">
        <v>8436</v>
      </c>
      <c r="I2170" s="1" t="s">
        <v>36</v>
      </c>
      <c r="J2170" s="1">
        <v>125.0</v>
      </c>
      <c r="K2170" s="1">
        <v>2000.0</v>
      </c>
      <c r="L2170" s="1">
        <v>1997.0</v>
      </c>
      <c r="M2170" s="1"/>
      <c r="N2170" s="1"/>
      <c r="O2170" s="1"/>
      <c r="P2170" s="1"/>
      <c r="Q2170" s="1"/>
      <c r="R2170" s="1"/>
      <c r="S2170" s="1"/>
      <c r="T2170" s="1"/>
      <c r="U2170" s="1"/>
      <c r="V2170" s="1"/>
      <c r="W2170" s="1"/>
      <c r="X2170" s="1" t="s">
        <v>92</v>
      </c>
      <c r="Y2170" s="1" t="s">
        <v>8437</v>
      </c>
    </row>
    <row r="2171">
      <c r="A2171" s="1">
        <v>2.3568189E7</v>
      </c>
      <c r="B2171" s="1" t="s">
        <v>8438</v>
      </c>
      <c r="C2171" s="1" t="s">
        <v>8124</v>
      </c>
      <c r="D2171" s="1" t="s">
        <v>8125</v>
      </c>
      <c r="E2171" s="1" t="s">
        <v>849</v>
      </c>
      <c r="F2171" s="2" t="str">
        <f>"0736433074"</f>
        <v>0736433074</v>
      </c>
      <c r="G2171" s="2" t="str">
        <f>"9780736433075"</f>
        <v>9780736433075</v>
      </c>
      <c r="H2171" s="1" t="s">
        <v>1561</v>
      </c>
      <c r="I2171" s="1" t="s">
        <v>238</v>
      </c>
      <c r="J2171" s="1">
        <v>125.0</v>
      </c>
      <c r="K2171" s="1">
        <v>2015.0</v>
      </c>
      <c r="L2171" s="1">
        <v>2015.0</v>
      </c>
      <c r="M2171" s="1"/>
      <c r="N2171" s="1"/>
      <c r="O2171" s="1"/>
      <c r="P2171" s="1"/>
      <c r="Q2171" s="1"/>
      <c r="R2171" s="1"/>
      <c r="S2171" s="1"/>
      <c r="T2171" s="1"/>
      <c r="U2171" s="1"/>
      <c r="V2171" s="1"/>
      <c r="W2171" s="1"/>
      <c r="X2171" s="1" t="s">
        <v>7111</v>
      </c>
      <c r="Y2171" s="1" t="s">
        <v>8439</v>
      </c>
    </row>
    <row r="2172">
      <c r="A2172" s="1">
        <v>7.4822062E7</v>
      </c>
      <c r="B2172" s="1" t="s">
        <v>8440</v>
      </c>
      <c r="C2172" s="1" t="s">
        <v>8441</v>
      </c>
      <c r="D2172" s="1" t="s">
        <v>8442</v>
      </c>
      <c r="E2172" s="1" t="s">
        <v>8443</v>
      </c>
      <c r="F2172" s="2" t="str">
        <f t="shared" ref="F2172:G2172" si="134">""</f>
        <v/>
      </c>
      <c r="G2172" s="2" t="str">
        <f t="shared" si="134"/>
        <v/>
      </c>
      <c r="H2172" s="1" t="s">
        <v>1234</v>
      </c>
      <c r="I2172" s="1" t="s">
        <v>238</v>
      </c>
      <c r="J2172" s="1">
        <v>126.0</v>
      </c>
      <c r="K2172" s="1">
        <v>2022.0</v>
      </c>
      <c r="L2172" s="1">
        <v>2022.0</v>
      </c>
      <c r="M2172" s="1"/>
      <c r="N2172" s="1"/>
      <c r="O2172" s="1"/>
      <c r="P2172" s="1"/>
      <c r="Q2172" s="1"/>
      <c r="R2172" s="1"/>
      <c r="S2172" s="1"/>
      <c r="T2172" s="1"/>
      <c r="U2172" s="1"/>
      <c r="V2172" s="1"/>
      <c r="W2172" s="1"/>
      <c r="X2172" s="1" t="s">
        <v>45</v>
      </c>
      <c r="Y2172" s="1" t="s">
        <v>8444</v>
      </c>
    </row>
    <row r="2173">
      <c r="A2173" s="1">
        <v>4.0864971E7</v>
      </c>
      <c r="B2173" s="1" t="s">
        <v>8445</v>
      </c>
      <c r="C2173" s="1" t="s">
        <v>8446</v>
      </c>
      <c r="D2173" s="1" t="s">
        <v>8447</v>
      </c>
      <c r="E2173" s="1" t="s">
        <v>8448</v>
      </c>
      <c r="F2173" s="2" t="str">
        <f>"1250162130"</f>
        <v>1250162130</v>
      </c>
      <c r="G2173" s="2" t="str">
        <f>"9781250162137"</f>
        <v>9781250162137</v>
      </c>
      <c r="H2173" s="1" t="s">
        <v>2940</v>
      </c>
      <c r="I2173" s="1" t="s">
        <v>238</v>
      </c>
      <c r="J2173" s="1">
        <v>126.0</v>
      </c>
      <c r="K2173" s="1">
        <v>2019.0</v>
      </c>
      <c r="M2173" s="1"/>
      <c r="N2173" s="1"/>
      <c r="O2173" s="1"/>
      <c r="P2173" s="1"/>
      <c r="Q2173" s="1"/>
      <c r="R2173" s="1"/>
      <c r="S2173" s="1"/>
      <c r="T2173" s="1"/>
      <c r="U2173" s="1"/>
      <c r="V2173" s="1"/>
      <c r="W2173" s="1"/>
      <c r="X2173" s="1" t="s">
        <v>45</v>
      </c>
      <c r="Y2173" s="1" t="s">
        <v>8449</v>
      </c>
    </row>
    <row r="2174">
      <c r="A2174" s="1">
        <v>37739.0</v>
      </c>
      <c r="B2174" s="1" t="s">
        <v>8450</v>
      </c>
      <c r="C2174" s="1" t="s">
        <v>2639</v>
      </c>
      <c r="D2174" s="1" t="s">
        <v>2640</v>
      </c>
      <c r="F2174" s="2" t="str">
        <f t="shared" ref="F2174:G2174" si="135">""</f>
        <v/>
      </c>
      <c r="G2174" s="2" t="str">
        <f t="shared" si="135"/>
        <v/>
      </c>
      <c r="H2174" s="1" t="s">
        <v>3193</v>
      </c>
      <c r="I2174" s="1" t="s">
        <v>36</v>
      </c>
      <c r="J2174" s="1">
        <v>127.0</v>
      </c>
      <c r="K2174" s="1">
        <v>2006.0</v>
      </c>
      <c r="L2174" s="1">
        <v>1974.0</v>
      </c>
      <c r="M2174" s="1"/>
      <c r="N2174" s="1"/>
      <c r="O2174" s="1"/>
      <c r="P2174" s="1"/>
      <c r="Q2174" s="1"/>
      <c r="R2174" s="1"/>
      <c r="S2174" s="1"/>
      <c r="T2174" s="1"/>
      <c r="U2174" s="1"/>
      <c r="V2174" s="1"/>
      <c r="W2174" s="1"/>
      <c r="X2174" s="1" t="s">
        <v>8451</v>
      </c>
      <c r="Y2174" s="1" t="s">
        <v>8452</v>
      </c>
    </row>
    <row r="2175">
      <c r="A2175" s="1">
        <v>4.251932E7</v>
      </c>
      <c r="B2175" s="1" t="s">
        <v>8453</v>
      </c>
      <c r="C2175" s="1" t="s">
        <v>8454</v>
      </c>
      <c r="D2175" s="1" t="s">
        <v>8455</v>
      </c>
      <c r="E2175" s="1" t="s">
        <v>8456</v>
      </c>
      <c r="F2175" s="2" t="str">
        <f>"0062934775"</f>
        <v>0062934775</v>
      </c>
      <c r="G2175" s="2" t="str">
        <f>"9780062934772"</f>
        <v>9780062934772</v>
      </c>
      <c r="H2175" s="1" t="s">
        <v>1570</v>
      </c>
      <c r="I2175" s="1" t="s">
        <v>238</v>
      </c>
      <c r="J2175" s="1">
        <v>127.0</v>
      </c>
      <c r="K2175" s="1">
        <v>2019.0</v>
      </c>
      <c r="L2175" s="1">
        <v>2020.0</v>
      </c>
      <c r="M2175" s="1"/>
      <c r="N2175" s="1"/>
      <c r="O2175" s="1"/>
      <c r="P2175" s="1"/>
      <c r="Q2175" s="1"/>
      <c r="R2175" s="1"/>
      <c r="S2175" s="1"/>
      <c r="T2175" s="1"/>
      <c r="U2175" s="1"/>
      <c r="V2175" s="1"/>
      <c r="W2175" s="1"/>
      <c r="X2175" s="1" t="s">
        <v>1397</v>
      </c>
      <c r="Y2175" s="1" t="s">
        <v>8457</v>
      </c>
    </row>
    <row r="2176">
      <c r="A2176" s="1">
        <v>2230166.0</v>
      </c>
      <c r="B2176" s="1" t="s">
        <v>8458</v>
      </c>
      <c r="C2176" s="1" t="s">
        <v>8459</v>
      </c>
      <c r="D2176" s="1" t="s">
        <v>8460</v>
      </c>
      <c r="F2176" s="2" t="str">
        <f>"0816772460"</f>
        <v>0816772460</v>
      </c>
      <c r="G2176" s="2" t="str">
        <f>"9780816772469"</f>
        <v>9780816772469</v>
      </c>
      <c r="H2176" s="1" t="s">
        <v>4374</v>
      </c>
      <c r="I2176" s="1" t="s">
        <v>36</v>
      </c>
      <c r="J2176" s="1">
        <v>127.0</v>
      </c>
      <c r="K2176" s="1">
        <v>2002.0</v>
      </c>
      <c r="L2176" s="1">
        <v>1998.0</v>
      </c>
      <c r="M2176" s="1"/>
      <c r="N2176" s="1"/>
      <c r="O2176" s="1"/>
      <c r="P2176" s="1"/>
      <c r="Q2176" s="1"/>
      <c r="R2176" s="1"/>
      <c r="S2176" s="1"/>
      <c r="T2176" s="1"/>
      <c r="U2176" s="1"/>
      <c r="V2176" s="1"/>
      <c r="W2176" s="1"/>
      <c r="X2176" s="1" t="s">
        <v>45</v>
      </c>
      <c r="Y2176" s="1" t="s">
        <v>8461</v>
      </c>
    </row>
    <row r="2177">
      <c r="A2177" s="1">
        <v>7.8897356E7</v>
      </c>
      <c r="B2177" s="1" t="s">
        <v>8462</v>
      </c>
      <c r="C2177" s="1" t="s">
        <v>71</v>
      </c>
      <c r="D2177" s="1" t="s">
        <v>72</v>
      </c>
      <c r="F2177" s="2" t="str">
        <f>"1338598953"</f>
        <v>1338598953</v>
      </c>
      <c r="G2177" s="2" t="str">
        <f>"9781338598957"</f>
        <v>9781338598957</v>
      </c>
      <c r="H2177" s="1" t="s">
        <v>817</v>
      </c>
      <c r="I2177" s="1" t="s">
        <v>36</v>
      </c>
      <c r="J2177" s="1">
        <v>128.0</v>
      </c>
      <c r="K2177" s="1">
        <v>2021.0</v>
      </c>
      <c r="M2177" s="1"/>
      <c r="N2177" s="1"/>
      <c r="O2177" s="1"/>
      <c r="P2177" s="1"/>
      <c r="Q2177" s="1"/>
      <c r="R2177" s="1"/>
      <c r="S2177" s="1"/>
      <c r="T2177" s="1"/>
      <c r="U2177" s="1"/>
      <c r="V2177" s="1"/>
      <c r="W2177" s="1"/>
      <c r="X2177" s="1" t="s">
        <v>32</v>
      </c>
      <c r="Y2177" s="1" t="s">
        <v>8463</v>
      </c>
    </row>
    <row r="2178">
      <c r="A2178" s="1">
        <v>3246957.0</v>
      </c>
      <c r="B2178" s="1" t="s">
        <v>8464</v>
      </c>
      <c r="C2178" s="1" t="s">
        <v>8411</v>
      </c>
      <c r="D2178" s="1" t="s">
        <v>8412</v>
      </c>
      <c r="E2178" s="1" t="s">
        <v>8413</v>
      </c>
      <c r="F2178" s="2" t="str">
        <f>"0811862658"</f>
        <v>0811862658</v>
      </c>
      <c r="G2178" s="2" t="str">
        <f>"9780811862653"</f>
        <v>9780811862653</v>
      </c>
      <c r="H2178" s="1" t="s">
        <v>1593</v>
      </c>
      <c r="I2178" s="1" t="s">
        <v>31</v>
      </c>
      <c r="J2178" s="1">
        <v>128.0</v>
      </c>
      <c r="K2178" s="1">
        <v>2008.0</v>
      </c>
      <c r="L2178" s="1">
        <v>2008.0</v>
      </c>
      <c r="M2178" s="1"/>
      <c r="N2178" s="1"/>
      <c r="O2178" s="1"/>
      <c r="P2178" s="1"/>
      <c r="Q2178" s="1"/>
      <c r="R2178" s="1"/>
      <c r="S2178" s="1"/>
      <c r="T2178" s="1"/>
      <c r="U2178" s="1"/>
      <c r="V2178" s="1"/>
      <c r="W2178" s="1"/>
      <c r="X2178" s="1" t="s">
        <v>250</v>
      </c>
      <c r="Y2178" s="1" t="s">
        <v>8465</v>
      </c>
    </row>
    <row r="2179">
      <c r="A2179" s="1">
        <v>1.5812818E7</v>
      </c>
      <c r="B2179" s="1" t="s">
        <v>8466</v>
      </c>
      <c r="C2179" s="1" t="s">
        <v>8467</v>
      </c>
      <c r="D2179" s="1" t="s">
        <v>8468</v>
      </c>
      <c r="E2179" s="1" t="s">
        <v>8469</v>
      </c>
      <c r="F2179" s="2" t="str">
        <f>"0448462052"</f>
        <v>0448462052</v>
      </c>
      <c r="G2179" s="2" t="str">
        <f>"9780448462059"</f>
        <v>9780448462059</v>
      </c>
      <c r="H2179" s="1" t="s">
        <v>2014</v>
      </c>
      <c r="I2179" s="1" t="s">
        <v>36</v>
      </c>
      <c r="J2179" s="1">
        <v>128.0</v>
      </c>
      <c r="K2179" s="1">
        <v>2013.0</v>
      </c>
      <c r="L2179" s="1">
        <v>2009.0</v>
      </c>
      <c r="M2179" s="1"/>
      <c r="N2179" s="1"/>
      <c r="O2179" s="1"/>
      <c r="P2179" s="1"/>
      <c r="Q2179" s="1"/>
      <c r="R2179" s="1"/>
      <c r="S2179" s="1"/>
      <c r="T2179" s="1"/>
      <c r="U2179" s="1"/>
      <c r="V2179" s="1"/>
      <c r="W2179" s="1"/>
      <c r="X2179" s="1" t="s">
        <v>302</v>
      </c>
      <c r="Y2179" s="1" t="s">
        <v>8470</v>
      </c>
    </row>
    <row r="2180">
      <c r="A2180" s="1">
        <v>6587494.0</v>
      </c>
      <c r="B2180" s="1" t="s">
        <v>8471</v>
      </c>
      <c r="C2180" s="1" t="s">
        <v>8467</v>
      </c>
      <c r="D2180" s="1" t="s">
        <v>8468</v>
      </c>
      <c r="F2180" s="2" t="str">
        <f>"0141324759"</f>
        <v>0141324759</v>
      </c>
      <c r="G2180" s="2" t="str">
        <f>"9780141324753"</f>
        <v>9780141324753</v>
      </c>
      <c r="H2180" s="1" t="s">
        <v>44</v>
      </c>
      <c r="I2180" s="1" t="s">
        <v>36</v>
      </c>
      <c r="J2180" s="1">
        <v>128.0</v>
      </c>
      <c r="K2180" s="1">
        <v>2009.0</v>
      </c>
      <c r="L2180" s="1">
        <v>2009.0</v>
      </c>
      <c r="M2180" s="1"/>
      <c r="N2180" s="1"/>
      <c r="O2180" s="1"/>
      <c r="P2180" s="1"/>
      <c r="Q2180" s="1"/>
      <c r="R2180" s="1"/>
      <c r="S2180" s="1"/>
      <c r="T2180" s="1"/>
      <c r="U2180" s="1"/>
      <c r="V2180" s="1"/>
      <c r="W2180" s="1"/>
      <c r="X2180" s="1" t="s">
        <v>7111</v>
      </c>
      <c r="Y2180" s="1" t="s">
        <v>8472</v>
      </c>
    </row>
    <row r="2181">
      <c r="A2181" s="1">
        <v>3.1450594E7</v>
      </c>
      <c r="B2181" s="1" t="s">
        <v>8473</v>
      </c>
      <c r="C2181" s="1" t="s">
        <v>8474</v>
      </c>
      <c r="D2181" s="1" t="s">
        <v>8475</v>
      </c>
      <c r="E2181" s="1" t="s">
        <v>8476</v>
      </c>
      <c r="F2181" s="2" t="str">
        <f>"1681193264"</f>
        <v>1681193264</v>
      </c>
      <c r="G2181" s="2" t="str">
        <f>"9781681193267"</f>
        <v>9781681193267</v>
      </c>
      <c r="H2181" s="1" t="s">
        <v>2588</v>
      </c>
      <c r="I2181" s="1" t="s">
        <v>36</v>
      </c>
      <c r="J2181" s="1">
        <v>128.0</v>
      </c>
      <c r="K2181" s="1">
        <v>2017.0</v>
      </c>
      <c r="M2181" s="1"/>
      <c r="N2181" s="1"/>
      <c r="O2181" s="1"/>
      <c r="P2181" s="1"/>
      <c r="Q2181" s="1"/>
      <c r="R2181" s="1"/>
      <c r="S2181" s="1"/>
      <c r="T2181" s="1"/>
      <c r="U2181" s="1"/>
      <c r="V2181" s="1"/>
      <c r="W2181" s="1"/>
      <c r="X2181" s="1" t="s">
        <v>7111</v>
      </c>
      <c r="Y2181" s="1" t="s">
        <v>8477</v>
      </c>
    </row>
    <row r="2182">
      <c r="A2182" s="1">
        <v>5.8971749E7</v>
      </c>
      <c r="B2182" s="1" t="s">
        <v>8478</v>
      </c>
      <c r="C2182" s="1" t="s">
        <v>8479</v>
      </c>
      <c r="D2182" s="1" t="s">
        <v>8480</v>
      </c>
      <c r="E2182" s="1" t="s">
        <v>8481</v>
      </c>
      <c r="F2182" s="2" t="str">
        <f>"1454942223"</f>
        <v>1454942223</v>
      </c>
      <c r="G2182" s="2" t="str">
        <f>"9781454942221"</f>
        <v>9781454942221</v>
      </c>
      <c r="H2182" s="1" t="s">
        <v>1271</v>
      </c>
      <c r="I2182" s="1" t="s">
        <v>31</v>
      </c>
      <c r="J2182" s="1">
        <v>128.0</v>
      </c>
      <c r="K2182" s="1">
        <v>2022.0</v>
      </c>
      <c r="M2182" s="1"/>
      <c r="N2182" s="1"/>
      <c r="O2182" s="1"/>
      <c r="P2182" s="1"/>
      <c r="Q2182" s="1"/>
      <c r="R2182" s="1"/>
      <c r="S2182" s="1"/>
      <c r="T2182" s="1"/>
      <c r="U2182" s="1"/>
      <c r="V2182" s="1"/>
      <c r="W2182" s="1"/>
      <c r="X2182" s="1" t="s">
        <v>3263</v>
      </c>
      <c r="Y2182" s="1" t="s">
        <v>8482</v>
      </c>
    </row>
    <row r="2183">
      <c r="A2183" s="1">
        <v>88455.0</v>
      </c>
      <c r="B2183" s="1" t="s">
        <v>8483</v>
      </c>
      <c r="C2183" s="1" t="s">
        <v>8484</v>
      </c>
      <c r="D2183" s="1" t="s">
        <v>8485</v>
      </c>
      <c r="E2183" s="1" t="s">
        <v>8486</v>
      </c>
      <c r="F2183" s="2" t="str">
        <f>"0688161332"</f>
        <v>0688161332</v>
      </c>
      <c r="G2183" s="2" t="str">
        <f>"9780688161330"</f>
        <v>9780688161330</v>
      </c>
      <c r="H2183" s="1" t="s">
        <v>290</v>
      </c>
      <c r="I2183" s="1" t="s">
        <v>36</v>
      </c>
      <c r="J2183" s="1">
        <v>128.0</v>
      </c>
      <c r="K2183" s="1">
        <v>2006.0</v>
      </c>
      <c r="L2183" s="1">
        <v>1952.0</v>
      </c>
      <c r="M2183" s="1"/>
      <c r="N2183" s="1"/>
      <c r="O2183" s="1"/>
      <c r="P2183" s="1"/>
      <c r="Q2183" s="1"/>
      <c r="R2183" s="1"/>
      <c r="S2183" s="1"/>
      <c r="T2183" s="1"/>
      <c r="U2183" s="1"/>
      <c r="V2183" s="1"/>
      <c r="W2183" s="1"/>
      <c r="X2183" s="1" t="s">
        <v>727</v>
      </c>
      <c r="Y2183" s="1" t="s">
        <v>8487</v>
      </c>
    </row>
    <row r="2184">
      <c r="A2184" s="1">
        <v>2.9965182E7</v>
      </c>
      <c r="B2184" s="1" t="s">
        <v>8488</v>
      </c>
      <c r="C2184" s="1" t="s">
        <v>8489</v>
      </c>
      <c r="D2184" s="1" t="s">
        <v>8490</v>
      </c>
      <c r="E2184" s="1" t="s">
        <v>8491</v>
      </c>
      <c r="F2184" s="2" t="str">
        <f>"0857637029"</f>
        <v>0857637029</v>
      </c>
      <c r="G2184" s="2" t="str">
        <f>"9780857637024"</f>
        <v>9780857637024</v>
      </c>
      <c r="H2184" s="1" t="s">
        <v>8492</v>
      </c>
      <c r="I2184" s="1" t="s">
        <v>36</v>
      </c>
      <c r="J2184" s="1">
        <v>128.0</v>
      </c>
      <c r="K2184" s="1">
        <v>2016.0</v>
      </c>
      <c r="M2184" s="1"/>
      <c r="N2184" s="1"/>
      <c r="O2184" s="1"/>
      <c r="P2184" s="1"/>
      <c r="Q2184" s="1"/>
      <c r="R2184" s="1"/>
      <c r="S2184" s="1"/>
      <c r="T2184" s="1"/>
      <c r="U2184" s="1"/>
      <c r="V2184" s="1"/>
      <c r="W2184" s="1"/>
      <c r="X2184" s="1" t="s">
        <v>7111</v>
      </c>
      <c r="Y2184" s="1" t="s">
        <v>8493</v>
      </c>
    </row>
    <row r="2185">
      <c r="A2185" s="1">
        <v>4.457513E7</v>
      </c>
      <c r="B2185" s="1" t="s">
        <v>8494</v>
      </c>
      <c r="C2185" s="1" t="s">
        <v>8495</v>
      </c>
      <c r="D2185" s="1" t="s">
        <v>8496</v>
      </c>
      <c r="F2185" s="2" t="str">
        <f>"1338297082"</f>
        <v>1338297082</v>
      </c>
      <c r="G2185" s="2" t="str">
        <f>"9781338297089"</f>
        <v>9781338297089</v>
      </c>
      <c r="H2185" s="1" t="s">
        <v>857</v>
      </c>
      <c r="I2185" s="1" t="s">
        <v>36</v>
      </c>
      <c r="J2185" s="1">
        <v>128.0</v>
      </c>
      <c r="K2185" s="1">
        <v>2020.0</v>
      </c>
      <c r="M2185" s="1"/>
      <c r="N2185" s="1"/>
      <c r="O2185" s="1"/>
      <c r="P2185" s="1"/>
      <c r="Q2185" s="1"/>
      <c r="R2185" s="1"/>
      <c r="S2185" s="1"/>
      <c r="T2185" s="1"/>
      <c r="U2185" s="1"/>
      <c r="V2185" s="1"/>
      <c r="W2185" s="1"/>
      <c r="X2185" s="1" t="s">
        <v>363</v>
      </c>
      <c r="Y2185" s="1" t="s">
        <v>8497</v>
      </c>
    </row>
    <row r="2186">
      <c r="A2186" s="1">
        <v>1.3546402E7</v>
      </c>
      <c r="B2186" s="1" t="s">
        <v>8498</v>
      </c>
      <c r="C2186" s="1" t="s">
        <v>7178</v>
      </c>
      <c r="D2186" s="1" t="s">
        <v>7179</v>
      </c>
      <c r="E2186" s="1" t="s">
        <v>1638</v>
      </c>
      <c r="F2186" s="2" t="str">
        <f>"1442453184"</f>
        <v>1442453184</v>
      </c>
      <c r="G2186" s="2" t="str">
        <f>"9781442453180"</f>
        <v>9781442453180</v>
      </c>
      <c r="H2186" s="1" t="s">
        <v>2496</v>
      </c>
      <c r="I2186" s="1" t="s">
        <v>31</v>
      </c>
      <c r="J2186" s="1">
        <v>128.0</v>
      </c>
      <c r="K2186" s="1">
        <v>2012.0</v>
      </c>
      <c r="L2186" s="1">
        <v>2012.0</v>
      </c>
      <c r="M2186" s="1"/>
      <c r="N2186" s="1"/>
      <c r="O2186" s="1"/>
      <c r="P2186" s="1"/>
      <c r="Q2186" s="1"/>
      <c r="R2186" s="1"/>
      <c r="S2186" s="1"/>
      <c r="T2186" s="1"/>
      <c r="U2186" s="1"/>
      <c r="V2186" s="1"/>
      <c r="W2186" s="1"/>
      <c r="X2186" s="1" t="s">
        <v>1933</v>
      </c>
      <c r="Y2186" s="1" t="s">
        <v>8499</v>
      </c>
    </row>
    <row r="2187">
      <c r="A2187" s="1">
        <v>1.2161383E7</v>
      </c>
      <c r="B2187" s="1" t="s">
        <v>8500</v>
      </c>
      <c r="C2187" s="1" t="s">
        <v>8501</v>
      </c>
      <c r="D2187" s="1" t="s">
        <v>8502</v>
      </c>
      <c r="F2187" s="2" t="str">
        <f>"1554698006"</f>
        <v>1554698006</v>
      </c>
      <c r="G2187" s="2" t="str">
        <f>"9781554698004"</f>
        <v>9781554698004</v>
      </c>
      <c r="H2187" s="1" t="s">
        <v>1396</v>
      </c>
      <c r="I2187" s="1" t="s">
        <v>36</v>
      </c>
      <c r="J2187" s="1">
        <v>128.0</v>
      </c>
      <c r="K2187" s="1">
        <v>2011.0</v>
      </c>
      <c r="L2187" s="1">
        <v>2011.0</v>
      </c>
      <c r="M2187" s="1"/>
      <c r="N2187" s="1"/>
      <c r="O2187" s="1"/>
      <c r="P2187" s="1"/>
      <c r="Q2187" s="1"/>
      <c r="R2187" s="1"/>
      <c r="S2187" s="1"/>
      <c r="T2187" s="1"/>
      <c r="U2187" s="1"/>
      <c r="V2187" s="1"/>
      <c r="W2187" s="1"/>
      <c r="X2187" s="1" t="s">
        <v>245</v>
      </c>
      <c r="Y2187" s="1" t="s">
        <v>8503</v>
      </c>
    </row>
    <row r="2188">
      <c r="A2188" s="1">
        <v>37187.0</v>
      </c>
      <c r="B2188" s="1" t="s">
        <v>8504</v>
      </c>
      <c r="C2188" s="1" t="s">
        <v>225</v>
      </c>
      <c r="D2188" s="1" t="s">
        <v>226</v>
      </c>
      <c r="F2188" s="2" t="str">
        <f>"0763618985"</f>
        <v>0763618985</v>
      </c>
      <c r="G2188" s="2" t="str">
        <f>"9780763618988"</f>
        <v>9780763618988</v>
      </c>
      <c r="H2188" s="1" t="s">
        <v>945</v>
      </c>
      <c r="I2188" s="1" t="s">
        <v>36</v>
      </c>
      <c r="J2188" s="1">
        <v>128.0</v>
      </c>
      <c r="K2188" s="1">
        <v>2002.0</v>
      </c>
      <c r="L2188" s="1">
        <v>2001.0</v>
      </c>
      <c r="M2188" s="1"/>
      <c r="N2188" s="1"/>
      <c r="O2188" s="1"/>
      <c r="P2188" s="1"/>
      <c r="Q2188" s="1"/>
      <c r="R2188" s="1"/>
      <c r="S2188" s="1"/>
      <c r="T2188" s="1"/>
      <c r="U2188" s="1"/>
      <c r="V2188" s="1"/>
      <c r="W2188" s="1"/>
      <c r="X2188" s="1" t="s">
        <v>8505</v>
      </c>
      <c r="Y2188" s="1" t="s">
        <v>8506</v>
      </c>
    </row>
    <row r="2189">
      <c r="A2189" s="1">
        <v>4.9823089E7</v>
      </c>
      <c r="B2189" s="1" t="s">
        <v>8507</v>
      </c>
      <c r="C2189" s="1" t="s">
        <v>8508</v>
      </c>
      <c r="D2189" s="1" t="s">
        <v>8509</v>
      </c>
      <c r="E2189" s="1" t="s">
        <v>8510</v>
      </c>
      <c r="F2189" s="2" t="str">
        <f>"1338587218"</f>
        <v>1338587218</v>
      </c>
      <c r="G2189" s="2" t="str">
        <f>"9781338587210"</f>
        <v>9781338587210</v>
      </c>
      <c r="H2189" s="1" t="s">
        <v>817</v>
      </c>
      <c r="I2189" s="1" t="s">
        <v>36</v>
      </c>
      <c r="J2189" s="1">
        <v>128.0</v>
      </c>
      <c r="K2189" s="1">
        <v>2020.0</v>
      </c>
      <c r="L2189" s="1">
        <v>2017.0</v>
      </c>
    </row>
    <row r="2190">
      <c r="A2190" s="1">
        <v>8048403.0</v>
      </c>
      <c r="B2190" s="1" t="s">
        <v>8511</v>
      </c>
      <c r="C2190" s="1" t="s">
        <v>8512</v>
      </c>
      <c r="D2190" s="1" t="s">
        <v>8513</v>
      </c>
      <c r="E2190" s="1" t="s">
        <v>8514</v>
      </c>
      <c r="F2190" s="2" t="str">
        <f>"0753464136"</f>
        <v>0753464136</v>
      </c>
      <c r="G2190" s="2" t="str">
        <f>"9780753464137"</f>
        <v>9780753464137</v>
      </c>
      <c r="H2190" s="1" t="s">
        <v>1704</v>
      </c>
      <c r="I2190" s="1" t="s">
        <v>36</v>
      </c>
      <c r="J2190" s="1">
        <v>128.0</v>
      </c>
      <c r="K2190" s="1">
        <v>2010.0</v>
      </c>
      <c r="L2190" s="1">
        <v>2010.0</v>
      </c>
      <c r="M2190" s="1"/>
      <c r="N2190" s="1"/>
      <c r="O2190" s="1"/>
      <c r="P2190" s="1"/>
      <c r="Q2190" s="1"/>
      <c r="R2190" s="1"/>
      <c r="S2190" s="1"/>
      <c r="T2190" s="1"/>
      <c r="U2190" s="1"/>
      <c r="V2190" s="1"/>
      <c r="W2190" s="1"/>
      <c r="X2190" s="1" t="s">
        <v>116</v>
      </c>
      <c r="Y2190" s="1" t="s">
        <v>8515</v>
      </c>
    </row>
    <row r="2191">
      <c r="A2191" s="1">
        <v>1.784147E7</v>
      </c>
      <c r="B2191" s="1" t="s">
        <v>8516</v>
      </c>
      <c r="C2191" s="1" t="s">
        <v>8454</v>
      </c>
      <c r="D2191" s="1" t="s">
        <v>8455</v>
      </c>
      <c r="F2191" s="2" t="str">
        <f>"0545509203"</f>
        <v>0545509203</v>
      </c>
      <c r="G2191" s="2" t="str">
        <f>"9780545509206"</f>
        <v>9780545509206</v>
      </c>
      <c r="H2191" s="1" t="s">
        <v>2944</v>
      </c>
      <c r="I2191" s="1" t="s">
        <v>36</v>
      </c>
      <c r="J2191" s="1">
        <v>128.0</v>
      </c>
      <c r="K2191" s="1">
        <v>2013.0</v>
      </c>
      <c r="M2191" s="1"/>
      <c r="N2191" s="1"/>
      <c r="O2191" s="1"/>
      <c r="P2191" s="1"/>
      <c r="Q2191" s="1"/>
      <c r="R2191" s="1"/>
      <c r="S2191" s="1"/>
      <c r="T2191" s="1"/>
      <c r="U2191" s="1"/>
      <c r="V2191" s="1"/>
      <c r="W2191" s="1"/>
      <c r="X2191" s="1" t="s">
        <v>7614</v>
      </c>
      <c r="Y2191" s="1" t="s">
        <v>8517</v>
      </c>
    </row>
    <row r="2192">
      <c r="A2192" s="1">
        <v>4.3245876E7</v>
      </c>
      <c r="B2192" s="1" t="s">
        <v>8518</v>
      </c>
      <c r="C2192" s="1" t="s">
        <v>8454</v>
      </c>
      <c r="D2192" s="1" t="s">
        <v>8455</v>
      </c>
      <c r="E2192" s="1" t="s">
        <v>8519</v>
      </c>
      <c r="F2192" s="2" t="str">
        <f>"0062934716"</f>
        <v>0062934716</v>
      </c>
      <c r="G2192" s="2" t="str">
        <f>"9780062934710"</f>
        <v>9780062934710</v>
      </c>
      <c r="H2192" s="1" t="s">
        <v>1570</v>
      </c>
      <c r="I2192" s="1" t="s">
        <v>36</v>
      </c>
      <c r="J2192" s="1">
        <v>128.0</v>
      </c>
      <c r="K2192" s="1">
        <v>2019.0</v>
      </c>
      <c r="L2192" s="1">
        <v>2019.0</v>
      </c>
      <c r="M2192" s="1"/>
      <c r="N2192" s="1"/>
      <c r="O2192" s="1"/>
      <c r="P2192" s="1"/>
      <c r="Q2192" s="1"/>
      <c r="R2192" s="1"/>
      <c r="S2192" s="1"/>
      <c r="T2192" s="1"/>
      <c r="U2192" s="1"/>
      <c r="V2192" s="1"/>
      <c r="W2192" s="1"/>
      <c r="X2192" s="1" t="s">
        <v>1397</v>
      </c>
      <c r="Y2192" s="1" t="s">
        <v>8520</v>
      </c>
    </row>
    <row r="2193">
      <c r="A2193" s="1">
        <v>3.4228228E7</v>
      </c>
      <c r="B2193" s="1" t="s">
        <v>8521</v>
      </c>
      <c r="C2193" s="1" t="s">
        <v>8522</v>
      </c>
      <c r="D2193" s="1" t="s">
        <v>8523</v>
      </c>
      <c r="E2193" s="1" t="s">
        <v>8524</v>
      </c>
      <c r="F2193" s="2" t="str">
        <f>"1481491911"</f>
        <v>1481491911</v>
      </c>
      <c r="G2193" s="2" t="str">
        <f>"9781481491914"</f>
        <v>9781481491914</v>
      </c>
      <c r="H2193" s="1" t="s">
        <v>1234</v>
      </c>
      <c r="I2193" s="1" t="s">
        <v>36</v>
      </c>
      <c r="J2193" s="1">
        <v>128.0</v>
      </c>
      <c r="K2193" s="1">
        <v>2017.0</v>
      </c>
      <c r="L2193" s="1">
        <v>2017.0</v>
      </c>
      <c r="M2193" s="1"/>
      <c r="N2193" s="1"/>
      <c r="O2193" s="1"/>
      <c r="P2193" s="1"/>
      <c r="Q2193" s="1"/>
      <c r="R2193" s="1"/>
      <c r="S2193" s="1"/>
      <c r="T2193" s="1"/>
      <c r="U2193" s="1"/>
      <c r="V2193" s="1"/>
      <c r="W2193" s="1"/>
      <c r="X2193" s="1" t="s">
        <v>302</v>
      </c>
      <c r="Y2193" s="1" t="s">
        <v>8525</v>
      </c>
    </row>
    <row r="2194">
      <c r="A2194" s="1">
        <v>5.6258328E7</v>
      </c>
      <c r="B2194" s="1" t="s">
        <v>8526</v>
      </c>
      <c r="C2194" s="1" t="s">
        <v>817</v>
      </c>
      <c r="D2194" s="1" t="s">
        <v>896</v>
      </c>
      <c r="F2194" s="2" t="str">
        <f>"1338775545"</f>
        <v>1338775545</v>
      </c>
      <c r="G2194" s="2" t="str">
        <f>"9781338775549"</f>
        <v>9781338775549</v>
      </c>
      <c r="H2194" s="1" t="s">
        <v>817</v>
      </c>
      <c r="I2194" s="1" t="s">
        <v>36</v>
      </c>
      <c r="J2194" s="1">
        <v>128.0</v>
      </c>
      <c r="K2194" s="1">
        <v>2022.0</v>
      </c>
      <c r="M2194" s="1"/>
      <c r="N2194" s="1"/>
      <c r="O2194" s="1"/>
      <c r="P2194" s="1"/>
      <c r="Q2194" s="1"/>
      <c r="R2194" s="1"/>
      <c r="S2194" s="1"/>
      <c r="T2194" s="1"/>
      <c r="U2194" s="1"/>
      <c r="V2194" s="1"/>
      <c r="W2194" s="1"/>
      <c r="X2194" s="1" t="s">
        <v>180</v>
      </c>
      <c r="Y2194" s="1" t="s">
        <v>8527</v>
      </c>
    </row>
    <row r="2195">
      <c r="A2195" s="1">
        <v>657230.0</v>
      </c>
      <c r="B2195" s="1" t="s">
        <v>8528</v>
      </c>
      <c r="C2195" s="1" t="s">
        <v>8529</v>
      </c>
      <c r="D2195" s="1" t="s">
        <v>8530</v>
      </c>
      <c r="E2195" s="1" t="s">
        <v>2739</v>
      </c>
      <c r="F2195" s="2" t="str">
        <f>"0439233844"</f>
        <v>0439233844</v>
      </c>
      <c r="G2195" s="2" t="str">
        <f>"9780439233842"</f>
        <v>9780439233842</v>
      </c>
      <c r="H2195" s="1" t="s">
        <v>2944</v>
      </c>
      <c r="I2195" s="1" t="s">
        <v>36</v>
      </c>
      <c r="J2195" s="1">
        <v>128.0</v>
      </c>
      <c r="K2195" s="1">
        <v>2003.0</v>
      </c>
      <c r="L2195" s="1">
        <v>2001.0</v>
      </c>
      <c r="M2195" s="1"/>
      <c r="N2195" s="1"/>
      <c r="O2195" s="1"/>
      <c r="P2195" s="1"/>
      <c r="Q2195" s="1"/>
      <c r="R2195" s="1"/>
      <c r="S2195" s="1"/>
      <c r="T2195" s="1"/>
      <c r="U2195" s="1"/>
      <c r="V2195" s="1"/>
      <c r="W2195" s="1"/>
      <c r="X2195" s="1" t="s">
        <v>458</v>
      </c>
      <c r="Y2195" s="1" t="s">
        <v>8531</v>
      </c>
    </row>
    <row r="2196">
      <c r="A2196" s="1">
        <v>2.1413991E7</v>
      </c>
      <c r="B2196" s="1" t="s">
        <v>8532</v>
      </c>
      <c r="C2196" s="1" t="s">
        <v>8533</v>
      </c>
      <c r="D2196" s="1" t="s">
        <v>8534</v>
      </c>
      <c r="E2196" s="1" t="s">
        <v>8535</v>
      </c>
      <c r="F2196" s="2" t="str">
        <f>"0545530482"</f>
        <v>0545530482</v>
      </c>
      <c r="G2196" s="2" t="str">
        <f>"9780545530484"</f>
        <v>9780545530484</v>
      </c>
      <c r="H2196" s="1" t="s">
        <v>2944</v>
      </c>
      <c r="I2196" s="1" t="s">
        <v>36</v>
      </c>
      <c r="J2196" s="1">
        <v>128.0</v>
      </c>
      <c r="K2196" s="1">
        <v>2014.0</v>
      </c>
      <c r="L2196" s="1">
        <v>2014.0</v>
      </c>
      <c r="M2196" s="1"/>
      <c r="N2196" s="1"/>
      <c r="O2196" s="1"/>
      <c r="P2196" s="1"/>
      <c r="Q2196" s="1"/>
      <c r="R2196" s="1"/>
      <c r="S2196" s="1"/>
      <c r="T2196" s="1"/>
      <c r="U2196" s="1"/>
      <c r="V2196" s="1"/>
      <c r="W2196" s="1"/>
      <c r="X2196" s="1" t="s">
        <v>363</v>
      </c>
      <c r="Y2196" s="1" t="s">
        <v>8536</v>
      </c>
    </row>
    <row r="2197">
      <c r="A2197" s="1">
        <v>1.5945907E7</v>
      </c>
      <c r="B2197" s="1" t="s">
        <v>8537</v>
      </c>
      <c r="C2197" s="1" t="s">
        <v>8538</v>
      </c>
      <c r="D2197" s="1" t="s">
        <v>8539</v>
      </c>
      <c r="E2197" s="1" t="s">
        <v>8540</v>
      </c>
      <c r="F2197" s="2" t="str">
        <f>"1442472545"</f>
        <v>1442472545</v>
      </c>
      <c r="G2197" s="2" t="str">
        <f>"9781442472549"</f>
        <v>9781442472549</v>
      </c>
      <c r="H2197" s="1" t="s">
        <v>1234</v>
      </c>
      <c r="I2197" s="1" t="s">
        <v>36</v>
      </c>
      <c r="J2197" s="1">
        <v>128.0</v>
      </c>
      <c r="K2197" s="1">
        <v>2013.0</v>
      </c>
      <c r="L2197" s="1">
        <v>2013.0</v>
      </c>
      <c r="M2197" s="1"/>
      <c r="N2197" s="1"/>
      <c r="O2197" s="1"/>
      <c r="P2197" s="1"/>
      <c r="Q2197" s="1"/>
      <c r="R2197" s="1"/>
      <c r="S2197" s="1"/>
      <c r="T2197" s="1"/>
      <c r="U2197" s="1"/>
      <c r="V2197" s="1"/>
      <c r="W2197" s="1"/>
      <c r="X2197" s="1" t="s">
        <v>45</v>
      </c>
      <c r="Y2197" s="1" t="s">
        <v>8541</v>
      </c>
    </row>
    <row r="2198">
      <c r="A2198" s="1">
        <v>3.1144997E7</v>
      </c>
      <c r="B2198" s="1" t="s">
        <v>8542</v>
      </c>
      <c r="C2198" s="1" t="s">
        <v>338</v>
      </c>
      <c r="D2198" s="1" t="s">
        <v>339</v>
      </c>
      <c r="E2198" s="1" t="s">
        <v>8543</v>
      </c>
      <c r="F2198" s="2" t="str">
        <f>"162672752X"</f>
        <v>162672752X</v>
      </c>
      <c r="G2198" s="2" t="str">
        <f>"9781626727526"</f>
        <v>9781626727526</v>
      </c>
      <c r="H2198" s="1" t="s">
        <v>340</v>
      </c>
      <c r="I2198" s="1" t="s">
        <v>36</v>
      </c>
      <c r="J2198" s="1">
        <v>128.0</v>
      </c>
      <c r="K2198" s="1">
        <v>2017.0</v>
      </c>
      <c r="L2198" s="1">
        <v>2017.0</v>
      </c>
      <c r="M2198" s="1"/>
      <c r="N2198" s="1"/>
      <c r="O2198" s="1"/>
      <c r="P2198" s="1"/>
      <c r="Q2198" s="1"/>
      <c r="R2198" s="1"/>
      <c r="S2198" s="1"/>
      <c r="T2198" s="1"/>
      <c r="U2198" s="1"/>
      <c r="V2198" s="1"/>
      <c r="W2198" s="1"/>
      <c r="X2198" s="1" t="s">
        <v>116</v>
      </c>
      <c r="Y2198" s="1" t="s">
        <v>8544</v>
      </c>
    </row>
    <row r="2199">
      <c r="A2199" s="1">
        <v>8070225.0</v>
      </c>
      <c r="B2199" s="1" t="s">
        <v>8545</v>
      </c>
      <c r="C2199" s="1" t="s">
        <v>1091</v>
      </c>
      <c r="D2199" s="1" t="s">
        <v>1092</v>
      </c>
      <c r="E2199" s="1" t="s">
        <v>8546</v>
      </c>
      <c r="F2199" s="2" t="str">
        <f>"0448453673"</f>
        <v>0448453673</v>
      </c>
      <c r="G2199" s="2" t="str">
        <f>"9780448453675"</f>
        <v>9780448453675</v>
      </c>
      <c r="H2199" s="1" t="s">
        <v>2014</v>
      </c>
      <c r="I2199" s="1" t="s">
        <v>36</v>
      </c>
      <c r="J2199" s="1">
        <v>128.0</v>
      </c>
      <c r="K2199" s="1">
        <v>2010.0</v>
      </c>
      <c r="L2199" s="1">
        <v>2010.0</v>
      </c>
      <c r="M2199" s="1"/>
      <c r="N2199" s="1"/>
      <c r="O2199" s="1"/>
      <c r="P2199" s="1"/>
      <c r="Q2199" s="1"/>
      <c r="R2199" s="1"/>
      <c r="S2199" s="1"/>
      <c r="T2199" s="1"/>
      <c r="U2199" s="1"/>
      <c r="V2199" s="1"/>
      <c r="W2199" s="1"/>
      <c r="X2199" s="1" t="s">
        <v>7975</v>
      </c>
      <c r="Y2199" s="1" t="s">
        <v>8547</v>
      </c>
    </row>
    <row r="2200">
      <c r="A2200" s="1">
        <v>1.6115677E7</v>
      </c>
      <c r="B2200" s="1" t="s">
        <v>8548</v>
      </c>
      <c r="C2200" s="1" t="s">
        <v>1091</v>
      </c>
      <c r="D2200" s="1" t="s">
        <v>1092</v>
      </c>
      <c r="E2200" s="1" t="s">
        <v>2672</v>
      </c>
      <c r="F2200" s="2" t="str">
        <f>"0448464446"</f>
        <v>0448464446</v>
      </c>
      <c r="G2200" s="2" t="str">
        <f>"9780448464442"</f>
        <v>9780448464442</v>
      </c>
      <c r="H2200" s="1" t="s">
        <v>2014</v>
      </c>
      <c r="I2200" s="1" t="s">
        <v>36</v>
      </c>
      <c r="J2200" s="1">
        <v>128.0</v>
      </c>
      <c r="K2200" s="1">
        <v>2013.0</v>
      </c>
      <c r="L2200" s="1">
        <v>2013.0</v>
      </c>
      <c r="M2200" s="1"/>
      <c r="N2200" s="1"/>
      <c r="O2200" s="1"/>
      <c r="P2200" s="1"/>
      <c r="Q2200" s="1"/>
      <c r="R2200" s="1"/>
      <c r="S2200" s="1"/>
      <c r="T2200" s="1"/>
      <c r="U2200" s="1"/>
      <c r="V2200" s="1"/>
      <c r="W2200" s="1"/>
      <c r="X2200" s="1" t="s">
        <v>291</v>
      </c>
      <c r="Y2200" s="1" t="s">
        <v>8549</v>
      </c>
    </row>
    <row r="2201">
      <c r="A2201" s="1">
        <v>2.6892063E7</v>
      </c>
      <c r="B2201" s="1" t="s">
        <v>8550</v>
      </c>
      <c r="C2201" s="1" t="s">
        <v>8551</v>
      </c>
      <c r="D2201" s="1" t="s">
        <v>8552</v>
      </c>
      <c r="F2201" s="2" t="str">
        <f>"0545822068"</f>
        <v>0545822068</v>
      </c>
      <c r="G2201" s="2" t="str">
        <f>"9780545822060"</f>
        <v>9780545822060</v>
      </c>
      <c r="H2201" s="1" t="s">
        <v>2944</v>
      </c>
      <c r="I2201" s="1" t="s">
        <v>36</v>
      </c>
      <c r="J2201" s="1">
        <v>128.0</v>
      </c>
      <c r="K2201" s="1">
        <v>2016.0</v>
      </c>
      <c r="L2201" s="1">
        <v>2016.0</v>
      </c>
      <c r="M2201" s="1"/>
      <c r="N2201" s="1"/>
      <c r="O2201" s="1"/>
      <c r="P2201" s="1"/>
      <c r="Q2201" s="1"/>
      <c r="R2201" s="1"/>
      <c r="S2201" s="1"/>
      <c r="T2201" s="1"/>
      <c r="U2201" s="1"/>
      <c r="V2201" s="1"/>
      <c r="W2201" s="1"/>
      <c r="X2201" s="1" t="s">
        <v>458</v>
      </c>
      <c r="Y2201" s="1" t="s">
        <v>8553</v>
      </c>
    </row>
    <row r="2202">
      <c r="A2202" s="1">
        <v>3.2970289E7</v>
      </c>
      <c r="B2202" s="1" t="s">
        <v>8554</v>
      </c>
      <c r="C2202" s="1" t="s">
        <v>8555</v>
      </c>
      <c r="D2202" s="1" t="s">
        <v>8556</v>
      </c>
      <c r="F2202" s="2" t="str">
        <f>"607163993X"</f>
        <v>607163993X</v>
      </c>
      <c r="G2202" s="2" t="str">
        <f>"9786071639936"</f>
        <v>9786071639936</v>
      </c>
      <c r="H2202" s="1" t="s">
        <v>8557</v>
      </c>
      <c r="I2202" s="1" t="s">
        <v>36</v>
      </c>
      <c r="J2202" s="1">
        <v>128.0</v>
      </c>
      <c r="K2202" s="1">
        <v>2016.0</v>
      </c>
      <c r="M2202" s="1"/>
      <c r="N2202" s="1"/>
      <c r="O2202" s="1"/>
      <c r="P2202" s="1"/>
      <c r="Q2202" s="1"/>
      <c r="R2202" s="1"/>
      <c r="S2202" s="1"/>
      <c r="T2202" s="1"/>
      <c r="U2202" s="1"/>
      <c r="V2202" s="1"/>
      <c r="W2202" s="1"/>
      <c r="X2202" s="1" t="s">
        <v>852</v>
      </c>
      <c r="Y2202" s="1" t="s">
        <v>8558</v>
      </c>
    </row>
    <row r="2203">
      <c r="A2203" s="1">
        <v>1.7620296E7</v>
      </c>
      <c r="B2203" s="1" t="s">
        <v>8559</v>
      </c>
      <c r="C2203" s="1" t="s">
        <v>2329</v>
      </c>
      <c r="D2203" s="1" t="s">
        <v>4144</v>
      </c>
      <c r="F2203" s="2" t="str">
        <f>"1435139844"</f>
        <v>1435139844</v>
      </c>
      <c r="G2203" s="2" t="str">
        <f>"9781435139848"</f>
        <v>9781435139848</v>
      </c>
      <c r="H2203" s="1" t="s">
        <v>8560</v>
      </c>
      <c r="I2203" s="1" t="s">
        <v>31</v>
      </c>
      <c r="J2203" s="1">
        <v>128.0</v>
      </c>
      <c r="K2203" s="1">
        <v>2012.0</v>
      </c>
      <c r="L2203" s="1">
        <v>2012.0</v>
      </c>
      <c r="M2203" s="1"/>
      <c r="N2203" s="1"/>
      <c r="O2203" s="1"/>
      <c r="P2203" s="1"/>
      <c r="Q2203" s="1"/>
      <c r="R2203" s="1"/>
      <c r="S2203" s="1"/>
      <c r="T2203" s="1"/>
      <c r="U2203" s="1"/>
      <c r="V2203" s="1"/>
      <c r="W2203" s="1"/>
      <c r="X2203" s="1" t="s">
        <v>452</v>
      </c>
      <c r="Y2203" s="1" t="s">
        <v>8561</v>
      </c>
    </row>
    <row r="2204">
      <c r="A2204" s="1">
        <v>5.8874696E7</v>
      </c>
      <c r="B2204" s="1" t="s">
        <v>8562</v>
      </c>
      <c r="C2204" s="1" t="s">
        <v>8563</v>
      </c>
      <c r="D2204" s="1" t="s">
        <v>8564</v>
      </c>
      <c r="F2204" s="2" t="str">
        <f>"1338830856"</f>
        <v>1338830856</v>
      </c>
      <c r="G2204" s="2" t="str">
        <f>"9781338830859"</f>
        <v>9781338830859</v>
      </c>
      <c r="H2204" s="1" t="s">
        <v>1575</v>
      </c>
      <c r="I2204" s="1" t="s">
        <v>36</v>
      </c>
      <c r="J2204" s="1">
        <v>128.0</v>
      </c>
      <c r="K2204" s="1">
        <v>2022.0</v>
      </c>
      <c r="M2204" s="1"/>
      <c r="N2204" s="1"/>
      <c r="O2204" s="1"/>
      <c r="P2204" s="1"/>
      <c r="Q2204" s="1"/>
      <c r="R2204" s="1"/>
      <c r="S2204" s="1"/>
      <c r="T2204" s="1"/>
      <c r="U2204" s="1"/>
      <c r="V2204" s="1"/>
      <c r="W2204" s="1"/>
      <c r="X2204" s="1" t="s">
        <v>180</v>
      </c>
      <c r="Y2204" s="1" t="s">
        <v>8565</v>
      </c>
    </row>
    <row r="2205">
      <c r="A2205" s="1">
        <v>2.6796306E7</v>
      </c>
      <c r="B2205" s="1" t="s">
        <v>8566</v>
      </c>
      <c r="C2205" s="1" t="s">
        <v>8567</v>
      </c>
      <c r="D2205" s="1" t="s">
        <v>8568</v>
      </c>
      <c r="E2205" s="1" t="s">
        <v>8569</v>
      </c>
      <c r="F2205" s="2" t="str">
        <f>"0525428127"</f>
        <v>0525428127</v>
      </c>
      <c r="G2205" s="2" t="str">
        <f>"9780525428121"</f>
        <v>9780525428121</v>
      </c>
      <c r="H2205" s="1" t="s">
        <v>2600</v>
      </c>
      <c r="I2205" s="1" t="s">
        <v>31</v>
      </c>
      <c r="J2205" s="1">
        <v>128.0</v>
      </c>
      <c r="K2205" s="1">
        <v>2016.0</v>
      </c>
      <c r="L2205" s="1">
        <v>2016.0</v>
      </c>
      <c r="M2205" s="1"/>
      <c r="N2205" s="1"/>
      <c r="O2205" s="1"/>
      <c r="P2205" s="1"/>
      <c r="Q2205" s="1"/>
      <c r="R2205" s="1"/>
      <c r="S2205" s="1"/>
      <c r="T2205" s="1"/>
      <c r="U2205" s="1"/>
      <c r="V2205" s="1"/>
      <c r="W2205" s="1"/>
      <c r="X2205" s="1" t="s">
        <v>7609</v>
      </c>
      <c r="Y2205" s="1" t="s">
        <v>8570</v>
      </c>
    </row>
    <row r="2206">
      <c r="A2206" s="1">
        <v>2.0724668E7</v>
      </c>
      <c r="B2206" s="1" t="s">
        <v>8571</v>
      </c>
      <c r="C2206" s="1" t="s">
        <v>8567</v>
      </c>
      <c r="D2206" s="1" t="s">
        <v>8568</v>
      </c>
      <c r="E2206" s="1" t="s">
        <v>8569</v>
      </c>
      <c r="F2206" s="2" t="str">
        <f>"0803740093"</f>
        <v>0803740093</v>
      </c>
      <c r="G2206" s="2" t="str">
        <f>"9780803740099"</f>
        <v>9780803740099</v>
      </c>
      <c r="H2206" s="1" t="s">
        <v>2600</v>
      </c>
      <c r="I2206" s="1" t="s">
        <v>31</v>
      </c>
      <c r="J2206" s="1">
        <v>128.0</v>
      </c>
      <c r="K2206" s="1">
        <v>2015.0</v>
      </c>
      <c r="L2206" s="1">
        <v>2015.0</v>
      </c>
      <c r="M2206" s="1"/>
      <c r="N2206" s="1"/>
      <c r="O2206" s="1"/>
      <c r="P2206" s="1"/>
      <c r="Q2206" s="1"/>
      <c r="R2206" s="1"/>
      <c r="S2206" s="1"/>
      <c r="T2206" s="1"/>
      <c r="U2206" s="1"/>
      <c r="V2206" s="1"/>
      <c r="W2206" s="1"/>
      <c r="X2206" s="1" t="s">
        <v>7609</v>
      </c>
      <c r="Y2206" s="1" t="s">
        <v>8572</v>
      </c>
    </row>
    <row r="2207">
      <c r="A2207" s="1">
        <v>2.3874431E7</v>
      </c>
      <c r="B2207" s="1" t="s">
        <v>8573</v>
      </c>
      <c r="C2207" s="1" t="s">
        <v>8567</v>
      </c>
      <c r="D2207" s="1" t="s">
        <v>8568</v>
      </c>
      <c r="E2207" s="1" t="s">
        <v>8569</v>
      </c>
      <c r="F2207" s="2" t="str">
        <f>"0525428119"</f>
        <v>0525428119</v>
      </c>
      <c r="G2207" s="2" t="str">
        <f>"9780525428114"</f>
        <v>9780525428114</v>
      </c>
      <c r="H2207" s="1" t="s">
        <v>2600</v>
      </c>
      <c r="I2207" s="1" t="s">
        <v>31</v>
      </c>
      <c r="J2207" s="1">
        <v>128.0</v>
      </c>
      <c r="K2207" s="1">
        <v>2015.0</v>
      </c>
      <c r="L2207" s="1">
        <v>2015.0</v>
      </c>
      <c r="M2207" s="1"/>
      <c r="N2207" s="1"/>
      <c r="O2207" s="1"/>
      <c r="P2207" s="1"/>
      <c r="Q2207" s="1"/>
      <c r="R2207" s="1"/>
      <c r="S2207" s="1"/>
      <c r="T2207" s="1"/>
      <c r="U2207" s="1"/>
      <c r="V2207" s="1"/>
      <c r="W2207" s="1"/>
      <c r="X2207" s="1" t="s">
        <v>7609</v>
      </c>
      <c r="Y2207" s="1" t="s">
        <v>8574</v>
      </c>
    </row>
    <row r="2208">
      <c r="A2208" s="1">
        <v>3.4051739E7</v>
      </c>
      <c r="B2208" s="1" t="s">
        <v>8575</v>
      </c>
      <c r="C2208" s="1" t="s">
        <v>8576</v>
      </c>
      <c r="D2208" s="1" t="s">
        <v>8577</v>
      </c>
      <c r="F2208" s="2" t="str">
        <f>"0736438300"</f>
        <v>0736438300</v>
      </c>
      <c r="G2208" s="2" t="str">
        <f>"9780736438308"</f>
        <v>9780736438308</v>
      </c>
      <c r="H2208" s="1" t="s">
        <v>1561</v>
      </c>
      <c r="I2208" s="1" t="s">
        <v>36</v>
      </c>
      <c r="J2208" s="1">
        <v>128.0</v>
      </c>
      <c r="K2208" s="1">
        <v>2017.0</v>
      </c>
      <c r="L2208" s="1">
        <v>2017.0</v>
      </c>
      <c r="M2208" s="1"/>
      <c r="N2208" s="1"/>
      <c r="O2208" s="1"/>
      <c r="P2208" s="1"/>
      <c r="Q2208" s="1"/>
      <c r="R2208" s="1"/>
      <c r="S2208" s="1"/>
      <c r="T2208" s="1"/>
      <c r="U2208" s="1"/>
      <c r="V2208" s="1"/>
      <c r="W2208" s="1"/>
      <c r="X2208" s="1" t="s">
        <v>291</v>
      </c>
      <c r="Y2208" s="1" t="s">
        <v>8578</v>
      </c>
    </row>
    <row r="2209">
      <c r="A2209" s="1">
        <v>1.7265229E7</v>
      </c>
      <c r="B2209" s="1" t="s">
        <v>8579</v>
      </c>
      <c r="C2209" s="1" t="s">
        <v>8580</v>
      </c>
      <c r="D2209" s="1" t="s">
        <v>8581</v>
      </c>
      <c r="F2209" s="2" t="str">
        <f>"0545467209"</f>
        <v>0545467209</v>
      </c>
      <c r="G2209" s="2" t="str">
        <f>"9780545467209"</f>
        <v>9780545467209</v>
      </c>
      <c r="H2209" s="1" t="s">
        <v>2476</v>
      </c>
      <c r="I2209" s="1" t="s">
        <v>36</v>
      </c>
      <c r="J2209" s="1">
        <v>128.0</v>
      </c>
      <c r="K2209" s="1">
        <v>2013.0</v>
      </c>
      <c r="L2209" s="1">
        <v>2013.0</v>
      </c>
      <c r="M2209" s="1"/>
      <c r="N2209" s="1"/>
      <c r="O2209" s="1"/>
      <c r="P2209" s="1"/>
      <c r="Q2209" s="1"/>
      <c r="R2209" s="1"/>
      <c r="S2209" s="1"/>
      <c r="T2209" s="1"/>
      <c r="U2209" s="1"/>
      <c r="V2209" s="1"/>
      <c r="W2209" s="1"/>
      <c r="X2209" s="1" t="s">
        <v>45</v>
      </c>
      <c r="Y2209" s="1" t="s">
        <v>8582</v>
      </c>
    </row>
    <row r="2210">
      <c r="A2210" s="1">
        <v>5.431372E7</v>
      </c>
      <c r="B2210" s="1" t="s">
        <v>8583</v>
      </c>
      <c r="C2210" s="1" t="s">
        <v>8584</v>
      </c>
      <c r="D2210" s="1" t="s">
        <v>8585</v>
      </c>
      <c r="E2210" s="1" t="s">
        <v>8586</v>
      </c>
      <c r="F2210" s="2" t="str">
        <f>"082344936X"</f>
        <v>082344936X</v>
      </c>
      <c r="G2210" s="2" t="str">
        <f>"9780823449361"</f>
        <v>9780823449361</v>
      </c>
      <c r="H2210" s="1" t="s">
        <v>8587</v>
      </c>
      <c r="I2210" s="1" t="s">
        <v>36</v>
      </c>
      <c r="J2210" s="1">
        <v>128.0</v>
      </c>
      <c r="K2210" s="1">
        <v>2021.0</v>
      </c>
      <c r="M2210" s="1"/>
      <c r="N2210" s="1"/>
      <c r="O2210" s="1"/>
      <c r="P2210" s="1"/>
      <c r="Q2210" s="1"/>
      <c r="R2210" s="1"/>
      <c r="S2210" s="1"/>
      <c r="T2210" s="1"/>
      <c r="U2210" s="1"/>
      <c r="V2210" s="1"/>
      <c r="W2210" s="1"/>
      <c r="X2210" s="1" t="s">
        <v>1024</v>
      </c>
      <c r="Y2210" s="1" t="s">
        <v>8588</v>
      </c>
    </row>
    <row r="2211">
      <c r="A2211" s="1">
        <v>2.0578946E7</v>
      </c>
      <c r="B2211" s="1" t="s">
        <v>8589</v>
      </c>
      <c r="C2211" s="1" t="s">
        <v>8590</v>
      </c>
      <c r="D2211" s="1" t="s">
        <v>8591</v>
      </c>
      <c r="F2211" s="2" t="str">
        <f>"054567350X"</f>
        <v>054567350X</v>
      </c>
      <c r="G2211" s="2" t="str">
        <f>"9780545673501"</f>
        <v>9780545673501</v>
      </c>
      <c r="H2211" s="1" t="s">
        <v>2944</v>
      </c>
      <c r="I2211" s="1" t="s">
        <v>36</v>
      </c>
      <c r="J2211" s="1">
        <v>128.0</v>
      </c>
      <c r="K2211" s="1">
        <v>2014.0</v>
      </c>
      <c r="L2211" s="1">
        <v>2014.0</v>
      </c>
      <c r="M2211" s="1"/>
      <c r="N2211" s="1"/>
      <c r="O2211" s="1"/>
      <c r="P2211" s="1"/>
      <c r="Q2211" s="1"/>
      <c r="R2211" s="1"/>
      <c r="S2211" s="1"/>
      <c r="T2211" s="1"/>
      <c r="U2211" s="1"/>
      <c r="V2211" s="1"/>
      <c r="W2211" s="1"/>
      <c r="X2211" s="1" t="s">
        <v>641</v>
      </c>
      <c r="Y2211" s="1" t="s">
        <v>8592</v>
      </c>
    </row>
    <row r="2212">
      <c r="A2212" s="1">
        <v>1.7166352E7</v>
      </c>
      <c r="B2212" s="1" t="s">
        <v>8593</v>
      </c>
      <c r="C2212" s="1" t="s">
        <v>8590</v>
      </c>
      <c r="D2212" s="1" t="s">
        <v>8591</v>
      </c>
      <c r="F2212" s="2" t="str">
        <f>"0545533791"</f>
        <v>0545533791</v>
      </c>
      <c r="G2212" s="2" t="str">
        <f>"9780545533799"</f>
        <v>9780545533799</v>
      </c>
      <c r="H2212" s="1" t="s">
        <v>2944</v>
      </c>
      <c r="I2212" s="1" t="s">
        <v>36</v>
      </c>
      <c r="J2212" s="1">
        <v>128.0</v>
      </c>
      <c r="K2212" s="1">
        <v>2013.0</v>
      </c>
      <c r="L2212" s="1">
        <v>2013.0</v>
      </c>
      <c r="M2212" s="1"/>
      <c r="N2212" s="1"/>
      <c r="O2212" s="1"/>
      <c r="P2212" s="1"/>
      <c r="Q2212" s="1"/>
      <c r="R2212" s="1"/>
      <c r="S2212" s="1"/>
      <c r="T2212" s="1"/>
      <c r="U2212" s="1"/>
      <c r="V2212" s="1"/>
      <c r="W2212" s="1"/>
      <c r="X2212" s="1" t="s">
        <v>641</v>
      </c>
      <c r="Y2212" s="1" t="s">
        <v>8594</v>
      </c>
    </row>
    <row r="2213">
      <c r="A2213" s="1">
        <v>1.779725E7</v>
      </c>
      <c r="B2213" s="1" t="s">
        <v>8595</v>
      </c>
      <c r="C2213" s="1" t="s">
        <v>474</v>
      </c>
      <c r="D2213" s="1" t="s">
        <v>475</v>
      </c>
      <c r="E2213" s="1" t="s">
        <v>8389</v>
      </c>
      <c r="F2213" s="2" t="str">
        <f t="shared" ref="F2213:G2213" si="136">""</f>
        <v/>
      </c>
      <c r="G2213" s="2" t="str">
        <f t="shared" si="136"/>
        <v/>
      </c>
      <c r="H2213" s="1" t="s">
        <v>156</v>
      </c>
      <c r="I2213" s="1" t="s">
        <v>31</v>
      </c>
      <c r="J2213" s="1">
        <v>128.0</v>
      </c>
      <c r="K2213" s="1">
        <v>2014.0</v>
      </c>
      <c r="L2213" s="1">
        <v>2014.0</v>
      </c>
      <c r="M2213" s="1"/>
      <c r="N2213" s="1"/>
      <c r="O2213" s="1"/>
      <c r="P2213" s="1"/>
      <c r="Q2213" s="1"/>
      <c r="R2213" s="1"/>
      <c r="S2213" s="1"/>
      <c r="T2213" s="1"/>
      <c r="U2213" s="1"/>
      <c r="V2213" s="1"/>
      <c r="W2213" s="1"/>
      <c r="X2213" s="1" t="s">
        <v>291</v>
      </c>
      <c r="Y2213" s="1" t="s">
        <v>8596</v>
      </c>
    </row>
    <row r="2214">
      <c r="A2214" s="1">
        <v>2689335.0</v>
      </c>
      <c r="B2214" s="1" t="s">
        <v>8597</v>
      </c>
      <c r="C2214" s="1" t="s">
        <v>474</v>
      </c>
      <c r="D2214" s="1" t="s">
        <v>475</v>
      </c>
      <c r="E2214" s="1" t="s">
        <v>7412</v>
      </c>
      <c r="F2214" s="2" t="str">
        <f>"0375837337"</f>
        <v>0375837337</v>
      </c>
      <c r="G2214" s="2" t="str">
        <f>"9780375837333"</f>
        <v>9780375837333</v>
      </c>
      <c r="H2214" s="1" t="s">
        <v>156</v>
      </c>
      <c r="I2214" s="1" t="s">
        <v>31</v>
      </c>
      <c r="J2214" s="1">
        <v>128.0</v>
      </c>
      <c r="K2214" s="1">
        <v>2008.0</v>
      </c>
      <c r="L2214" s="1">
        <v>2008.0</v>
      </c>
      <c r="M2214" s="1"/>
      <c r="N2214" s="1"/>
      <c r="O2214" s="1"/>
      <c r="P2214" s="1"/>
      <c r="Q2214" s="1"/>
      <c r="R2214" s="1"/>
      <c r="S2214" s="1"/>
      <c r="T2214" s="1"/>
      <c r="U2214" s="1"/>
      <c r="V2214" s="1"/>
      <c r="W2214" s="1"/>
      <c r="X2214" s="1" t="s">
        <v>291</v>
      </c>
      <c r="Y2214" s="1" t="s">
        <v>8598</v>
      </c>
    </row>
    <row r="2215">
      <c r="A2215" s="1">
        <v>1.611359E7</v>
      </c>
      <c r="B2215" s="1" t="s">
        <v>8599</v>
      </c>
      <c r="C2215" s="1" t="s">
        <v>474</v>
      </c>
      <c r="D2215" s="1" t="s">
        <v>475</v>
      </c>
      <c r="E2215" s="1" t="s">
        <v>8389</v>
      </c>
      <c r="F2215" s="2" t="str">
        <f>"0307980464"</f>
        <v>0307980464</v>
      </c>
      <c r="G2215" s="2" t="str">
        <f>"9780307980465"</f>
        <v>9780307980465</v>
      </c>
      <c r="H2215" s="1" t="s">
        <v>156</v>
      </c>
      <c r="I2215" s="1" t="s">
        <v>91</v>
      </c>
      <c r="J2215" s="1">
        <v>128.0</v>
      </c>
      <c r="K2215" s="1">
        <v>2013.0</v>
      </c>
      <c r="L2215" s="1">
        <v>2013.0</v>
      </c>
    </row>
    <row r="2216">
      <c r="A2216" s="1">
        <v>532634.0</v>
      </c>
      <c r="B2216" s="1" t="s">
        <v>8600</v>
      </c>
      <c r="C2216" s="1" t="s">
        <v>546</v>
      </c>
      <c r="D2216" s="1" t="s">
        <v>547</v>
      </c>
      <c r="E2216" s="1" t="s">
        <v>8309</v>
      </c>
      <c r="F2216" s="2" t="str">
        <f>"0590307223"</f>
        <v>0590307223</v>
      </c>
      <c r="G2216" s="2" t="str">
        <f>"9780590307222"</f>
        <v>9780590307222</v>
      </c>
      <c r="H2216" s="1" t="s">
        <v>50</v>
      </c>
      <c r="I2216" s="1" t="s">
        <v>36</v>
      </c>
      <c r="J2216" s="1">
        <v>128.0</v>
      </c>
      <c r="K2216" s="1">
        <v>2000.0</v>
      </c>
      <c r="L2216" s="1">
        <v>2000.0</v>
      </c>
      <c r="M2216" s="1"/>
      <c r="N2216" s="1"/>
      <c r="O2216" s="1"/>
      <c r="P2216" s="1"/>
      <c r="Q2216" s="1"/>
      <c r="R2216" s="1"/>
      <c r="S2216" s="1"/>
      <c r="T2216" s="1"/>
      <c r="U2216" s="1"/>
      <c r="V2216" s="1"/>
      <c r="W2216" s="1"/>
      <c r="X2216" s="1" t="s">
        <v>1397</v>
      </c>
      <c r="Y2216" s="1" t="s">
        <v>8601</v>
      </c>
    </row>
    <row r="2217">
      <c r="A2217" s="1">
        <v>3.2956164E7</v>
      </c>
      <c r="B2217" s="1" t="s">
        <v>8602</v>
      </c>
      <c r="C2217" s="1" t="s">
        <v>8603</v>
      </c>
      <c r="D2217" s="1" t="s">
        <v>8604</v>
      </c>
      <c r="E2217" s="1" t="s">
        <v>8605</v>
      </c>
      <c r="F2217" s="2" t="str">
        <f>"0545702534"</f>
        <v>0545702534</v>
      </c>
      <c r="G2217" s="2" t="str">
        <f>"9780545702539"</f>
        <v>9780545702539</v>
      </c>
      <c r="H2217" s="1" t="s">
        <v>857</v>
      </c>
      <c r="I2217" s="1" t="s">
        <v>31</v>
      </c>
      <c r="J2217" s="1">
        <v>128.0</v>
      </c>
      <c r="K2217" s="1">
        <v>2018.0</v>
      </c>
      <c r="M2217" s="1"/>
      <c r="N2217" s="1"/>
      <c r="O2217" s="1"/>
      <c r="P2217" s="1"/>
      <c r="Q2217" s="1"/>
      <c r="R2217" s="1"/>
      <c r="S2217" s="1"/>
      <c r="T2217" s="1"/>
      <c r="U2217" s="1"/>
      <c r="V2217" s="1"/>
      <c r="W2217" s="1"/>
      <c r="X2217" s="1" t="s">
        <v>742</v>
      </c>
      <c r="Y2217" s="1" t="s">
        <v>8606</v>
      </c>
    </row>
    <row r="2218">
      <c r="A2218" s="1">
        <v>673493.0</v>
      </c>
      <c r="B2218" s="1" t="s">
        <v>8607</v>
      </c>
      <c r="C2218" s="1" t="s">
        <v>7310</v>
      </c>
      <c r="D2218" s="1" t="s">
        <v>7311</v>
      </c>
      <c r="E2218" s="1" t="s">
        <v>4868</v>
      </c>
      <c r="F2218" s="2" t="str">
        <f t="shared" ref="F2218:G2218" si="137">""</f>
        <v/>
      </c>
      <c r="G2218" s="2" t="str">
        <f t="shared" si="137"/>
        <v/>
      </c>
      <c r="H2218" s="1" t="s">
        <v>8608</v>
      </c>
      <c r="I2218" s="1" t="s">
        <v>36</v>
      </c>
      <c r="J2218" s="1">
        <v>128.0</v>
      </c>
      <c r="K2218" s="1">
        <v>2001.0</v>
      </c>
      <c r="L2218" s="1">
        <v>1991.0</v>
      </c>
      <c r="M2218" s="1"/>
      <c r="N2218" s="1"/>
      <c r="O2218" s="1"/>
      <c r="P2218" s="1"/>
      <c r="Q2218" s="1"/>
      <c r="R2218" s="1"/>
      <c r="S2218" s="1"/>
      <c r="T2218" s="1"/>
      <c r="U2218" s="1"/>
      <c r="V2218" s="1"/>
      <c r="W2218" s="1"/>
      <c r="X2218" s="1" t="s">
        <v>8068</v>
      </c>
      <c r="Y2218" s="1" t="s">
        <v>8609</v>
      </c>
    </row>
    <row r="2219">
      <c r="A2219" s="1">
        <v>5.5977921E7</v>
      </c>
      <c r="B2219" s="1" t="s">
        <v>8610</v>
      </c>
      <c r="C2219" s="1" t="s">
        <v>8611</v>
      </c>
      <c r="D2219" s="1" t="s">
        <v>8612</v>
      </c>
      <c r="E2219" s="1" t="s">
        <v>8613</v>
      </c>
      <c r="F2219" s="2" t="str">
        <f>"133872259X"</f>
        <v>133872259X</v>
      </c>
      <c r="G2219" s="2" t="str">
        <f>"9781338722598"</f>
        <v>9781338722598</v>
      </c>
      <c r="H2219" s="1" t="s">
        <v>640</v>
      </c>
      <c r="I2219" s="1" t="s">
        <v>31</v>
      </c>
      <c r="J2219" s="1">
        <v>128.0</v>
      </c>
      <c r="K2219" s="1">
        <v>2021.0</v>
      </c>
      <c r="L2219" s="1">
        <v>2021.0</v>
      </c>
      <c r="M2219" s="1"/>
      <c r="N2219" s="1"/>
      <c r="O2219" s="1"/>
      <c r="P2219" s="1"/>
      <c r="Q2219" s="1"/>
      <c r="R2219" s="1"/>
      <c r="S2219" s="1"/>
      <c r="T2219" s="1"/>
      <c r="U2219" s="1"/>
      <c r="V2219" s="1"/>
      <c r="W2219" s="1"/>
      <c r="X2219" s="1" t="s">
        <v>8068</v>
      </c>
      <c r="Y2219" s="1" t="s">
        <v>8614</v>
      </c>
    </row>
    <row r="2220">
      <c r="A2220" s="1">
        <v>871145.0</v>
      </c>
      <c r="B2220" s="1" t="s">
        <v>8615</v>
      </c>
      <c r="C2220" s="1" t="s">
        <v>7730</v>
      </c>
      <c r="D2220" s="1" t="s">
        <v>7731</v>
      </c>
      <c r="F2220" s="2" t="str">
        <f>"0553157345"</f>
        <v>0553157345</v>
      </c>
      <c r="G2220" s="2" t="str">
        <f>"9780553157345"</f>
        <v>9780553157345</v>
      </c>
      <c r="H2220" s="1" t="s">
        <v>6845</v>
      </c>
      <c r="I2220" s="1" t="s">
        <v>36</v>
      </c>
      <c r="J2220" s="1">
        <v>128.0</v>
      </c>
      <c r="K2220" s="1">
        <v>1982.0</v>
      </c>
      <c r="L2220" s="1">
        <v>1970.0</v>
      </c>
      <c r="M2220" s="1"/>
      <c r="N2220" s="1"/>
      <c r="O2220" s="1"/>
      <c r="P2220" s="1"/>
      <c r="Q2220" s="1"/>
      <c r="R2220" s="1"/>
      <c r="S2220" s="1"/>
      <c r="T2220" s="1"/>
      <c r="U2220" s="1"/>
      <c r="V2220" s="1"/>
      <c r="W2220" s="1"/>
      <c r="X2220" s="1" t="s">
        <v>45</v>
      </c>
      <c r="Y2220" s="1" t="s">
        <v>8616</v>
      </c>
    </row>
    <row r="2221">
      <c r="A2221" s="1">
        <v>871144.0</v>
      </c>
      <c r="B2221" s="1" t="s">
        <v>8617</v>
      </c>
      <c r="C2221" s="1" t="s">
        <v>7730</v>
      </c>
      <c r="D2221" s="1" t="s">
        <v>7731</v>
      </c>
      <c r="F2221" s="2" t="str">
        <f>"0553157353"</f>
        <v>0553157353</v>
      </c>
      <c r="G2221" s="2" t="str">
        <f>"9780553157352"</f>
        <v>9780553157352</v>
      </c>
      <c r="H2221" s="1" t="s">
        <v>6845</v>
      </c>
      <c r="I2221" s="1" t="s">
        <v>36</v>
      </c>
      <c r="J2221" s="1">
        <v>128.0</v>
      </c>
      <c r="K2221" s="1">
        <v>1982.0</v>
      </c>
      <c r="L2221" s="1">
        <v>1969.0</v>
      </c>
      <c r="M2221" s="1"/>
      <c r="N2221" s="1"/>
      <c r="O2221" s="1"/>
      <c r="P2221" s="1"/>
      <c r="Q2221" s="1"/>
      <c r="R2221" s="1"/>
      <c r="S2221" s="1"/>
      <c r="T2221" s="1"/>
      <c r="U2221" s="1"/>
      <c r="V2221" s="1"/>
      <c r="W2221" s="1"/>
      <c r="X2221" s="1" t="s">
        <v>45</v>
      </c>
      <c r="Y2221" s="1" t="s">
        <v>8618</v>
      </c>
    </row>
    <row r="2222">
      <c r="A2222" s="1">
        <v>5.4776592E7</v>
      </c>
      <c r="B2222" s="1" t="s">
        <v>8619</v>
      </c>
      <c r="C2222" s="1" t="s">
        <v>8620</v>
      </c>
      <c r="D2222" s="1" t="s">
        <v>8621</v>
      </c>
      <c r="F2222" s="2" t="str">
        <f>"1338739964"</f>
        <v>1338739964</v>
      </c>
      <c r="G2222" s="2" t="str">
        <f>"9781338739961"</f>
        <v>9781338739961</v>
      </c>
      <c r="H2222" s="1" t="s">
        <v>640</v>
      </c>
      <c r="I2222" s="1" t="s">
        <v>36</v>
      </c>
      <c r="J2222" s="1">
        <v>128.0</v>
      </c>
      <c r="K2222" s="1">
        <v>2021.0</v>
      </c>
      <c r="M2222" s="1"/>
      <c r="N2222" s="1"/>
      <c r="O2222" s="1"/>
      <c r="P2222" s="1"/>
      <c r="Q2222" s="1"/>
      <c r="R2222" s="1"/>
      <c r="S2222" s="1"/>
      <c r="T2222" s="1"/>
      <c r="U2222" s="1"/>
      <c r="V2222" s="1"/>
      <c r="W2222" s="1"/>
      <c r="X2222" s="1" t="s">
        <v>7609</v>
      </c>
      <c r="Y2222" s="1" t="s">
        <v>8622</v>
      </c>
    </row>
    <row r="2223">
      <c r="A2223" s="1">
        <v>4.4575163E7</v>
      </c>
      <c r="B2223" s="1" t="s">
        <v>8623</v>
      </c>
      <c r="C2223" s="1" t="s">
        <v>8344</v>
      </c>
      <c r="D2223" s="1" t="s">
        <v>8345</v>
      </c>
      <c r="F2223" s="2" t="str">
        <f>"1338587560"</f>
        <v>1338587560</v>
      </c>
      <c r="G2223" s="2" t="str">
        <f>"9781338587562"</f>
        <v>9781338587562</v>
      </c>
      <c r="H2223" s="1" t="s">
        <v>2944</v>
      </c>
      <c r="I2223" s="1" t="s">
        <v>36</v>
      </c>
      <c r="J2223" s="1">
        <v>128.0</v>
      </c>
      <c r="K2223" s="1">
        <v>2020.0</v>
      </c>
      <c r="M2223" s="1"/>
      <c r="N2223" s="1"/>
      <c r="O2223" s="1"/>
      <c r="P2223" s="1"/>
      <c r="Q2223" s="1"/>
      <c r="R2223" s="1"/>
      <c r="S2223" s="1"/>
      <c r="T2223" s="1"/>
      <c r="U2223" s="1"/>
      <c r="V2223" s="1"/>
      <c r="W2223" s="1"/>
      <c r="X2223" s="1" t="s">
        <v>5330</v>
      </c>
      <c r="Y2223" s="1" t="s">
        <v>8624</v>
      </c>
    </row>
    <row r="2224">
      <c r="A2224" s="1">
        <v>9311930.0</v>
      </c>
      <c r="B2224" s="1" t="s">
        <v>8625</v>
      </c>
      <c r="C2224" s="1" t="s">
        <v>8344</v>
      </c>
      <c r="D2224" s="1" t="s">
        <v>8345</v>
      </c>
      <c r="F2224" s="2" t="str">
        <f>"0545103770"</f>
        <v>0545103770</v>
      </c>
      <c r="G2224" s="2" t="str">
        <f>"9780545103770"</f>
        <v>9780545103770</v>
      </c>
      <c r="H2224" s="1" t="s">
        <v>2944</v>
      </c>
      <c r="I2224" s="1" t="s">
        <v>36</v>
      </c>
      <c r="J2224" s="1">
        <v>128.0</v>
      </c>
      <c r="K2224" s="1">
        <v>2011.0</v>
      </c>
      <c r="L2224" s="1">
        <v>2011.0</v>
      </c>
      <c r="M2224" s="1"/>
      <c r="N2224" s="1"/>
      <c r="O2224" s="1"/>
      <c r="P2224" s="1"/>
      <c r="Q2224" s="1"/>
      <c r="R2224" s="1"/>
      <c r="S2224" s="1"/>
      <c r="T2224" s="1"/>
      <c r="U2224" s="1"/>
      <c r="V2224" s="1"/>
      <c r="W2224" s="1"/>
      <c r="X2224" s="1" t="s">
        <v>45</v>
      </c>
      <c r="Y2224" s="1" t="s">
        <v>8626</v>
      </c>
    </row>
    <row r="2225">
      <c r="A2225" s="1">
        <v>5.9228102E7</v>
      </c>
      <c r="B2225" s="1" t="s">
        <v>8627</v>
      </c>
      <c r="C2225" s="1" t="s">
        <v>8124</v>
      </c>
      <c r="D2225" s="1" t="s">
        <v>8125</v>
      </c>
      <c r="F2225" s="2" t="str">
        <f>"1368072135"</f>
        <v>1368072135</v>
      </c>
      <c r="G2225" s="2" t="str">
        <f>"9781368072137"</f>
        <v>9781368072137</v>
      </c>
      <c r="H2225" s="1" t="s">
        <v>5575</v>
      </c>
      <c r="I2225" s="1" t="s">
        <v>31</v>
      </c>
      <c r="J2225" s="1">
        <v>128.0</v>
      </c>
      <c r="K2225" s="1">
        <v>2022.0</v>
      </c>
      <c r="M2225" s="1"/>
      <c r="N2225" s="1"/>
      <c r="O2225" s="1"/>
      <c r="P2225" s="1"/>
      <c r="Q2225" s="1"/>
      <c r="R2225" s="1"/>
      <c r="S2225" s="1"/>
      <c r="T2225" s="1"/>
      <c r="U2225" s="1"/>
      <c r="V2225" s="1"/>
      <c r="W2225" s="1"/>
      <c r="X2225" s="1" t="s">
        <v>291</v>
      </c>
      <c r="Y2225" s="1" t="s">
        <v>8628</v>
      </c>
    </row>
    <row r="2226">
      <c r="A2226" s="1">
        <v>2.2856176E7</v>
      </c>
      <c r="B2226" s="1" t="s">
        <v>8629</v>
      </c>
      <c r="C2226" s="1" t="s">
        <v>8124</v>
      </c>
      <c r="D2226" s="1" t="s">
        <v>8125</v>
      </c>
      <c r="E2226" s="1" t="s">
        <v>8630</v>
      </c>
      <c r="F2226" s="2" t="str">
        <f>"0736481672"</f>
        <v>0736481672</v>
      </c>
      <c r="G2226" s="2" t="str">
        <f>"9780736481670"</f>
        <v>9780736481670</v>
      </c>
      <c r="H2226" s="1" t="s">
        <v>1561</v>
      </c>
      <c r="I2226" s="1" t="s">
        <v>91</v>
      </c>
      <c r="J2226" s="1">
        <v>128.0</v>
      </c>
      <c r="K2226" s="1">
        <v>2015.0</v>
      </c>
      <c r="L2226" s="1">
        <v>2015.0</v>
      </c>
      <c r="M2226" s="1"/>
      <c r="N2226" s="1"/>
      <c r="O2226" s="1"/>
      <c r="P2226" s="1"/>
      <c r="Q2226" s="1"/>
      <c r="R2226" s="1"/>
      <c r="S2226" s="1"/>
      <c r="T2226" s="1"/>
      <c r="U2226" s="1"/>
      <c r="V2226" s="1"/>
      <c r="W2226" s="1"/>
      <c r="X2226" s="1" t="s">
        <v>7111</v>
      </c>
      <c r="Y2226" s="1" t="s">
        <v>8631</v>
      </c>
    </row>
    <row r="2227">
      <c r="A2227" s="1">
        <v>5989154.0</v>
      </c>
      <c r="B2227" s="1" t="s">
        <v>8632</v>
      </c>
      <c r="C2227" s="1" t="s">
        <v>8633</v>
      </c>
      <c r="D2227" s="1" t="s">
        <v>8634</v>
      </c>
      <c r="E2227" s="1" t="s">
        <v>7742</v>
      </c>
      <c r="F2227" s="2" t="str">
        <f>"1416975926"</f>
        <v>1416975926</v>
      </c>
      <c r="G2227" s="2" t="str">
        <f>"9781416975922"</f>
        <v>9781416975922</v>
      </c>
      <c r="H2227" s="1" t="s">
        <v>2496</v>
      </c>
      <c r="I2227" s="1" t="s">
        <v>31</v>
      </c>
      <c r="J2227" s="1">
        <v>128.0</v>
      </c>
      <c r="K2227" s="1">
        <v>2009.0</v>
      </c>
      <c r="L2227" s="1">
        <v>2009.0</v>
      </c>
      <c r="M2227" s="1"/>
      <c r="N2227" s="1"/>
      <c r="O2227" s="1"/>
      <c r="P2227" s="1"/>
      <c r="Q2227" s="1"/>
      <c r="R2227" s="1"/>
      <c r="S2227" s="1"/>
      <c r="T2227" s="1"/>
      <c r="U2227" s="1"/>
      <c r="V2227" s="1"/>
      <c r="W2227" s="1"/>
      <c r="X2227" s="1" t="s">
        <v>7614</v>
      </c>
      <c r="Y2227" s="1" t="s">
        <v>8635</v>
      </c>
    </row>
    <row r="2228">
      <c r="A2228" s="1">
        <v>70487.0</v>
      </c>
      <c r="B2228" s="1" t="s">
        <v>8636</v>
      </c>
      <c r="C2228" s="1" t="s">
        <v>8637</v>
      </c>
      <c r="D2228" s="1" t="s">
        <v>8638</v>
      </c>
      <c r="F2228" s="2" t="str">
        <f>"1417642165"</f>
        <v>1417642165</v>
      </c>
      <c r="G2228" s="2" t="str">
        <f>"9781417642168"</f>
        <v>9781417642168</v>
      </c>
      <c r="H2228" s="1" t="s">
        <v>2319</v>
      </c>
      <c r="I2228" s="1" t="s">
        <v>91</v>
      </c>
      <c r="J2228" s="1">
        <v>128.0</v>
      </c>
      <c r="K2228" s="1">
        <v>1992.0</v>
      </c>
      <c r="L2228" s="1">
        <v>1992.0</v>
      </c>
      <c r="M2228" s="1"/>
      <c r="N2228" s="1"/>
      <c r="O2228" s="1"/>
      <c r="P2228" s="1"/>
      <c r="Q2228" s="1"/>
      <c r="R2228" s="1"/>
      <c r="S2228" s="1"/>
      <c r="T2228" s="1"/>
      <c r="U2228" s="1"/>
      <c r="V2228" s="1"/>
      <c r="W2228" s="1"/>
      <c r="X2228" s="1" t="s">
        <v>452</v>
      </c>
      <c r="Y2228" s="1" t="s">
        <v>8639</v>
      </c>
    </row>
    <row r="2229">
      <c r="A2229" s="1">
        <v>7080363.0</v>
      </c>
      <c r="B2229" s="1" t="s">
        <v>8640</v>
      </c>
      <c r="C2229" s="1" t="s">
        <v>8017</v>
      </c>
      <c r="D2229" s="1" t="s">
        <v>8018</v>
      </c>
      <c r="F2229" s="2" t="str">
        <f>"1847150624"</f>
        <v>1847150624</v>
      </c>
      <c r="G2229" s="2" t="str">
        <f>"9781847150622"</f>
        <v>9781847150622</v>
      </c>
      <c r="H2229" s="1" t="s">
        <v>8641</v>
      </c>
      <c r="I2229" s="1" t="s">
        <v>36</v>
      </c>
      <c r="J2229" s="1">
        <v>128.0</v>
      </c>
      <c r="K2229" s="1">
        <v>2008.0</v>
      </c>
      <c r="L2229" s="1">
        <v>2008.0</v>
      </c>
      <c r="M2229" s="1"/>
      <c r="N2229" s="1"/>
      <c r="O2229" s="1"/>
      <c r="P2229" s="1"/>
      <c r="Q2229" s="1"/>
      <c r="R2229" s="1"/>
      <c r="S2229" s="1"/>
      <c r="T2229" s="1"/>
      <c r="U2229" s="1"/>
      <c r="V2229" s="1"/>
      <c r="W2229" s="1"/>
      <c r="X2229" s="1" t="s">
        <v>7111</v>
      </c>
      <c r="Y2229" s="1" t="s">
        <v>8642</v>
      </c>
    </row>
    <row r="2230">
      <c r="A2230" s="1">
        <v>6171669.0</v>
      </c>
      <c r="B2230" s="1" t="s">
        <v>8643</v>
      </c>
      <c r="C2230" s="1" t="s">
        <v>8017</v>
      </c>
      <c r="D2230" s="1" t="s">
        <v>8018</v>
      </c>
      <c r="F2230" s="2" t="str">
        <f>"1847150799"</f>
        <v>1847150799</v>
      </c>
      <c r="G2230" s="2" t="str">
        <f>"9781847150790"</f>
        <v>9781847150790</v>
      </c>
      <c r="H2230" s="1" t="s">
        <v>8641</v>
      </c>
      <c r="I2230" s="1" t="s">
        <v>36</v>
      </c>
      <c r="J2230" s="1">
        <v>128.0</v>
      </c>
      <c r="K2230" s="1">
        <v>2009.0</v>
      </c>
      <c r="L2230" s="1">
        <v>2009.0</v>
      </c>
      <c r="M2230" s="1"/>
      <c r="N2230" s="1"/>
      <c r="O2230" s="1"/>
      <c r="P2230" s="1"/>
      <c r="Q2230" s="1"/>
      <c r="R2230" s="1"/>
      <c r="S2230" s="1"/>
      <c r="T2230" s="1"/>
      <c r="U2230" s="1"/>
      <c r="V2230" s="1"/>
      <c r="W2230" s="1"/>
      <c r="X2230" s="1" t="s">
        <v>7111</v>
      </c>
      <c r="Y2230" s="1" t="s">
        <v>8644</v>
      </c>
    </row>
    <row r="2231">
      <c r="A2231" s="1">
        <v>4.0539052E7</v>
      </c>
      <c r="B2231" s="1" t="s">
        <v>8645</v>
      </c>
      <c r="C2231" s="1" t="s">
        <v>8646</v>
      </c>
      <c r="D2231" s="1" t="s">
        <v>8647</v>
      </c>
      <c r="E2231" s="1" t="s">
        <v>8648</v>
      </c>
      <c r="F2231" s="2" t="str">
        <f>"1534432701"</f>
        <v>1534432701</v>
      </c>
      <c r="G2231" s="2" t="str">
        <f>"9781534432703"</f>
        <v>9781534432703</v>
      </c>
      <c r="H2231" s="1" t="s">
        <v>1234</v>
      </c>
      <c r="I2231" s="1" t="s">
        <v>31</v>
      </c>
      <c r="J2231" s="1">
        <v>128.0</v>
      </c>
      <c r="K2231" s="1">
        <v>2018.0</v>
      </c>
      <c r="L2231" s="1">
        <v>2018.0</v>
      </c>
      <c r="M2231" s="1"/>
      <c r="N2231" s="1"/>
      <c r="O2231" s="1"/>
      <c r="P2231" s="1"/>
      <c r="Q2231" s="1"/>
      <c r="R2231" s="1"/>
      <c r="S2231" s="1"/>
      <c r="T2231" s="1"/>
      <c r="U2231" s="1"/>
      <c r="V2231" s="1"/>
      <c r="W2231" s="1"/>
      <c r="X2231" s="1" t="s">
        <v>7354</v>
      </c>
      <c r="Y2231" s="1" t="s">
        <v>8649</v>
      </c>
    </row>
    <row r="2232">
      <c r="A2232" s="1">
        <v>4.0539057E7</v>
      </c>
      <c r="B2232" s="1" t="s">
        <v>8650</v>
      </c>
      <c r="C2232" s="1" t="s">
        <v>8646</v>
      </c>
      <c r="D2232" s="1" t="s">
        <v>8647</v>
      </c>
      <c r="E2232" s="1" t="s">
        <v>8648</v>
      </c>
      <c r="F2232" s="2" t="str">
        <f>"1534432736"</f>
        <v>1534432736</v>
      </c>
      <c r="G2232" s="2" t="str">
        <f>"9781534432734"</f>
        <v>9781534432734</v>
      </c>
      <c r="H2232" s="1" t="s">
        <v>1234</v>
      </c>
      <c r="I2232" s="1" t="s">
        <v>31</v>
      </c>
      <c r="J2232" s="1">
        <v>128.0</v>
      </c>
      <c r="K2232" s="1">
        <v>2018.0</v>
      </c>
      <c r="M2232" s="1"/>
      <c r="N2232" s="1"/>
      <c r="O2232" s="1"/>
      <c r="P2232" s="1"/>
      <c r="Q2232" s="1"/>
      <c r="R2232" s="1"/>
      <c r="S2232" s="1"/>
      <c r="T2232" s="1"/>
      <c r="U2232" s="1"/>
      <c r="V2232" s="1"/>
      <c r="W2232" s="1"/>
      <c r="X2232" s="1" t="s">
        <v>7354</v>
      </c>
      <c r="Y2232" s="1" t="s">
        <v>8651</v>
      </c>
    </row>
    <row r="2233">
      <c r="A2233" s="1">
        <v>1.8114217E7</v>
      </c>
      <c r="B2233" s="1" t="s">
        <v>8652</v>
      </c>
      <c r="C2233" s="1" t="s">
        <v>7544</v>
      </c>
      <c r="D2233" s="1" t="s">
        <v>7545</v>
      </c>
      <c r="E2233" s="1" t="s">
        <v>7546</v>
      </c>
      <c r="F2233" s="2" t="str">
        <f>"0448479974"</f>
        <v>0448479974</v>
      </c>
      <c r="G2233" s="2" t="str">
        <f>"9780448479972"</f>
        <v>9780448479972</v>
      </c>
      <c r="H2233" s="1" t="s">
        <v>7281</v>
      </c>
      <c r="I2233" s="1" t="s">
        <v>36</v>
      </c>
      <c r="J2233" s="1">
        <v>128.0</v>
      </c>
      <c r="K2233" s="1">
        <v>2014.0</v>
      </c>
      <c r="L2233" s="1">
        <v>2014.0</v>
      </c>
      <c r="M2233" s="1"/>
      <c r="N2233" s="1"/>
      <c r="O2233" s="1"/>
      <c r="P2233" s="1"/>
      <c r="Q2233" s="1"/>
      <c r="R2233" s="1"/>
      <c r="S2233" s="1"/>
      <c r="T2233" s="1"/>
      <c r="U2233" s="1"/>
      <c r="V2233" s="1"/>
      <c r="W2233" s="1"/>
      <c r="X2233" s="1" t="s">
        <v>291</v>
      </c>
      <c r="Y2233" s="1" t="s">
        <v>8653</v>
      </c>
    </row>
    <row r="2234">
      <c r="A2234" s="1">
        <v>2.0893416E7</v>
      </c>
      <c r="B2234" s="1" t="s">
        <v>8654</v>
      </c>
      <c r="C2234" s="1" t="s">
        <v>7544</v>
      </c>
      <c r="D2234" s="1" t="s">
        <v>7545</v>
      </c>
      <c r="E2234" s="1" t="s">
        <v>7546</v>
      </c>
      <c r="F2234" s="2" t="str">
        <f>"0448481529"</f>
        <v>0448481529</v>
      </c>
      <c r="G2234" s="2" t="str">
        <f>"9780448481524"</f>
        <v>9780448481524</v>
      </c>
      <c r="H2234" s="1" t="s">
        <v>7281</v>
      </c>
      <c r="I2234" s="1" t="s">
        <v>36</v>
      </c>
      <c r="J2234" s="1">
        <v>128.0</v>
      </c>
      <c r="K2234" s="1">
        <v>2014.0</v>
      </c>
      <c r="L2234" s="1">
        <v>2014.0</v>
      </c>
      <c r="M2234" s="1"/>
      <c r="N2234" s="1"/>
      <c r="O2234" s="1"/>
      <c r="P2234" s="1"/>
      <c r="Q2234" s="1"/>
      <c r="R2234" s="1"/>
      <c r="S2234" s="1"/>
      <c r="T2234" s="1"/>
      <c r="U2234" s="1"/>
      <c r="V2234" s="1"/>
      <c r="W2234" s="1"/>
      <c r="X2234" s="1" t="s">
        <v>291</v>
      </c>
      <c r="Y2234" s="1" t="s">
        <v>8655</v>
      </c>
    </row>
    <row r="2235">
      <c r="A2235" s="1">
        <v>2.3866336E7</v>
      </c>
      <c r="B2235" s="1" t="s">
        <v>8656</v>
      </c>
      <c r="C2235" s="1" t="s">
        <v>905</v>
      </c>
      <c r="D2235" s="1" t="s">
        <v>906</v>
      </c>
      <c r="E2235" s="1" t="s">
        <v>1753</v>
      </c>
      <c r="F2235" s="2" t="str">
        <f>"0062269682"</f>
        <v>0062269682</v>
      </c>
      <c r="G2235" s="2" t="str">
        <f>"9780062269683"</f>
        <v>9780062269683</v>
      </c>
      <c r="H2235" s="1" t="s">
        <v>290</v>
      </c>
      <c r="I2235" s="1" t="s">
        <v>238</v>
      </c>
      <c r="J2235" s="1">
        <v>129.0</v>
      </c>
      <c r="K2235" s="1">
        <v>2015.0</v>
      </c>
      <c r="L2235" s="1">
        <v>2015.0</v>
      </c>
      <c r="M2235" s="1"/>
      <c r="N2235" s="1"/>
      <c r="O2235" s="1"/>
      <c r="P2235" s="1"/>
      <c r="Q2235" s="1"/>
      <c r="R2235" s="1"/>
      <c r="S2235" s="1"/>
      <c r="T2235" s="1"/>
      <c r="U2235" s="1"/>
      <c r="V2235" s="1"/>
      <c r="W2235" s="1"/>
      <c r="X2235" s="1" t="s">
        <v>1397</v>
      </c>
      <c r="Y2235" s="1" t="s">
        <v>8657</v>
      </c>
    </row>
    <row r="2236">
      <c r="A2236" s="1">
        <v>2.5430275E7</v>
      </c>
      <c r="B2236" s="1" t="s">
        <v>8658</v>
      </c>
      <c r="C2236" s="1" t="s">
        <v>4190</v>
      </c>
      <c r="D2236" s="1" t="s">
        <v>4191</v>
      </c>
      <c r="E2236" s="1" t="s">
        <v>4646</v>
      </c>
      <c r="F2236" s="2" t="str">
        <f>"0553521934"</f>
        <v>0553521934</v>
      </c>
      <c r="G2236" s="2" t="str">
        <f>"9780553521931"</f>
        <v>9780553521931</v>
      </c>
      <c r="H2236" s="1" t="s">
        <v>156</v>
      </c>
      <c r="I2236" s="1" t="s">
        <v>238</v>
      </c>
      <c r="J2236" s="1">
        <v>130.0</v>
      </c>
      <c r="K2236" s="1">
        <v>2016.0</v>
      </c>
      <c r="L2236" s="1">
        <v>2016.0</v>
      </c>
      <c r="M2236" s="1"/>
      <c r="N2236" s="1"/>
      <c r="O2236" s="1"/>
      <c r="P2236" s="1"/>
      <c r="Q2236" s="1"/>
      <c r="R2236" s="1"/>
      <c r="S2236" s="1"/>
      <c r="T2236" s="1"/>
      <c r="U2236" s="1"/>
      <c r="V2236" s="1"/>
      <c r="W2236" s="1"/>
      <c r="X2236" s="1" t="s">
        <v>1397</v>
      </c>
      <c r="Y2236" s="1" t="s">
        <v>8659</v>
      </c>
    </row>
    <row r="2237">
      <c r="A2237" s="1">
        <v>2.6067179E7</v>
      </c>
      <c r="B2237" s="1" t="s">
        <v>8660</v>
      </c>
      <c r="C2237" s="1" t="s">
        <v>4190</v>
      </c>
      <c r="D2237" s="1" t="s">
        <v>4191</v>
      </c>
      <c r="E2237" s="1" t="s">
        <v>4646</v>
      </c>
      <c r="F2237" s="2" t="str">
        <f>"0553521969"</f>
        <v>0553521969</v>
      </c>
      <c r="G2237" s="2" t="str">
        <f>"9780553521962"</f>
        <v>9780553521962</v>
      </c>
      <c r="H2237" s="1" t="s">
        <v>156</v>
      </c>
      <c r="I2237" s="1" t="s">
        <v>238</v>
      </c>
      <c r="J2237" s="1">
        <v>130.0</v>
      </c>
      <c r="K2237" s="1">
        <v>2016.0</v>
      </c>
      <c r="L2237" s="1">
        <v>2016.0</v>
      </c>
      <c r="M2237" s="1"/>
      <c r="N2237" s="1"/>
      <c r="O2237" s="1"/>
      <c r="P2237" s="1"/>
      <c r="Q2237" s="1"/>
      <c r="R2237" s="1"/>
      <c r="S2237" s="1"/>
      <c r="T2237" s="1"/>
      <c r="U2237" s="1"/>
      <c r="V2237" s="1"/>
      <c r="W2237" s="1"/>
      <c r="X2237" s="1" t="s">
        <v>1397</v>
      </c>
      <c r="Y2237" s="1" t="s">
        <v>8661</v>
      </c>
    </row>
    <row r="2238">
      <c r="A2238" s="1">
        <v>4.4575167E7</v>
      </c>
      <c r="B2238" s="1" t="s">
        <v>8662</v>
      </c>
      <c r="C2238" s="1" t="s">
        <v>8370</v>
      </c>
      <c r="D2238" s="1" t="s">
        <v>8371</v>
      </c>
      <c r="F2238" s="2" t="str">
        <f>"1338355732"</f>
        <v>1338355732</v>
      </c>
      <c r="G2238" s="2" t="str">
        <f>"9781338355734"</f>
        <v>9781338355734</v>
      </c>
      <c r="H2238" s="1" t="s">
        <v>2944</v>
      </c>
      <c r="I2238" s="1" t="s">
        <v>36</v>
      </c>
      <c r="J2238" s="1">
        <v>130.0</v>
      </c>
      <c r="K2238" s="1">
        <v>2020.0</v>
      </c>
      <c r="L2238" s="1">
        <v>2020.0</v>
      </c>
      <c r="M2238" s="1"/>
      <c r="N2238" s="1"/>
      <c r="O2238" s="1"/>
      <c r="P2238" s="1"/>
      <c r="Q2238" s="1"/>
      <c r="R2238" s="1"/>
      <c r="S2238" s="1"/>
      <c r="T2238" s="1"/>
      <c r="U2238" s="1"/>
      <c r="V2238" s="1"/>
      <c r="W2238" s="1"/>
      <c r="X2238" s="1" t="s">
        <v>8068</v>
      </c>
      <c r="Y2238" s="1" t="s">
        <v>8663</v>
      </c>
    </row>
    <row r="2239">
      <c r="A2239" s="1">
        <v>1.8904185E7</v>
      </c>
      <c r="B2239" s="1" t="s">
        <v>8664</v>
      </c>
      <c r="C2239" s="1" t="s">
        <v>8124</v>
      </c>
      <c r="D2239" s="1" t="s">
        <v>8125</v>
      </c>
      <c r="E2239" s="1" t="s">
        <v>8630</v>
      </c>
      <c r="F2239" s="2" t="str">
        <f>"0385754280"</f>
        <v>0385754280</v>
      </c>
      <c r="G2239" s="2" t="str">
        <f>"9780385754286"</f>
        <v>9780385754286</v>
      </c>
      <c r="H2239" s="1" t="s">
        <v>1561</v>
      </c>
      <c r="I2239" s="1" t="s">
        <v>238</v>
      </c>
      <c r="J2239" s="1">
        <v>130.0</v>
      </c>
      <c r="K2239" s="1">
        <v>2013.0</v>
      </c>
      <c r="L2239" s="1">
        <v>2013.0</v>
      </c>
      <c r="M2239" s="1"/>
      <c r="N2239" s="1"/>
      <c r="O2239" s="1"/>
      <c r="P2239" s="1"/>
      <c r="Q2239" s="1"/>
      <c r="R2239" s="1"/>
      <c r="S2239" s="1"/>
      <c r="T2239" s="1"/>
      <c r="U2239" s="1"/>
      <c r="V2239" s="1"/>
      <c r="W2239" s="1"/>
      <c r="X2239" s="1" t="s">
        <v>302</v>
      </c>
      <c r="Y2239" s="1" t="s">
        <v>8665</v>
      </c>
    </row>
    <row r="2240">
      <c r="A2240" s="1">
        <v>3.2292706E7</v>
      </c>
      <c r="B2240" s="1" t="s">
        <v>8666</v>
      </c>
      <c r="C2240" s="1" t="s">
        <v>8667</v>
      </c>
      <c r="D2240" s="1" t="s">
        <v>8668</v>
      </c>
      <c r="F2240" s="2" t="str">
        <f>"0192744380"</f>
        <v>0192744380</v>
      </c>
      <c r="G2240" s="2" t="str">
        <f>"9780192744388"</f>
        <v>9780192744388</v>
      </c>
      <c r="H2240" s="1" t="s">
        <v>3683</v>
      </c>
      <c r="I2240" s="1" t="s">
        <v>238</v>
      </c>
      <c r="J2240" s="1">
        <v>131.0</v>
      </c>
      <c r="K2240" s="1">
        <v>2016.0</v>
      </c>
      <c r="L2240" s="1">
        <v>2016.0</v>
      </c>
      <c r="M2240" s="1"/>
      <c r="N2240" s="1"/>
      <c r="O2240" s="1"/>
      <c r="P2240" s="1"/>
      <c r="Q2240" s="1"/>
      <c r="R2240" s="1"/>
      <c r="S2240" s="1"/>
      <c r="T2240" s="1"/>
      <c r="U2240" s="1"/>
      <c r="V2240" s="1"/>
      <c r="W2240" s="1"/>
      <c r="X2240" s="1" t="s">
        <v>491</v>
      </c>
      <c r="Y2240" s="1" t="s">
        <v>8669</v>
      </c>
    </row>
    <row r="2241">
      <c r="A2241" s="1">
        <v>3.9337078E7</v>
      </c>
      <c r="B2241" s="1" t="s">
        <v>8670</v>
      </c>
      <c r="C2241" s="1" t="s">
        <v>8671</v>
      </c>
      <c r="D2241" s="1" t="s">
        <v>8672</v>
      </c>
      <c r="E2241" s="1" t="s">
        <v>8673</v>
      </c>
      <c r="F2241" s="2" t="str">
        <f t="shared" ref="F2241:G2241" si="138">""</f>
        <v/>
      </c>
      <c r="G2241" s="2" t="str">
        <f t="shared" si="138"/>
        <v/>
      </c>
      <c r="H2241" s="1" t="s">
        <v>8674</v>
      </c>
      <c r="I2241" s="1" t="s">
        <v>238</v>
      </c>
      <c r="J2241" s="1">
        <v>132.0</v>
      </c>
      <c r="K2241" s="1">
        <v>2018.0</v>
      </c>
      <c r="L2241" s="1">
        <v>2018.0</v>
      </c>
      <c r="M2241" s="1"/>
      <c r="N2241" s="1"/>
      <c r="O2241" s="1"/>
      <c r="P2241" s="1"/>
      <c r="Q2241" s="1"/>
      <c r="R2241" s="1"/>
      <c r="S2241" s="1"/>
      <c r="T2241" s="1"/>
      <c r="U2241" s="1"/>
      <c r="V2241" s="1"/>
      <c r="W2241" s="1"/>
      <c r="X2241" s="1" t="s">
        <v>2100</v>
      </c>
      <c r="Y2241" s="1" t="s">
        <v>8675</v>
      </c>
    </row>
    <row r="2242">
      <c r="A2242" s="1">
        <v>108981.0</v>
      </c>
      <c r="B2242" s="1" t="s">
        <v>8676</v>
      </c>
      <c r="C2242" s="1" t="s">
        <v>8411</v>
      </c>
      <c r="D2242" s="1" t="s">
        <v>8412</v>
      </c>
      <c r="E2242" s="1" t="s">
        <v>8413</v>
      </c>
      <c r="F2242" s="2" t="str">
        <f>"0811856836"</f>
        <v>0811856836</v>
      </c>
      <c r="G2242" s="2" t="str">
        <f>"9780811856836"</f>
        <v>9780811856836</v>
      </c>
      <c r="H2242" s="1" t="s">
        <v>1593</v>
      </c>
      <c r="I2242" s="1" t="s">
        <v>31</v>
      </c>
      <c r="J2242" s="1">
        <v>132.0</v>
      </c>
      <c r="K2242" s="1">
        <v>2007.0</v>
      </c>
      <c r="L2242" s="1">
        <v>2007.0</v>
      </c>
      <c r="M2242" s="1"/>
      <c r="N2242" s="1"/>
      <c r="O2242" s="1"/>
      <c r="P2242" s="1"/>
      <c r="Q2242" s="1"/>
      <c r="R2242" s="1"/>
      <c r="S2242" s="1"/>
      <c r="T2242" s="1"/>
      <c r="U2242" s="1"/>
      <c r="V2242" s="1"/>
      <c r="W2242" s="1"/>
      <c r="X2242" s="1" t="s">
        <v>250</v>
      </c>
      <c r="Y2242" s="1" t="s">
        <v>8677</v>
      </c>
    </row>
    <row r="2243">
      <c r="A2243" s="1">
        <v>106126.0</v>
      </c>
      <c r="B2243" s="1" t="s">
        <v>8678</v>
      </c>
      <c r="C2243" s="1" t="s">
        <v>8679</v>
      </c>
      <c r="D2243" s="1" t="s">
        <v>8680</v>
      </c>
      <c r="F2243" s="2" t="str">
        <f>"0439706394"</f>
        <v>0439706394</v>
      </c>
      <c r="G2243" s="2" t="str">
        <f>"9780439706391"</f>
        <v>9780439706391</v>
      </c>
      <c r="H2243" s="1" t="s">
        <v>817</v>
      </c>
      <c r="I2243" s="1" t="s">
        <v>36</v>
      </c>
      <c r="J2243" s="1">
        <v>132.0</v>
      </c>
      <c r="K2243" s="1">
        <v>2005.0</v>
      </c>
      <c r="L2243" s="1">
        <v>1993.0</v>
      </c>
      <c r="M2243" s="1"/>
      <c r="N2243" s="1"/>
      <c r="O2243" s="1"/>
      <c r="P2243" s="1"/>
      <c r="Q2243" s="1"/>
      <c r="R2243" s="1"/>
      <c r="S2243" s="1"/>
      <c r="T2243" s="1"/>
      <c r="U2243" s="1"/>
      <c r="V2243" s="1"/>
      <c r="W2243" s="1"/>
      <c r="X2243" s="1" t="s">
        <v>96</v>
      </c>
      <c r="Y2243" s="1" t="s">
        <v>8681</v>
      </c>
    </row>
    <row r="2244">
      <c r="A2244" s="1">
        <v>125533.0</v>
      </c>
      <c r="B2244" s="1" t="s">
        <v>8682</v>
      </c>
      <c r="C2244" s="1" t="s">
        <v>8370</v>
      </c>
      <c r="D2244" s="1" t="s">
        <v>8371</v>
      </c>
      <c r="F2244" s="2" t="str">
        <f>"0439774756"</f>
        <v>0439774756</v>
      </c>
      <c r="G2244" s="2" t="str">
        <f>"9780439774758"</f>
        <v>9780439774758</v>
      </c>
      <c r="H2244" s="1" t="s">
        <v>817</v>
      </c>
      <c r="I2244" s="1" t="s">
        <v>36</v>
      </c>
      <c r="J2244" s="1">
        <v>132.0</v>
      </c>
      <c r="K2244" s="1">
        <v>2005.0</v>
      </c>
      <c r="L2244" s="1">
        <v>1997.0</v>
      </c>
      <c r="M2244" s="1"/>
      <c r="N2244" s="1"/>
      <c r="O2244" s="1"/>
      <c r="P2244" s="1"/>
      <c r="Q2244" s="1"/>
      <c r="R2244" s="1"/>
      <c r="S2244" s="1"/>
      <c r="T2244" s="1"/>
      <c r="U2244" s="1"/>
      <c r="V2244" s="1"/>
      <c r="W2244" s="1"/>
      <c r="X2244" s="1" t="s">
        <v>8068</v>
      </c>
      <c r="Y2244" s="1" t="s">
        <v>8683</v>
      </c>
    </row>
    <row r="2245">
      <c r="A2245" s="1">
        <v>3883724.0</v>
      </c>
      <c r="B2245" s="1" t="s">
        <v>8684</v>
      </c>
      <c r="C2245" s="1" t="s">
        <v>8459</v>
      </c>
      <c r="D2245" s="1" t="s">
        <v>8460</v>
      </c>
      <c r="F2245" s="2" t="str">
        <f>"0439854830"</f>
        <v>0439854830</v>
      </c>
      <c r="G2245" s="2" t="str">
        <f>"9780439854832"</f>
        <v>9780439854832</v>
      </c>
      <c r="H2245" s="1" t="s">
        <v>50</v>
      </c>
      <c r="I2245" s="1" t="s">
        <v>36</v>
      </c>
      <c r="J2245" s="1">
        <v>135.0</v>
      </c>
      <c r="K2245" s="1">
        <v>2006.0</v>
      </c>
      <c r="L2245" s="1">
        <v>2006.0</v>
      </c>
      <c r="M2245" s="1"/>
      <c r="N2245" s="1"/>
      <c r="O2245" s="1"/>
      <c r="P2245" s="1"/>
      <c r="Q2245" s="1"/>
      <c r="R2245" s="1"/>
      <c r="S2245" s="1"/>
      <c r="T2245" s="1"/>
      <c r="U2245" s="1"/>
      <c r="V2245" s="1"/>
      <c r="W2245" s="1"/>
      <c r="X2245" s="1" t="s">
        <v>96</v>
      </c>
      <c r="Y2245" s="1" t="s">
        <v>8685</v>
      </c>
    </row>
    <row r="2246">
      <c r="A2246" s="1">
        <v>3.3776356E7</v>
      </c>
      <c r="B2246" s="1" t="s">
        <v>8686</v>
      </c>
      <c r="C2246" s="1" t="s">
        <v>8687</v>
      </c>
      <c r="D2246" s="1" t="s">
        <v>8688</v>
      </c>
      <c r="F2246" s="2" t="str">
        <f>"1684030188"</f>
        <v>1684030188</v>
      </c>
      <c r="G2246" s="2" t="str">
        <f>"9781684030187"</f>
        <v>9781684030187</v>
      </c>
      <c r="H2246" s="1" t="s">
        <v>8689</v>
      </c>
      <c r="I2246" s="1" t="s">
        <v>36</v>
      </c>
      <c r="J2246" s="1">
        <v>136.0</v>
      </c>
      <c r="K2246" s="1">
        <v>2017.0</v>
      </c>
      <c r="L2246" s="1">
        <v>2010.0</v>
      </c>
      <c r="M2246" s="1"/>
      <c r="N2246" s="1"/>
      <c r="O2246" s="1"/>
      <c r="P2246" s="1"/>
      <c r="Q2246" s="1"/>
      <c r="R2246" s="1"/>
      <c r="S2246" s="1"/>
      <c r="T2246" s="1"/>
      <c r="U2246" s="1"/>
      <c r="V2246" s="1"/>
      <c r="W2246" s="1"/>
      <c r="X2246" s="1" t="s">
        <v>1024</v>
      </c>
      <c r="Y2246" s="1" t="s">
        <v>8690</v>
      </c>
    </row>
    <row r="2247">
      <c r="A2247" s="1">
        <v>4.3158423E7</v>
      </c>
      <c r="B2247" s="1" t="s">
        <v>8691</v>
      </c>
      <c r="C2247" s="1" t="s">
        <v>8692</v>
      </c>
      <c r="D2247" s="1" t="s">
        <v>8693</v>
      </c>
      <c r="E2247" s="1" t="s">
        <v>8694</v>
      </c>
      <c r="F2247" s="2" t="str">
        <f>"6076219513"</f>
        <v>6076219513</v>
      </c>
      <c r="G2247" s="2" t="str">
        <f>"9786076219515"</f>
        <v>9786076219515</v>
      </c>
      <c r="H2247" s="1" t="s">
        <v>8695</v>
      </c>
      <c r="I2247" s="1" t="s">
        <v>238</v>
      </c>
      <c r="J2247" s="1">
        <v>136.0</v>
      </c>
      <c r="K2247" s="1">
        <v>2017.0</v>
      </c>
      <c r="M2247" s="1"/>
      <c r="N2247" s="1"/>
      <c r="O2247" s="1"/>
      <c r="P2247" s="1"/>
      <c r="Q2247" s="1"/>
      <c r="R2247" s="1"/>
      <c r="S2247" s="1"/>
      <c r="T2247" s="1"/>
      <c r="U2247" s="1"/>
      <c r="V2247" s="1"/>
      <c r="W2247" s="1"/>
      <c r="X2247" s="1" t="s">
        <v>852</v>
      </c>
      <c r="Y2247" s="1" t="s">
        <v>8696</v>
      </c>
    </row>
    <row r="2248">
      <c r="A2248" s="1">
        <v>5.5099086E7</v>
      </c>
      <c r="B2248" s="1" t="s">
        <v>8697</v>
      </c>
      <c r="C2248" s="1" t="s">
        <v>8698</v>
      </c>
      <c r="D2248" s="1" t="s">
        <v>8699</v>
      </c>
      <c r="E2248" s="1" t="s">
        <v>8700</v>
      </c>
      <c r="F2248" s="2" t="str">
        <f>"8491673342"</f>
        <v>8491673342</v>
      </c>
      <c r="G2248" s="2" t="str">
        <f>"9788491673347"</f>
        <v>9788491673347</v>
      </c>
      <c r="H2248" s="1" t="s">
        <v>8701</v>
      </c>
      <c r="I2248" s="1" t="s">
        <v>36</v>
      </c>
      <c r="J2248" s="1">
        <v>136.0</v>
      </c>
      <c r="K2248" s="1">
        <v>2018.0</v>
      </c>
      <c r="M2248" s="1"/>
      <c r="N2248" s="1"/>
      <c r="O2248" s="1"/>
      <c r="P2248" s="1"/>
      <c r="Q2248" s="1"/>
      <c r="R2248" s="1"/>
      <c r="S2248" s="1"/>
      <c r="T2248" s="1"/>
      <c r="U2248" s="1"/>
      <c r="V2248" s="1"/>
      <c r="W2248" s="1"/>
      <c r="X2248" s="1" t="s">
        <v>8702</v>
      </c>
      <c r="Y2248" s="1" t="s">
        <v>8703</v>
      </c>
    </row>
    <row r="2249">
      <c r="A2249" s="1">
        <v>5.9806023E7</v>
      </c>
      <c r="B2249" s="1" t="s">
        <v>8704</v>
      </c>
      <c r="C2249" s="1" t="s">
        <v>8705</v>
      </c>
      <c r="D2249" s="1" t="s">
        <v>8706</v>
      </c>
      <c r="E2249" s="1" t="s">
        <v>8707</v>
      </c>
      <c r="F2249" s="2" t="str">
        <f>"1338616072"</f>
        <v>1338616072</v>
      </c>
      <c r="G2249" s="2" t="str">
        <f>"9781338616071"</f>
        <v>9781338616071</v>
      </c>
      <c r="H2249" s="1" t="s">
        <v>640</v>
      </c>
      <c r="I2249" s="1" t="s">
        <v>36</v>
      </c>
      <c r="J2249" s="1">
        <v>138.0</v>
      </c>
      <c r="K2249" s="1">
        <v>2022.0</v>
      </c>
      <c r="L2249" s="1">
        <v>2022.0</v>
      </c>
      <c r="M2249" s="1"/>
      <c r="N2249" s="1"/>
      <c r="O2249" s="1"/>
      <c r="P2249" s="1"/>
      <c r="Q2249" s="1"/>
      <c r="R2249" s="1"/>
      <c r="S2249" s="1"/>
      <c r="T2249" s="1"/>
      <c r="U2249" s="1"/>
      <c r="V2249" s="1"/>
      <c r="W2249" s="1"/>
      <c r="X2249" s="1" t="s">
        <v>1024</v>
      </c>
      <c r="Y2249" s="1" t="s">
        <v>8708</v>
      </c>
    </row>
    <row r="2250">
      <c r="A2250" s="1">
        <v>106134.0</v>
      </c>
      <c r="B2250" s="1" t="s">
        <v>8709</v>
      </c>
      <c r="C2250" s="1" t="s">
        <v>8679</v>
      </c>
      <c r="D2250" s="1" t="s">
        <v>8680</v>
      </c>
      <c r="F2250" s="2" t="str">
        <f>"0439706408"</f>
        <v>0439706408</v>
      </c>
      <c r="G2250" s="2" t="str">
        <f>"9780439706407"</f>
        <v>9780439706407</v>
      </c>
      <c r="H2250" s="1" t="s">
        <v>640</v>
      </c>
      <c r="I2250" s="1" t="s">
        <v>36</v>
      </c>
      <c r="J2250" s="1">
        <v>138.0</v>
      </c>
      <c r="K2250" s="1">
        <v>2005.0</v>
      </c>
      <c r="L2250" s="1">
        <v>1991.0</v>
      </c>
      <c r="M2250" s="1"/>
      <c r="N2250" s="1"/>
      <c r="O2250" s="1"/>
      <c r="P2250" s="1"/>
      <c r="Q2250" s="1"/>
      <c r="R2250" s="1"/>
      <c r="S2250" s="1"/>
      <c r="T2250" s="1"/>
      <c r="U2250" s="1"/>
      <c r="V2250" s="1"/>
      <c r="W2250" s="1"/>
      <c r="X2250" s="1" t="s">
        <v>8710</v>
      </c>
      <c r="Y2250" s="1" t="s">
        <v>8711</v>
      </c>
    </row>
    <row r="2251">
      <c r="A2251" s="1">
        <v>3.121373E7</v>
      </c>
      <c r="B2251" s="1" t="s">
        <v>8712</v>
      </c>
      <c r="C2251" s="1" t="s">
        <v>8370</v>
      </c>
      <c r="D2251" s="1" t="s">
        <v>8371</v>
      </c>
      <c r="F2251" s="2" t="str">
        <f>"1338068288"</f>
        <v>1338068288</v>
      </c>
      <c r="G2251" s="2" t="str">
        <f>"9781338068283"</f>
        <v>9781338068283</v>
      </c>
      <c r="H2251" s="1" t="s">
        <v>2944</v>
      </c>
      <c r="I2251" s="1" t="s">
        <v>36</v>
      </c>
      <c r="J2251" s="1">
        <v>139.0</v>
      </c>
      <c r="K2251" s="1">
        <v>2017.0</v>
      </c>
      <c r="L2251" s="1">
        <v>2017.0</v>
      </c>
      <c r="M2251" s="1"/>
      <c r="N2251" s="1"/>
      <c r="O2251" s="1"/>
      <c r="P2251" s="1"/>
      <c r="Q2251" s="1"/>
      <c r="R2251" s="1"/>
      <c r="S2251" s="1"/>
      <c r="T2251" s="1"/>
      <c r="U2251" s="1"/>
      <c r="V2251" s="1"/>
      <c r="W2251" s="1"/>
      <c r="X2251" s="1" t="s">
        <v>8068</v>
      </c>
      <c r="Y2251" s="1" t="s">
        <v>8713</v>
      </c>
    </row>
    <row r="2252">
      <c r="A2252" s="1">
        <v>5.814609E7</v>
      </c>
      <c r="B2252" s="1" t="s">
        <v>8714</v>
      </c>
      <c r="C2252" s="1" t="s">
        <v>8715</v>
      </c>
      <c r="D2252" s="1" t="s">
        <v>8716</v>
      </c>
      <c r="E2252" s="1" t="s">
        <v>8717</v>
      </c>
      <c r="F2252" s="2" t="str">
        <f>"1642506060"</f>
        <v>1642506060</v>
      </c>
      <c r="G2252" s="2" t="str">
        <f>"9781642506068"</f>
        <v>9781642506068</v>
      </c>
      <c r="H2252" s="1" t="s">
        <v>8718</v>
      </c>
      <c r="I2252" s="1" t="s">
        <v>31</v>
      </c>
      <c r="J2252" s="1">
        <v>142.0</v>
      </c>
      <c r="K2252" s="1">
        <v>2021.0</v>
      </c>
      <c r="M2252" s="1"/>
      <c r="N2252" s="1"/>
      <c r="O2252" s="1"/>
      <c r="P2252" s="1"/>
      <c r="Q2252" s="1"/>
      <c r="R2252" s="1"/>
      <c r="S2252" s="1"/>
      <c r="T2252" s="1"/>
      <c r="U2252" s="1"/>
      <c r="V2252" s="1"/>
      <c r="W2252" s="1"/>
      <c r="X2252" s="1" t="s">
        <v>1024</v>
      </c>
      <c r="Y2252" s="1" t="s">
        <v>8719</v>
      </c>
    </row>
    <row r="2253">
      <c r="A2253" s="1">
        <v>3.8109652E7</v>
      </c>
      <c r="B2253" s="1" t="s">
        <v>8720</v>
      </c>
      <c r="C2253" s="1" t="s">
        <v>1091</v>
      </c>
      <c r="D2253" s="1" t="s">
        <v>1092</v>
      </c>
      <c r="E2253" s="1" t="s">
        <v>8721</v>
      </c>
      <c r="F2253" s="2" t="str">
        <f>"0515158364"</f>
        <v>0515158364</v>
      </c>
      <c r="G2253" s="2" t="str">
        <f>"9780515158366"</f>
        <v>9780515158366</v>
      </c>
      <c r="H2253" s="1" t="s">
        <v>7281</v>
      </c>
      <c r="I2253" s="1" t="s">
        <v>238</v>
      </c>
      <c r="J2253" s="1">
        <v>142.0</v>
      </c>
      <c r="K2253" s="1">
        <v>2018.0</v>
      </c>
      <c r="L2253" s="1">
        <v>2018.0</v>
      </c>
      <c r="M2253" s="1"/>
      <c r="N2253" s="1"/>
      <c r="O2253" s="1"/>
      <c r="P2253" s="1"/>
      <c r="Q2253" s="1"/>
      <c r="R2253" s="1"/>
      <c r="S2253" s="1"/>
      <c r="T2253" s="1"/>
      <c r="U2253" s="1"/>
      <c r="V2253" s="1"/>
      <c r="W2253" s="1"/>
      <c r="X2253" s="1" t="s">
        <v>45</v>
      </c>
      <c r="Y2253" s="1" t="s">
        <v>8722</v>
      </c>
    </row>
    <row r="2254">
      <c r="A2254" s="1">
        <v>4.1473828E7</v>
      </c>
      <c r="B2254" s="1" t="s">
        <v>8723</v>
      </c>
      <c r="C2254" s="1" t="s">
        <v>8370</v>
      </c>
      <c r="D2254" s="1" t="s">
        <v>8371</v>
      </c>
      <c r="F2254" s="2" t="str">
        <f>"1338223054"</f>
        <v>1338223054</v>
      </c>
      <c r="G2254" s="2" t="str">
        <f>"9781338223057"</f>
        <v>9781338223057</v>
      </c>
      <c r="H2254" s="1" t="s">
        <v>2944</v>
      </c>
      <c r="I2254" s="1" t="s">
        <v>36</v>
      </c>
      <c r="J2254" s="1">
        <v>142.0</v>
      </c>
      <c r="K2254" s="1">
        <v>2019.0</v>
      </c>
      <c r="L2254" s="1">
        <v>2019.0</v>
      </c>
      <c r="M2254" s="1"/>
      <c r="N2254" s="1"/>
      <c r="O2254" s="1"/>
      <c r="P2254" s="1"/>
      <c r="Q2254" s="1"/>
      <c r="R2254" s="1"/>
      <c r="S2254" s="1"/>
      <c r="T2254" s="1"/>
      <c r="U2254" s="1"/>
      <c r="V2254" s="1"/>
      <c r="W2254" s="1"/>
      <c r="X2254" s="1" t="s">
        <v>8068</v>
      </c>
      <c r="Y2254" s="1" t="s">
        <v>8724</v>
      </c>
    </row>
    <row r="2255">
      <c r="A2255" s="1">
        <v>5.5782834E7</v>
      </c>
      <c r="B2255" s="1" t="s">
        <v>8725</v>
      </c>
      <c r="C2255" s="1" t="s">
        <v>8726</v>
      </c>
      <c r="D2255" s="1" t="s">
        <v>8727</v>
      </c>
      <c r="E2255" s="1" t="s">
        <v>849</v>
      </c>
      <c r="F2255" s="2" t="str">
        <f>"0736442030"</f>
        <v>0736442030</v>
      </c>
      <c r="G2255" s="2" t="str">
        <f>"9780736442039"</f>
        <v>9780736442039</v>
      </c>
      <c r="H2255" s="1" t="s">
        <v>1561</v>
      </c>
      <c r="I2255" s="1" t="s">
        <v>31</v>
      </c>
      <c r="J2255" s="1">
        <v>144.0</v>
      </c>
      <c r="K2255" s="1">
        <v>2021.0</v>
      </c>
      <c r="L2255" s="1">
        <v>2021.0</v>
      </c>
    </row>
    <row r="2256">
      <c r="A2256" s="1">
        <v>1.35900865E8</v>
      </c>
      <c r="B2256" s="1" t="s">
        <v>8728</v>
      </c>
      <c r="C2256" s="1" t="s">
        <v>8729</v>
      </c>
      <c r="D2256" s="1" t="s">
        <v>8730</v>
      </c>
      <c r="F2256" s="2" t="str">
        <f t="shared" ref="F2256:G2256" si="139">""</f>
        <v/>
      </c>
      <c r="G2256" s="2" t="str">
        <f t="shared" si="139"/>
        <v/>
      </c>
      <c r="H2256" s="1" t="s">
        <v>2319</v>
      </c>
      <c r="I2256" s="1" t="s">
        <v>91</v>
      </c>
      <c r="J2256" s="1">
        <v>144.0</v>
      </c>
      <c r="K2256" s="1">
        <v>2004.0</v>
      </c>
      <c r="M2256" s="1"/>
      <c r="N2256" s="1"/>
      <c r="O2256" s="1"/>
      <c r="P2256" s="1"/>
      <c r="Q2256" s="1"/>
      <c r="R2256" s="1"/>
      <c r="S2256" s="1"/>
      <c r="T2256" s="1"/>
      <c r="U2256" s="1"/>
      <c r="V2256" s="1"/>
      <c r="W2256" s="1"/>
      <c r="X2256" s="1" t="s">
        <v>7614</v>
      </c>
      <c r="Y2256" s="1" t="s">
        <v>8731</v>
      </c>
    </row>
    <row r="2257">
      <c r="A2257" s="1">
        <v>825679.0</v>
      </c>
      <c r="B2257" s="1" t="s">
        <v>8732</v>
      </c>
      <c r="C2257" s="1" t="s">
        <v>8729</v>
      </c>
      <c r="D2257" s="1" t="s">
        <v>8730</v>
      </c>
      <c r="F2257" s="2" t="str">
        <f t="shared" ref="F2257:G2257" si="140">""</f>
        <v/>
      </c>
      <c r="G2257" s="2" t="str">
        <f t="shared" si="140"/>
        <v/>
      </c>
      <c r="H2257" s="1" t="s">
        <v>753</v>
      </c>
      <c r="I2257" s="1" t="s">
        <v>36</v>
      </c>
      <c r="J2257" s="1">
        <v>144.0</v>
      </c>
      <c r="K2257" s="1">
        <v>2005.0</v>
      </c>
      <c r="L2257" s="1">
        <v>2004.0</v>
      </c>
      <c r="M2257" s="1"/>
      <c r="N2257" s="1"/>
      <c r="O2257" s="1"/>
      <c r="P2257" s="1"/>
      <c r="Q2257" s="1"/>
      <c r="R2257" s="1"/>
      <c r="S2257" s="1"/>
      <c r="T2257" s="1"/>
      <c r="U2257" s="1"/>
      <c r="V2257" s="1"/>
      <c r="W2257" s="1"/>
      <c r="X2257" s="1" t="s">
        <v>291</v>
      </c>
      <c r="Y2257" s="1" t="s">
        <v>8733</v>
      </c>
    </row>
    <row r="2258">
      <c r="A2258" s="1">
        <v>6.1853062E7</v>
      </c>
      <c r="B2258" s="1" t="s">
        <v>8734</v>
      </c>
      <c r="C2258" s="1" t="s">
        <v>159</v>
      </c>
      <c r="D2258" s="1" t="s">
        <v>160</v>
      </c>
      <c r="F2258" s="2" t="str">
        <f>"1338851802"</f>
        <v>1338851802</v>
      </c>
      <c r="G2258" s="2" t="str">
        <f>"9781338851809"</f>
        <v>9781338851809</v>
      </c>
      <c r="H2258" s="1" t="s">
        <v>1575</v>
      </c>
      <c r="I2258" s="1" t="s">
        <v>238</v>
      </c>
      <c r="J2258" s="1">
        <v>144.0</v>
      </c>
      <c r="K2258" s="1">
        <v>2022.0</v>
      </c>
      <c r="M2258" s="1"/>
      <c r="N2258" s="1"/>
      <c r="O2258" s="1"/>
      <c r="P2258" s="1"/>
      <c r="Q2258" s="1"/>
      <c r="R2258" s="1"/>
      <c r="S2258" s="1"/>
      <c r="T2258" s="1"/>
      <c r="U2258" s="1"/>
      <c r="V2258" s="1"/>
      <c r="W2258" s="1"/>
      <c r="X2258" s="1" t="s">
        <v>8735</v>
      </c>
      <c r="Y2258" s="1" t="s">
        <v>8736</v>
      </c>
    </row>
    <row r="2259">
      <c r="A2259" s="1">
        <v>3.6127384E7</v>
      </c>
      <c r="B2259" s="1" t="s">
        <v>8737</v>
      </c>
      <c r="C2259" s="1" t="s">
        <v>159</v>
      </c>
      <c r="D2259" s="1" t="s">
        <v>160</v>
      </c>
      <c r="F2259" s="2" t="str">
        <f>"1338138960"</f>
        <v>1338138960</v>
      </c>
      <c r="G2259" s="2" t="str">
        <f>"9781338138962"</f>
        <v>9781338138962</v>
      </c>
      <c r="H2259" s="1" t="s">
        <v>1575</v>
      </c>
      <c r="I2259" s="1" t="s">
        <v>36</v>
      </c>
      <c r="J2259" s="1">
        <v>144.0</v>
      </c>
      <c r="K2259" s="1">
        <v>2017.0</v>
      </c>
      <c r="L2259" s="1">
        <v>2015.0</v>
      </c>
      <c r="M2259" s="1"/>
      <c r="N2259" s="1"/>
      <c r="O2259" s="1"/>
      <c r="P2259" s="1"/>
      <c r="Q2259" s="1"/>
      <c r="R2259" s="1"/>
      <c r="S2259" s="1"/>
      <c r="T2259" s="1"/>
      <c r="U2259" s="1"/>
      <c r="V2259" s="1"/>
      <c r="W2259" s="1"/>
      <c r="X2259" s="1" t="s">
        <v>8738</v>
      </c>
      <c r="Y2259" s="1" t="s">
        <v>8739</v>
      </c>
    </row>
    <row r="2260">
      <c r="A2260" s="1">
        <v>37741.0</v>
      </c>
      <c r="B2260" s="1" t="s">
        <v>8740</v>
      </c>
      <c r="C2260" s="1" t="s">
        <v>2639</v>
      </c>
      <c r="D2260" s="1" t="s">
        <v>2640</v>
      </c>
      <c r="F2260" s="2" t="str">
        <f>"0425193799"</f>
        <v>0425193799</v>
      </c>
      <c r="G2260" s="2" t="str">
        <f>"9780425193792"</f>
        <v>9780425193792</v>
      </c>
      <c r="H2260" s="1" t="s">
        <v>8741</v>
      </c>
      <c r="I2260" s="1" t="s">
        <v>400</v>
      </c>
      <c r="J2260" s="1">
        <v>144.0</v>
      </c>
      <c r="K2260" s="1">
        <v>2004.0</v>
      </c>
      <c r="L2260" s="1">
        <v>1972.0</v>
      </c>
      <c r="M2260" s="1"/>
      <c r="N2260" s="1"/>
      <c r="O2260" s="1"/>
      <c r="P2260" s="1"/>
      <c r="Q2260" s="1"/>
      <c r="R2260" s="1"/>
      <c r="S2260" s="1"/>
      <c r="T2260" s="1"/>
      <c r="U2260" s="1"/>
      <c r="V2260" s="1"/>
      <c r="W2260" s="1"/>
      <c r="X2260" s="1" t="s">
        <v>8742</v>
      </c>
      <c r="Y2260" s="1" t="s">
        <v>8743</v>
      </c>
    </row>
    <row r="2261">
      <c r="A2261" s="1">
        <v>5.0482963E7</v>
      </c>
      <c r="B2261" s="1" t="s">
        <v>8744</v>
      </c>
      <c r="C2261" s="1" t="s">
        <v>1021</v>
      </c>
      <c r="D2261" s="1" t="s">
        <v>1022</v>
      </c>
      <c r="F2261" s="2" t="str">
        <f>"1984813404"</f>
        <v>1984813404</v>
      </c>
      <c r="G2261" s="2" t="str">
        <f>"9781984813404"</f>
        <v>9781984813404</v>
      </c>
      <c r="H2261" s="1" t="s">
        <v>1023</v>
      </c>
      <c r="I2261" s="1" t="s">
        <v>31</v>
      </c>
      <c r="J2261" s="1">
        <v>144.0</v>
      </c>
      <c r="K2261" s="1">
        <v>2021.0</v>
      </c>
      <c r="L2261" s="1">
        <v>1992.0</v>
      </c>
      <c r="M2261" s="1"/>
      <c r="N2261" s="1"/>
      <c r="O2261" s="1"/>
      <c r="P2261" s="1"/>
      <c r="Q2261" s="1"/>
      <c r="R2261" s="1"/>
      <c r="S2261" s="1"/>
      <c r="T2261" s="1"/>
      <c r="U2261" s="1"/>
      <c r="V2261" s="1"/>
      <c r="W2261" s="1"/>
      <c r="X2261" s="1" t="s">
        <v>1024</v>
      </c>
      <c r="Y2261" s="1" t="s">
        <v>8745</v>
      </c>
    </row>
    <row r="2262">
      <c r="A2262" s="1">
        <v>1.2903913E7</v>
      </c>
      <c r="B2262" s="1" t="s">
        <v>8746</v>
      </c>
      <c r="C2262" s="1" t="s">
        <v>8747</v>
      </c>
      <c r="D2262" s="1" t="s">
        <v>8748</v>
      </c>
      <c r="E2262" s="1" t="s">
        <v>8747</v>
      </c>
      <c r="F2262" s="2" t="str">
        <f>"006213227X"</f>
        <v>006213227X</v>
      </c>
      <c r="G2262" s="2" t="str">
        <f>"9780062132277"</f>
        <v>9780062132277</v>
      </c>
      <c r="H2262" s="1" t="s">
        <v>1673</v>
      </c>
      <c r="I2262" s="1" t="s">
        <v>36</v>
      </c>
      <c r="J2262" s="1">
        <v>144.0</v>
      </c>
      <c r="K2262" s="1">
        <v>2012.0</v>
      </c>
      <c r="L2262" s="1">
        <v>2008.0</v>
      </c>
      <c r="M2262" s="1"/>
      <c r="N2262" s="1"/>
      <c r="O2262" s="1"/>
      <c r="P2262" s="1"/>
      <c r="Q2262" s="1"/>
      <c r="R2262" s="1"/>
      <c r="S2262" s="1"/>
      <c r="T2262" s="1"/>
      <c r="U2262" s="1"/>
      <c r="V2262" s="1"/>
      <c r="W2262" s="1"/>
      <c r="X2262" s="1" t="s">
        <v>7781</v>
      </c>
      <c r="Y2262" s="1" t="s">
        <v>8749</v>
      </c>
    </row>
    <row r="2263">
      <c r="A2263" s="1">
        <v>813889.0</v>
      </c>
      <c r="B2263" s="1" t="s">
        <v>8750</v>
      </c>
      <c r="C2263" s="1" t="s">
        <v>8751</v>
      </c>
      <c r="D2263" s="1" t="s">
        <v>8752</v>
      </c>
      <c r="E2263" s="1" t="s">
        <v>2630</v>
      </c>
      <c r="F2263" s="2" t="str">
        <f>"0440419123"</f>
        <v>0440419123</v>
      </c>
      <c r="G2263" s="2" t="str">
        <f>"9780440419129"</f>
        <v>9780440419129</v>
      </c>
      <c r="H2263" s="1" t="s">
        <v>6845</v>
      </c>
      <c r="I2263" s="1" t="s">
        <v>36</v>
      </c>
      <c r="J2263" s="1">
        <v>144.0</v>
      </c>
      <c r="K2263" s="1">
        <v>2006.0</v>
      </c>
      <c r="L2263" s="1">
        <v>2004.0</v>
      </c>
      <c r="M2263" s="1"/>
      <c r="N2263" s="1"/>
      <c r="O2263" s="1"/>
      <c r="P2263" s="1"/>
      <c r="Q2263" s="1"/>
      <c r="R2263" s="1"/>
      <c r="S2263" s="1"/>
      <c r="T2263" s="1"/>
      <c r="U2263" s="1"/>
      <c r="V2263" s="1"/>
      <c r="W2263" s="1"/>
      <c r="X2263" s="1" t="s">
        <v>45</v>
      </c>
      <c r="Y2263" s="1" t="s">
        <v>8753</v>
      </c>
    </row>
    <row r="2264">
      <c r="A2264" s="1">
        <v>5.6980437E7</v>
      </c>
      <c r="B2264" s="1" t="s">
        <v>8754</v>
      </c>
      <c r="C2264" s="1" t="s">
        <v>8755</v>
      </c>
      <c r="D2264" s="1" t="s">
        <v>8756</v>
      </c>
      <c r="E2264" s="1" t="s">
        <v>8757</v>
      </c>
      <c r="F2264" s="2" t="str">
        <f>"1534484876"</f>
        <v>1534484876</v>
      </c>
      <c r="G2264" s="2" t="str">
        <f>"9781534484870"</f>
        <v>9781534484870</v>
      </c>
      <c r="H2264" s="1" t="s">
        <v>1234</v>
      </c>
      <c r="I2264" s="1" t="s">
        <v>36</v>
      </c>
      <c r="J2264" s="1">
        <v>144.0</v>
      </c>
      <c r="K2264" s="1">
        <v>2021.0</v>
      </c>
      <c r="M2264" s="1"/>
      <c r="N2264" s="1"/>
      <c r="O2264" s="1"/>
      <c r="P2264" s="1"/>
      <c r="Q2264" s="1"/>
      <c r="R2264" s="1"/>
      <c r="S2264" s="1"/>
      <c r="T2264" s="1"/>
      <c r="U2264" s="1"/>
      <c r="V2264" s="1"/>
      <c r="W2264" s="1"/>
      <c r="X2264" s="1" t="s">
        <v>8758</v>
      </c>
      <c r="Y2264" s="1" t="s">
        <v>8759</v>
      </c>
    </row>
    <row r="2265">
      <c r="A2265" s="1">
        <v>1.6065572E7</v>
      </c>
      <c r="B2265" s="1" t="s">
        <v>8760</v>
      </c>
      <c r="C2265" s="1" t="s">
        <v>288</v>
      </c>
      <c r="D2265" s="1" t="s">
        <v>289</v>
      </c>
      <c r="E2265" s="1" t="s">
        <v>7742</v>
      </c>
      <c r="F2265" s="2" t="str">
        <f>"0062206818"</f>
        <v>0062206818</v>
      </c>
      <c r="G2265" s="2" t="str">
        <f>"9780062206817"</f>
        <v>9780062206817</v>
      </c>
      <c r="H2265" s="1" t="s">
        <v>290</v>
      </c>
      <c r="I2265" s="1" t="s">
        <v>238</v>
      </c>
      <c r="J2265" s="1">
        <v>144.0</v>
      </c>
      <c r="K2265" s="1">
        <v>2013.0</v>
      </c>
      <c r="L2265" s="1">
        <v>2013.0</v>
      </c>
      <c r="M2265" s="1"/>
      <c r="N2265" s="1"/>
      <c r="O2265" s="1"/>
      <c r="P2265" s="1"/>
      <c r="Q2265" s="1"/>
      <c r="R2265" s="1"/>
      <c r="S2265" s="1"/>
      <c r="T2265" s="1"/>
      <c r="U2265" s="1"/>
      <c r="V2265" s="1"/>
      <c r="W2265" s="1"/>
      <c r="X2265" s="1" t="s">
        <v>8241</v>
      </c>
      <c r="Y2265" s="1" t="s">
        <v>8761</v>
      </c>
    </row>
    <row r="2266">
      <c r="A2266" s="1">
        <v>6.1918748E7</v>
      </c>
      <c r="B2266" s="1" t="s">
        <v>8762</v>
      </c>
      <c r="C2266" s="1" t="s">
        <v>8763</v>
      </c>
      <c r="D2266" s="1" t="s">
        <v>8764</v>
      </c>
      <c r="F2266" s="2" t="str">
        <f>"1368084427"</f>
        <v>1368084427</v>
      </c>
      <c r="G2266" s="2" t="str">
        <f>"9781368084420"</f>
        <v>9781368084420</v>
      </c>
      <c r="H2266" s="1" t="s">
        <v>5575</v>
      </c>
      <c r="I2266" s="1" t="s">
        <v>31</v>
      </c>
      <c r="J2266" s="1">
        <v>144.0</v>
      </c>
      <c r="K2266" s="1">
        <v>2023.0</v>
      </c>
      <c r="L2266" s="1">
        <v>2023.0</v>
      </c>
    </row>
    <row r="2267">
      <c r="A2267" s="1">
        <v>5.9804419E7</v>
      </c>
      <c r="B2267" s="1" t="s">
        <v>8765</v>
      </c>
      <c r="C2267" s="1" t="s">
        <v>8766</v>
      </c>
      <c r="D2267" s="1" t="s">
        <v>8767</v>
      </c>
      <c r="F2267" s="2" t="str">
        <f t="shared" ref="F2267:G2267" si="141">""</f>
        <v/>
      </c>
      <c r="G2267" s="2" t="str">
        <f t="shared" si="141"/>
        <v/>
      </c>
      <c r="I2267" s="1" t="s">
        <v>238</v>
      </c>
      <c r="J2267" s="1">
        <v>144.0</v>
      </c>
      <c r="K2267" s="1">
        <v>2021.0</v>
      </c>
      <c r="M2267" s="1"/>
      <c r="N2267" s="1"/>
      <c r="O2267" s="1"/>
      <c r="P2267" s="1"/>
      <c r="Q2267" s="1"/>
      <c r="R2267" s="1"/>
      <c r="S2267" s="1"/>
      <c r="T2267" s="1"/>
      <c r="U2267" s="1"/>
      <c r="V2267" s="1"/>
      <c r="W2267" s="1"/>
      <c r="X2267" s="1" t="s">
        <v>1024</v>
      </c>
      <c r="Y2267" s="1" t="s">
        <v>8768</v>
      </c>
    </row>
    <row r="2268">
      <c r="A2268" s="1">
        <v>2.577909E7</v>
      </c>
      <c r="B2268" s="1" t="s">
        <v>8769</v>
      </c>
      <c r="C2268" s="1" t="s">
        <v>8770</v>
      </c>
      <c r="D2268" s="1" t="s">
        <v>8771</v>
      </c>
      <c r="F2268" s="2" t="str">
        <f>"0545916305"</f>
        <v>0545916305</v>
      </c>
      <c r="G2268" s="2" t="str">
        <f>"9780545916301"</f>
        <v>9780545916301</v>
      </c>
      <c r="H2268" s="1" t="s">
        <v>817</v>
      </c>
      <c r="I2268" s="1" t="s">
        <v>36</v>
      </c>
      <c r="J2268" s="1">
        <v>144.0</v>
      </c>
      <c r="K2268" s="1">
        <v>2016.0</v>
      </c>
      <c r="L2268" s="1">
        <v>2016.0</v>
      </c>
      <c r="M2268" s="1"/>
      <c r="N2268" s="1"/>
      <c r="O2268" s="1"/>
      <c r="P2268" s="1"/>
      <c r="Q2268" s="1"/>
      <c r="R2268" s="1"/>
      <c r="S2268" s="1"/>
      <c r="T2268" s="1"/>
      <c r="U2268" s="1"/>
      <c r="V2268" s="1"/>
      <c r="W2268" s="1"/>
      <c r="X2268" s="1" t="s">
        <v>7781</v>
      </c>
      <c r="Y2268" s="1" t="s">
        <v>8772</v>
      </c>
    </row>
    <row r="2269">
      <c r="A2269" s="1">
        <v>4.5429583E7</v>
      </c>
      <c r="B2269" s="1" t="s">
        <v>8773</v>
      </c>
      <c r="C2269" s="1" t="s">
        <v>8774</v>
      </c>
      <c r="D2269" s="1" t="s">
        <v>8775</v>
      </c>
      <c r="E2269" s="1" t="s">
        <v>8776</v>
      </c>
      <c r="F2269" s="2" t="str">
        <f>"1401283551"</f>
        <v>1401283551</v>
      </c>
      <c r="G2269" s="2" t="str">
        <f>"9781401283551"</f>
        <v>9781401283551</v>
      </c>
      <c r="H2269" s="1" t="s">
        <v>7863</v>
      </c>
      <c r="I2269" s="1" t="s">
        <v>36</v>
      </c>
      <c r="J2269" s="1">
        <v>144.0</v>
      </c>
      <c r="K2269" s="1">
        <v>2020.0</v>
      </c>
      <c r="L2269" s="1">
        <v>2020.0</v>
      </c>
    </row>
    <row r="2270">
      <c r="A2270" s="1">
        <v>894604.0</v>
      </c>
      <c r="B2270" s="1" t="s">
        <v>8777</v>
      </c>
      <c r="C2270" s="1" t="s">
        <v>8778</v>
      </c>
      <c r="D2270" s="1" t="s">
        <v>8779</v>
      </c>
      <c r="F2270" s="2" t="str">
        <f>"0316113549"</f>
        <v>0316113549</v>
      </c>
      <c r="G2270" s="2" t="str">
        <f>"9780316113540"</f>
        <v>9780316113540</v>
      </c>
      <c r="H2270" s="1" t="s">
        <v>112</v>
      </c>
      <c r="I2270" s="1" t="s">
        <v>31</v>
      </c>
      <c r="J2270" s="1">
        <v>144.0</v>
      </c>
      <c r="K2270" s="1">
        <v>2008.0</v>
      </c>
      <c r="L2270" s="1">
        <v>2008.0</v>
      </c>
      <c r="M2270" s="1"/>
      <c r="N2270" s="1"/>
      <c r="O2270" s="1"/>
      <c r="P2270" s="1"/>
      <c r="Q2270" s="1"/>
      <c r="R2270" s="1"/>
      <c r="S2270" s="1"/>
      <c r="T2270" s="1"/>
      <c r="U2270" s="1"/>
      <c r="V2270" s="1"/>
      <c r="W2270" s="1"/>
      <c r="X2270" s="1" t="s">
        <v>458</v>
      </c>
      <c r="Y2270" s="1" t="s">
        <v>8780</v>
      </c>
    </row>
    <row r="2271">
      <c r="A2271" s="1">
        <v>5.980618E7</v>
      </c>
      <c r="B2271" s="1" t="s">
        <v>8781</v>
      </c>
      <c r="C2271" s="1" t="s">
        <v>8782</v>
      </c>
      <c r="D2271" s="1" t="s">
        <v>8783</v>
      </c>
      <c r="F2271" s="2" t="str">
        <f>"1338846604"</f>
        <v>1338846604</v>
      </c>
      <c r="G2271" s="2" t="str">
        <f>"9781338846607"</f>
        <v>9781338846607</v>
      </c>
      <c r="H2271" s="1" t="s">
        <v>2944</v>
      </c>
      <c r="I2271" s="1" t="s">
        <v>36</v>
      </c>
      <c r="J2271" s="1">
        <v>144.0</v>
      </c>
      <c r="K2271" s="1">
        <v>2022.0</v>
      </c>
      <c r="M2271" s="1"/>
      <c r="N2271" s="1"/>
      <c r="O2271" s="1"/>
      <c r="P2271" s="1"/>
      <c r="Q2271" s="1"/>
      <c r="R2271" s="1"/>
      <c r="S2271" s="1"/>
      <c r="T2271" s="1"/>
      <c r="U2271" s="1"/>
      <c r="V2271" s="1"/>
      <c r="W2271" s="1"/>
      <c r="X2271" s="1" t="s">
        <v>458</v>
      </c>
      <c r="Y2271" s="1" t="s">
        <v>8784</v>
      </c>
    </row>
    <row r="2272">
      <c r="A2272" s="1">
        <v>3.5758085E7</v>
      </c>
      <c r="B2272" s="1" t="s">
        <v>8785</v>
      </c>
      <c r="C2272" s="1" t="s">
        <v>4190</v>
      </c>
      <c r="D2272" s="1" t="s">
        <v>4191</v>
      </c>
      <c r="F2272" s="2" t="str">
        <f>"1524768057"</f>
        <v>1524768057</v>
      </c>
      <c r="G2272" s="2" t="str">
        <f>"9781524768058"</f>
        <v>9781524768058</v>
      </c>
      <c r="H2272" s="1" t="s">
        <v>156</v>
      </c>
      <c r="I2272" s="1" t="s">
        <v>36</v>
      </c>
      <c r="J2272" s="1">
        <v>144.0</v>
      </c>
      <c r="K2272" s="1">
        <v>2018.0</v>
      </c>
      <c r="M2272" s="1"/>
      <c r="N2272" s="1"/>
      <c r="O2272" s="1"/>
      <c r="P2272" s="1"/>
      <c r="Q2272" s="1"/>
      <c r="R2272" s="1"/>
      <c r="S2272" s="1"/>
      <c r="T2272" s="1"/>
      <c r="U2272" s="1"/>
      <c r="V2272" s="1"/>
      <c r="W2272" s="1"/>
      <c r="X2272" s="1" t="s">
        <v>291</v>
      </c>
      <c r="Y2272" s="1" t="s">
        <v>8786</v>
      </c>
    </row>
    <row r="2273">
      <c r="A2273" s="1">
        <v>353047.0</v>
      </c>
      <c r="B2273" s="1" t="s">
        <v>8787</v>
      </c>
      <c r="C2273" s="1" t="s">
        <v>8278</v>
      </c>
      <c r="D2273" s="1" t="s">
        <v>8279</v>
      </c>
      <c r="E2273" s="1" t="s">
        <v>2272</v>
      </c>
      <c r="F2273" s="2" t="str">
        <f>"0763628344"</f>
        <v>0763628344</v>
      </c>
      <c r="G2273" s="2" t="str">
        <f>"9780763628345"</f>
        <v>9780763628345</v>
      </c>
      <c r="H2273" s="1" t="s">
        <v>945</v>
      </c>
      <c r="I2273" s="1" t="s">
        <v>31</v>
      </c>
      <c r="J2273" s="1">
        <v>144.0</v>
      </c>
      <c r="K2273" s="1">
        <v>2007.0</v>
      </c>
      <c r="L2273" s="1">
        <v>2007.0</v>
      </c>
      <c r="M2273" s="1"/>
      <c r="N2273" s="1"/>
      <c r="O2273" s="1"/>
      <c r="P2273" s="1"/>
      <c r="Q2273" s="1"/>
      <c r="R2273" s="1"/>
      <c r="S2273" s="1"/>
      <c r="T2273" s="1"/>
      <c r="U2273" s="1"/>
      <c r="V2273" s="1"/>
      <c r="W2273" s="1"/>
      <c r="X2273" s="1" t="s">
        <v>7111</v>
      </c>
      <c r="Y2273" s="1" t="s">
        <v>8788</v>
      </c>
    </row>
    <row r="2274">
      <c r="A2274" s="1">
        <v>2.2323698E7</v>
      </c>
      <c r="B2274" s="1" t="s">
        <v>8789</v>
      </c>
      <c r="C2274" s="1" t="s">
        <v>8790</v>
      </c>
      <c r="D2274" s="1" t="s">
        <v>8791</v>
      </c>
      <c r="E2274" s="1" t="s">
        <v>8792</v>
      </c>
      <c r="F2274" s="2" t="str">
        <f>"054563914X"</f>
        <v>054563914X</v>
      </c>
      <c r="G2274" s="2" t="str">
        <f>"9780545639149"</f>
        <v>9780545639149</v>
      </c>
      <c r="H2274" s="1" t="s">
        <v>857</v>
      </c>
      <c r="I2274" s="1" t="s">
        <v>36</v>
      </c>
      <c r="J2274" s="1">
        <v>144.0</v>
      </c>
      <c r="K2274" s="1">
        <v>2015.0</v>
      </c>
      <c r="L2274" s="1">
        <v>2015.0</v>
      </c>
      <c r="M2274" s="1"/>
      <c r="N2274" s="1"/>
      <c r="O2274" s="1"/>
      <c r="P2274" s="1"/>
      <c r="Q2274" s="1"/>
      <c r="R2274" s="1"/>
      <c r="S2274" s="1"/>
      <c r="T2274" s="1"/>
      <c r="U2274" s="1"/>
      <c r="V2274" s="1"/>
      <c r="W2274" s="1"/>
      <c r="X2274" s="1" t="s">
        <v>45</v>
      </c>
      <c r="Y2274" s="1" t="s">
        <v>8793</v>
      </c>
    </row>
    <row r="2275">
      <c r="A2275" s="1">
        <v>190944.0</v>
      </c>
      <c r="B2275" s="1" t="s">
        <v>8794</v>
      </c>
      <c r="C2275" s="1" t="s">
        <v>8795</v>
      </c>
      <c r="D2275" s="1" t="s">
        <v>8796</v>
      </c>
      <c r="E2275" s="1" t="s">
        <v>8797</v>
      </c>
      <c r="F2275" s="2" t="str">
        <f>"1933390042"</f>
        <v>1933390042</v>
      </c>
      <c r="G2275" s="2" t="str">
        <f>"9781933390048"</f>
        <v>9781933390048</v>
      </c>
      <c r="H2275" s="1" t="s">
        <v>8798</v>
      </c>
      <c r="I2275" s="1" t="s">
        <v>36</v>
      </c>
      <c r="J2275" s="1">
        <v>144.0</v>
      </c>
      <c r="K2275" s="1">
        <v>2006.0</v>
      </c>
      <c r="L2275" s="1">
        <v>1981.0</v>
      </c>
      <c r="M2275" s="1"/>
      <c r="N2275" s="1"/>
      <c r="O2275" s="1"/>
      <c r="P2275" s="1"/>
      <c r="Q2275" s="1"/>
      <c r="R2275" s="1"/>
      <c r="S2275" s="1"/>
      <c r="T2275" s="1"/>
      <c r="U2275" s="1"/>
      <c r="V2275" s="1"/>
      <c r="W2275" s="1"/>
      <c r="X2275" s="1" t="s">
        <v>609</v>
      </c>
      <c r="Y2275" s="1" t="s">
        <v>8799</v>
      </c>
    </row>
    <row r="2276">
      <c r="A2276" s="1">
        <v>8318257.0</v>
      </c>
      <c r="B2276" s="1" t="s">
        <v>8800</v>
      </c>
      <c r="C2276" s="1" t="s">
        <v>8795</v>
      </c>
      <c r="D2276" s="1" t="s">
        <v>8796</v>
      </c>
      <c r="F2276" s="2" t="str">
        <f>"1933390352"</f>
        <v>1933390352</v>
      </c>
      <c r="G2276" s="2" t="str">
        <f>"9781933390352"</f>
        <v>9781933390352</v>
      </c>
      <c r="H2276" s="1" t="s">
        <v>8798</v>
      </c>
      <c r="I2276" s="1" t="s">
        <v>36</v>
      </c>
      <c r="J2276" s="1">
        <v>144.0</v>
      </c>
      <c r="K2276" s="1">
        <v>2010.0</v>
      </c>
      <c r="L2276" s="1">
        <v>1992.0</v>
      </c>
      <c r="M2276" s="1"/>
      <c r="N2276" s="1"/>
      <c r="O2276" s="1"/>
      <c r="P2276" s="1"/>
      <c r="Q2276" s="1"/>
      <c r="R2276" s="1"/>
      <c r="S2276" s="1"/>
      <c r="T2276" s="1"/>
      <c r="U2276" s="1"/>
      <c r="V2276" s="1"/>
      <c r="W2276" s="1"/>
      <c r="X2276" s="1" t="s">
        <v>45</v>
      </c>
      <c r="Y2276" s="1" t="s">
        <v>8801</v>
      </c>
    </row>
    <row r="2277">
      <c r="A2277" s="1">
        <v>4.8637403E7</v>
      </c>
      <c r="B2277" s="1" t="s">
        <v>8802</v>
      </c>
      <c r="C2277" s="1" t="s">
        <v>8803</v>
      </c>
      <c r="D2277" s="1" t="s">
        <v>8804</v>
      </c>
      <c r="F2277" s="2" t="str">
        <f>"0736440739"</f>
        <v>0736440739</v>
      </c>
      <c r="G2277" s="2" t="str">
        <f>"9780736440738"</f>
        <v>9780736440738</v>
      </c>
      <c r="H2277" s="1" t="s">
        <v>1561</v>
      </c>
      <c r="I2277" s="1" t="s">
        <v>36</v>
      </c>
      <c r="J2277" s="1">
        <v>144.0</v>
      </c>
      <c r="K2277" s="1">
        <v>2020.0</v>
      </c>
      <c r="M2277" s="1"/>
      <c r="N2277" s="1"/>
      <c r="O2277" s="1"/>
      <c r="P2277" s="1"/>
      <c r="Q2277" s="1"/>
      <c r="R2277" s="1"/>
      <c r="S2277" s="1"/>
      <c r="T2277" s="1"/>
      <c r="U2277" s="1"/>
      <c r="V2277" s="1"/>
      <c r="W2277" s="1"/>
      <c r="X2277" s="1" t="s">
        <v>45</v>
      </c>
      <c r="Y2277" s="1" t="s">
        <v>8805</v>
      </c>
    </row>
    <row r="2278">
      <c r="A2278" s="1">
        <v>153868.0</v>
      </c>
      <c r="B2278" s="1" t="s">
        <v>8806</v>
      </c>
      <c r="C2278" s="1" t="s">
        <v>546</v>
      </c>
      <c r="D2278" s="1" t="s">
        <v>547</v>
      </c>
      <c r="F2278" s="2" t="str">
        <f>"0439997100"</f>
        <v>0439997100</v>
      </c>
      <c r="G2278" s="2" t="str">
        <f>"9780439997102"</f>
        <v>9780439997102</v>
      </c>
      <c r="H2278" s="1" t="s">
        <v>50</v>
      </c>
      <c r="I2278" s="1" t="s">
        <v>36</v>
      </c>
      <c r="J2278" s="1">
        <v>144.0</v>
      </c>
      <c r="K2278" s="1">
        <v>1999.0</v>
      </c>
      <c r="L2278" s="1">
        <v>1999.0</v>
      </c>
      <c r="M2278" s="1"/>
      <c r="N2278" s="1"/>
      <c r="O2278" s="1"/>
      <c r="P2278" s="1"/>
      <c r="Q2278" s="1"/>
      <c r="R2278" s="1"/>
      <c r="S2278" s="1"/>
      <c r="T2278" s="1"/>
      <c r="U2278" s="1"/>
      <c r="V2278" s="1"/>
      <c r="W2278" s="1"/>
      <c r="X2278" s="1" t="s">
        <v>553</v>
      </c>
      <c r="Y2278" s="1" t="s">
        <v>8807</v>
      </c>
    </row>
    <row r="2279">
      <c r="A2279" s="1">
        <v>3.4947254E7</v>
      </c>
      <c r="B2279" s="1" t="s">
        <v>8808</v>
      </c>
      <c r="C2279" s="1" t="s">
        <v>8809</v>
      </c>
      <c r="D2279" s="1" t="s">
        <v>8810</v>
      </c>
      <c r="F2279" s="2" t="str">
        <f>"1921989319"</f>
        <v>1921989319</v>
      </c>
      <c r="G2279" s="2" t="str">
        <f>"9781921989315"</f>
        <v>9781921989315</v>
      </c>
      <c r="H2279" s="1" t="s">
        <v>1355</v>
      </c>
      <c r="I2279" s="1" t="s">
        <v>238</v>
      </c>
      <c r="J2279" s="1">
        <v>144.0</v>
      </c>
      <c r="K2279" s="1">
        <v>2012.0</v>
      </c>
      <c r="L2279" s="1">
        <v>2012.0</v>
      </c>
      <c r="M2279" s="1"/>
      <c r="N2279" s="1"/>
      <c r="O2279" s="1"/>
      <c r="P2279" s="1"/>
      <c r="Q2279" s="1"/>
      <c r="R2279" s="1"/>
      <c r="S2279" s="1"/>
      <c r="T2279" s="1"/>
      <c r="U2279" s="1"/>
      <c r="V2279" s="1"/>
      <c r="W2279" s="1"/>
      <c r="X2279" s="1" t="s">
        <v>727</v>
      </c>
      <c r="Y2279" s="1" t="s">
        <v>8811</v>
      </c>
    </row>
    <row r="2280">
      <c r="A2280" s="1">
        <v>2433746.0</v>
      </c>
      <c r="B2280" s="1" t="s">
        <v>8812</v>
      </c>
      <c r="C2280" s="1" t="s">
        <v>7474</v>
      </c>
      <c r="D2280" s="1" t="s">
        <v>7475</v>
      </c>
      <c r="E2280" s="1" t="s">
        <v>7474</v>
      </c>
      <c r="F2280" s="2" t="str">
        <f>"0375847219"</f>
        <v>0375847219</v>
      </c>
      <c r="G2280" s="2" t="str">
        <f>"9780375847219"</f>
        <v>9780375847219</v>
      </c>
      <c r="H2280" s="1" t="s">
        <v>156</v>
      </c>
      <c r="I2280" s="1" t="s">
        <v>36</v>
      </c>
      <c r="J2280" s="1">
        <v>144.0</v>
      </c>
      <c r="K2280" s="1">
        <v>2008.0</v>
      </c>
      <c r="L2280" s="1">
        <v>2008.0</v>
      </c>
      <c r="M2280" s="1"/>
      <c r="N2280" s="1"/>
      <c r="O2280" s="1"/>
      <c r="P2280" s="1"/>
      <c r="Q2280" s="1"/>
      <c r="R2280" s="1"/>
      <c r="S2280" s="1"/>
      <c r="T2280" s="1"/>
      <c r="U2280" s="1"/>
      <c r="V2280" s="1"/>
      <c r="W2280" s="1"/>
      <c r="X2280" s="1" t="s">
        <v>45</v>
      </c>
      <c r="Y2280" s="1" t="s">
        <v>8813</v>
      </c>
    </row>
    <row r="2281">
      <c r="A2281" s="1">
        <v>15779.0</v>
      </c>
      <c r="B2281" s="1" t="s">
        <v>8814</v>
      </c>
      <c r="C2281" s="1" t="s">
        <v>8815</v>
      </c>
      <c r="D2281" s="1" t="s">
        <v>8816</v>
      </c>
      <c r="E2281" s="1" t="s">
        <v>8817</v>
      </c>
      <c r="F2281" s="2" t="str">
        <f>"0747571775"</f>
        <v>0747571775</v>
      </c>
      <c r="G2281" s="2" t="str">
        <f>"9780747571773"</f>
        <v>9780747571773</v>
      </c>
      <c r="H2281" s="1" t="s">
        <v>8818</v>
      </c>
      <c r="I2281" s="1" t="s">
        <v>36</v>
      </c>
      <c r="J2281" s="1">
        <v>144.0</v>
      </c>
      <c r="K2281" s="1">
        <v>2004.0</v>
      </c>
      <c r="L2281" s="1">
        <v>1978.0</v>
      </c>
      <c r="M2281" s="1"/>
      <c r="N2281" s="1"/>
      <c r="O2281" s="1"/>
      <c r="P2281" s="1"/>
      <c r="Q2281" s="1"/>
      <c r="R2281" s="1"/>
      <c r="S2281" s="1"/>
      <c r="T2281" s="1"/>
      <c r="U2281" s="1"/>
      <c r="V2281" s="1"/>
      <c r="W2281" s="1"/>
      <c r="X2281" s="1" t="s">
        <v>45</v>
      </c>
      <c r="Y2281" s="1" t="s">
        <v>8819</v>
      </c>
    </row>
    <row r="2282">
      <c r="A2282" s="1">
        <v>6.0310719E7</v>
      </c>
      <c r="B2282" s="1" t="s">
        <v>8820</v>
      </c>
      <c r="C2282" s="1" t="s">
        <v>8821</v>
      </c>
      <c r="D2282" s="1" t="s">
        <v>8822</v>
      </c>
      <c r="F2282" s="2" t="str">
        <f>"1419757792"</f>
        <v>1419757792</v>
      </c>
      <c r="G2282" s="2" t="str">
        <f>"9781419757792"</f>
        <v>9781419757792</v>
      </c>
      <c r="H2282" s="1" t="s">
        <v>7886</v>
      </c>
      <c r="I2282" s="1" t="s">
        <v>31</v>
      </c>
      <c r="J2282" s="1">
        <v>144.0</v>
      </c>
      <c r="K2282" s="1">
        <v>2022.0</v>
      </c>
      <c r="L2282" s="1">
        <v>2022.0</v>
      </c>
      <c r="M2282" s="1"/>
      <c r="N2282" s="1"/>
      <c r="O2282" s="1"/>
      <c r="P2282" s="1"/>
      <c r="Q2282" s="1"/>
      <c r="R2282" s="1"/>
      <c r="S2282" s="1"/>
      <c r="T2282" s="1"/>
      <c r="U2282" s="1"/>
      <c r="V2282" s="1"/>
      <c r="W2282" s="1"/>
      <c r="X2282" s="1" t="s">
        <v>363</v>
      </c>
      <c r="Y2282" s="1" t="s">
        <v>8823</v>
      </c>
    </row>
    <row r="2283">
      <c r="A2283" s="1">
        <v>841816.0</v>
      </c>
      <c r="B2283" s="1" t="s">
        <v>8824</v>
      </c>
      <c r="C2283" s="1" t="s">
        <v>7820</v>
      </c>
      <c r="D2283" s="1" t="s">
        <v>7821</v>
      </c>
      <c r="F2283" s="2" t="str">
        <f>"1858816505"</f>
        <v>1858816505</v>
      </c>
      <c r="G2283" s="2" t="str">
        <f>"9781858816500"</f>
        <v>9781858816500</v>
      </c>
      <c r="H2283" s="1" t="s">
        <v>8825</v>
      </c>
      <c r="I2283" s="1" t="s">
        <v>36</v>
      </c>
      <c r="J2283" s="1">
        <v>144.0</v>
      </c>
      <c r="K2283" s="1">
        <v>1999.0</v>
      </c>
      <c r="L2283" s="1">
        <v>1999.0</v>
      </c>
      <c r="M2283" s="1"/>
      <c r="N2283" s="1"/>
      <c r="O2283" s="1"/>
      <c r="P2283" s="1"/>
      <c r="Q2283" s="1"/>
      <c r="R2283" s="1"/>
      <c r="S2283" s="1"/>
      <c r="T2283" s="1"/>
      <c r="U2283" s="1"/>
      <c r="V2283" s="1"/>
      <c r="W2283" s="1"/>
      <c r="X2283" s="1" t="s">
        <v>302</v>
      </c>
      <c r="Y2283" s="1" t="s">
        <v>8826</v>
      </c>
    </row>
    <row r="2284">
      <c r="A2284" s="1">
        <v>286130.0</v>
      </c>
      <c r="B2284" s="1" t="s">
        <v>8827</v>
      </c>
      <c r="C2284" s="1" t="s">
        <v>8679</v>
      </c>
      <c r="D2284" s="1" t="s">
        <v>8680</v>
      </c>
      <c r="F2284" s="2" t="str">
        <f>"1888963131"</f>
        <v>1888963131</v>
      </c>
      <c r="G2284" s="2" t="str">
        <f>"9781888963137"</f>
        <v>9781888963137</v>
      </c>
      <c r="H2284" s="1" t="s">
        <v>8828</v>
      </c>
      <c r="I2284" s="1" t="s">
        <v>36</v>
      </c>
      <c r="J2284" s="1">
        <v>144.0</v>
      </c>
      <c r="K2284" s="1">
        <v>2002.0</v>
      </c>
      <c r="L2284" s="1">
        <v>2002.0</v>
      </c>
      <c r="M2284" s="1"/>
      <c r="N2284" s="1"/>
      <c r="O2284" s="1"/>
      <c r="P2284" s="1"/>
      <c r="Q2284" s="1"/>
      <c r="R2284" s="1"/>
      <c r="S2284" s="1"/>
      <c r="T2284" s="1"/>
      <c r="U2284" s="1"/>
      <c r="V2284" s="1"/>
      <c r="W2284" s="1"/>
      <c r="X2284" s="1" t="s">
        <v>161</v>
      </c>
      <c r="Y2284" s="1" t="s">
        <v>8829</v>
      </c>
    </row>
    <row r="2285">
      <c r="A2285" s="1">
        <v>293136.0</v>
      </c>
      <c r="B2285" s="1" t="s">
        <v>8830</v>
      </c>
      <c r="C2285" s="1" t="s">
        <v>8370</v>
      </c>
      <c r="D2285" s="1" t="s">
        <v>8371</v>
      </c>
      <c r="F2285" s="2" t="str">
        <f>"0385746660"</f>
        <v>0385746660</v>
      </c>
      <c r="G2285" s="2" t="str">
        <f>"9780385746663"</f>
        <v>9780385746663</v>
      </c>
      <c r="H2285" s="1" t="s">
        <v>8831</v>
      </c>
      <c r="I2285" s="1" t="s">
        <v>31</v>
      </c>
      <c r="J2285" s="1">
        <v>144.0</v>
      </c>
      <c r="K2285" s="1">
        <v>2005.0</v>
      </c>
      <c r="L2285" s="1">
        <v>2005.0</v>
      </c>
      <c r="M2285" s="1"/>
      <c r="N2285" s="1"/>
      <c r="O2285" s="1"/>
      <c r="P2285" s="1"/>
      <c r="Q2285" s="1"/>
      <c r="R2285" s="1"/>
      <c r="S2285" s="1"/>
      <c r="T2285" s="1"/>
      <c r="U2285" s="1"/>
      <c r="V2285" s="1"/>
      <c r="W2285" s="1"/>
      <c r="X2285" s="1" t="s">
        <v>8068</v>
      </c>
      <c r="Y2285" s="1" t="s">
        <v>8832</v>
      </c>
    </row>
    <row r="2286">
      <c r="A2286" s="1">
        <v>308540.0</v>
      </c>
      <c r="B2286" s="1" t="s">
        <v>8833</v>
      </c>
      <c r="C2286" s="1" t="s">
        <v>8370</v>
      </c>
      <c r="D2286" s="1" t="s">
        <v>8371</v>
      </c>
      <c r="F2286" s="2" t="str">
        <f>"0439568331"</f>
        <v>0439568331</v>
      </c>
      <c r="G2286" s="2" t="str">
        <f>"9780439568333"</f>
        <v>9780439568333</v>
      </c>
      <c r="H2286" s="1" t="s">
        <v>50</v>
      </c>
      <c r="I2286" s="1" t="s">
        <v>36</v>
      </c>
      <c r="J2286" s="1">
        <v>144.0</v>
      </c>
      <c r="K2286" s="1">
        <v>2003.0</v>
      </c>
      <c r="L2286" s="1">
        <v>1993.0</v>
      </c>
      <c r="M2286" s="1"/>
      <c r="N2286" s="1"/>
      <c r="O2286" s="1"/>
      <c r="P2286" s="1"/>
      <c r="Q2286" s="1"/>
      <c r="R2286" s="1"/>
      <c r="S2286" s="1"/>
      <c r="T2286" s="1"/>
      <c r="U2286" s="1"/>
      <c r="V2286" s="1"/>
      <c r="W2286" s="1"/>
      <c r="X2286" s="1" t="s">
        <v>8068</v>
      </c>
      <c r="Y2286" s="1" t="s">
        <v>8834</v>
      </c>
    </row>
    <row r="2287">
      <c r="A2287" s="1">
        <v>125539.0</v>
      </c>
      <c r="B2287" s="1" t="s">
        <v>8835</v>
      </c>
      <c r="C2287" s="1" t="s">
        <v>8370</v>
      </c>
      <c r="D2287" s="1" t="s">
        <v>8371</v>
      </c>
      <c r="F2287" s="2" t="str">
        <f>"0439568285"</f>
        <v>0439568285</v>
      </c>
      <c r="G2287" s="2" t="str">
        <f>"9780439568289"</f>
        <v>9780439568289</v>
      </c>
      <c r="H2287" s="1" t="s">
        <v>50</v>
      </c>
      <c r="I2287" s="1" t="s">
        <v>36</v>
      </c>
      <c r="J2287" s="1">
        <v>144.0</v>
      </c>
      <c r="K2287" s="1">
        <v>2003.0</v>
      </c>
      <c r="L2287" s="1">
        <v>1994.0</v>
      </c>
      <c r="M2287" s="1"/>
      <c r="N2287" s="1"/>
      <c r="O2287" s="1"/>
      <c r="P2287" s="1"/>
      <c r="Q2287" s="1"/>
      <c r="R2287" s="1"/>
      <c r="S2287" s="1"/>
      <c r="T2287" s="1"/>
      <c r="U2287" s="1"/>
      <c r="V2287" s="1"/>
      <c r="W2287" s="1"/>
      <c r="X2287" s="1" t="s">
        <v>8068</v>
      </c>
      <c r="Y2287" s="1" t="s">
        <v>8836</v>
      </c>
    </row>
    <row r="2288">
      <c r="A2288" s="1">
        <v>125550.0</v>
      </c>
      <c r="B2288" s="1" t="s">
        <v>8837</v>
      </c>
      <c r="C2288" s="1" t="s">
        <v>8370</v>
      </c>
      <c r="D2288" s="1" t="s">
        <v>8371</v>
      </c>
      <c r="F2288" s="2" t="str">
        <f>"0439669898"</f>
        <v>0439669898</v>
      </c>
      <c r="G2288" s="2" t="str">
        <f>"9780439669894"</f>
        <v>9780439669894</v>
      </c>
      <c r="H2288" s="1" t="s">
        <v>2944</v>
      </c>
      <c r="I2288" s="1" t="s">
        <v>36</v>
      </c>
      <c r="J2288" s="1">
        <v>144.0</v>
      </c>
      <c r="K2288" s="1">
        <v>2005.0</v>
      </c>
      <c r="L2288" s="1">
        <v>1996.0</v>
      </c>
      <c r="M2288" s="1"/>
      <c r="N2288" s="1"/>
      <c r="O2288" s="1"/>
      <c r="P2288" s="1"/>
      <c r="Q2288" s="1"/>
      <c r="R2288" s="1"/>
      <c r="S2288" s="1"/>
      <c r="T2288" s="1"/>
      <c r="U2288" s="1"/>
      <c r="V2288" s="1"/>
      <c r="W2288" s="1"/>
      <c r="X2288" s="1" t="s">
        <v>8068</v>
      </c>
      <c r="Y2288" s="1" t="s">
        <v>8838</v>
      </c>
    </row>
    <row r="2289">
      <c r="A2289" s="1">
        <v>1.3195501E7</v>
      </c>
      <c r="B2289" s="1" t="s">
        <v>8839</v>
      </c>
      <c r="C2289" s="1" t="s">
        <v>8840</v>
      </c>
      <c r="D2289" s="1" t="s">
        <v>8841</v>
      </c>
      <c r="E2289" s="1" t="s">
        <v>8842</v>
      </c>
      <c r="F2289" s="2" t="str">
        <f>"0545387590"</f>
        <v>0545387590</v>
      </c>
      <c r="G2289" s="2" t="str">
        <f>"9780545387590"</f>
        <v>9780545387590</v>
      </c>
      <c r="H2289" s="1" t="s">
        <v>2944</v>
      </c>
      <c r="I2289" s="1" t="s">
        <v>36</v>
      </c>
      <c r="J2289" s="1">
        <v>144.0</v>
      </c>
      <c r="K2289" s="1">
        <v>2012.0</v>
      </c>
      <c r="L2289" s="1">
        <v>2012.0</v>
      </c>
      <c r="M2289" s="1"/>
      <c r="N2289" s="1"/>
      <c r="O2289" s="1"/>
      <c r="P2289" s="1"/>
      <c r="Q2289" s="1"/>
      <c r="R2289" s="1"/>
      <c r="S2289" s="1"/>
      <c r="T2289" s="1"/>
      <c r="U2289" s="1"/>
      <c r="V2289" s="1"/>
      <c r="W2289" s="1"/>
      <c r="X2289" s="1" t="s">
        <v>45</v>
      </c>
      <c r="Y2289" s="1" t="s">
        <v>8843</v>
      </c>
    </row>
    <row r="2290">
      <c r="A2290" s="1">
        <v>5.5977958E7</v>
      </c>
      <c r="B2290" s="1" t="s">
        <v>8844</v>
      </c>
      <c r="C2290" s="1" t="s">
        <v>639</v>
      </c>
      <c r="D2290" s="1" t="s">
        <v>7450</v>
      </c>
      <c r="F2290" s="2" t="str">
        <f>"1338752537"</f>
        <v>1338752537</v>
      </c>
      <c r="G2290" s="2" t="str">
        <f>"9781338752533"</f>
        <v>9781338752533</v>
      </c>
      <c r="H2290" s="1" t="s">
        <v>817</v>
      </c>
      <c r="I2290" s="1" t="s">
        <v>36</v>
      </c>
      <c r="J2290" s="1">
        <v>144.0</v>
      </c>
      <c r="K2290" s="1">
        <v>2021.0</v>
      </c>
      <c r="M2290" s="1"/>
      <c r="N2290" s="1"/>
      <c r="O2290" s="1"/>
      <c r="P2290" s="1"/>
      <c r="Q2290" s="1"/>
      <c r="R2290" s="1"/>
      <c r="S2290" s="1"/>
      <c r="T2290" s="1"/>
      <c r="U2290" s="1"/>
      <c r="V2290" s="1"/>
      <c r="W2290" s="1"/>
      <c r="X2290" s="1" t="s">
        <v>3263</v>
      </c>
      <c r="Y2290" s="1" t="s">
        <v>8845</v>
      </c>
    </row>
    <row r="2291">
      <c r="A2291" s="1">
        <v>6.0759317E7</v>
      </c>
      <c r="B2291" s="1" t="s">
        <v>8846</v>
      </c>
      <c r="C2291" s="1" t="s">
        <v>639</v>
      </c>
      <c r="D2291" s="1" t="s">
        <v>7450</v>
      </c>
      <c r="F2291" s="2" t="str">
        <f>"1338859374"</f>
        <v>1338859374</v>
      </c>
      <c r="G2291" s="2" t="str">
        <f>"9781338859379"</f>
        <v>9781338859379</v>
      </c>
      <c r="H2291" s="1" t="s">
        <v>1575</v>
      </c>
      <c r="I2291" s="1" t="s">
        <v>36</v>
      </c>
      <c r="J2291" s="1">
        <v>144.0</v>
      </c>
      <c r="K2291" s="1">
        <v>2022.0</v>
      </c>
      <c r="L2291" s="1">
        <v>2019.0</v>
      </c>
      <c r="M2291" s="1"/>
      <c r="N2291" s="1"/>
      <c r="O2291" s="1"/>
      <c r="P2291" s="1"/>
      <c r="Q2291" s="1"/>
      <c r="R2291" s="1"/>
      <c r="S2291" s="1"/>
      <c r="T2291" s="1"/>
      <c r="U2291" s="1"/>
      <c r="V2291" s="1"/>
      <c r="W2291" s="1"/>
      <c r="X2291" s="1" t="s">
        <v>3263</v>
      </c>
      <c r="Y2291" s="1" t="s">
        <v>8847</v>
      </c>
    </row>
    <row r="2292">
      <c r="A2292" s="1">
        <v>5.9806062E7</v>
      </c>
      <c r="B2292" s="1" t="s">
        <v>8848</v>
      </c>
      <c r="C2292" s="1" t="s">
        <v>639</v>
      </c>
      <c r="D2292" s="1" t="s">
        <v>7450</v>
      </c>
      <c r="F2292" s="2" t="str">
        <f>"1338752561"</f>
        <v>1338752561</v>
      </c>
      <c r="G2292" s="2" t="str">
        <f>"9781338752564"</f>
        <v>9781338752564</v>
      </c>
      <c r="H2292" s="1" t="s">
        <v>817</v>
      </c>
      <c r="I2292" s="1" t="s">
        <v>36</v>
      </c>
      <c r="J2292" s="1">
        <v>144.0</v>
      </c>
      <c r="K2292" s="1">
        <v>2022.0</v>
      </c>
      <c r="M2292" s="1"/>
      <c r="N2292" s="1"/>
      <c r="O2292" s="1"/>
      <c r="P2292" s="1"/>
      <c r="Q2292" s="1"/>
      <c r="R2292" s="1"/>
      <c r="S2292" s="1"/>
      <c r="T2292" s="1"/>
      <c r="U2292" s="1"/>
      <c r="V2292" s="1"/>
      <c r="W2292" s="1"/>
      <c r="X2292" s="1" t="s">
        <v>8849</v>
      </c>
      <c r="Y2292" s="1" t="s">
        <v>8850</v>
      </c>
    </row>
    <row r="2293">
      <c r="A2293" s="1">
        <v>3.7715349E7</v>
      </c>
      <c r="B2293" s="1" t="s">
        <v>8851</v>
      </c>
      <c r="C2293" s="1" t="s">
        <v>639</v>
      </c>
      <c r="D2293" s="1" t="s">
        <v>7450</v>
      </c>
      <c r="F2293" s="2" t="str">
        <f>"0545919827"</f>
        <v>0545919827</v>
      </c>
      <c r="G2293" s="2" t="str">
        <f>"9780545919821"</f>
        <v>9780545919821</v>
      </c>
      <c r="H2293" s="1" t="s">
        <v>2944</v>
      </c>
      <c r="I2293" s="1" t="s">
        <v>36</v>
      </c>
      <c r="J2293" s="1">
        <v>144.0</v>
      </c>
      <c r="K2293" s="1">
        <v>2018.0</v>
      </c>
      <c r="L2293" s="1">
        <v>2018.0</v>
      </c>
      <c r="M2293" s="1"/>
      <c r="N2293" s="1"/>
      <c r="O2293" s="1"/>
      <c r="P2293" s="1"/>
      <c r="Q2293" s="1"/>
      <c r="R2293" s="1"/>
      <c r="S2293" s="1"/>
      <c r="T2293" s="1"/>
      <c r="U2293" s="1"/>
      <c r="V2293" s="1"/>
      <c r="W2293" s="1"/>
      <c r="X2293" s="1" t="s">
        <v>8357</v>
      </c>
      <c r="Y2293" s="1" t="s">
        <v>8852</v>
      </c>
    </row>
    <row r="2294">
      <c r="A2294" s="1">
        <v>1.0336363E7</v>
      </c>
      <c r="B2294" s="1" t="s">
        <v>8853</v>
      </c>
      <c r="C2294" s="1" t="s">
        <v>8854</v>
      </c>
      <c r="D2294" s="1" t="s">
        <v>8855</v>
      </c>
      <c r="F2294" s="2" t="str">
        <f>"0756671981"</f>
        <v>0756671981</v>
      </c>
      <c r="G2294" s="2" t="str">
        <f>"9780756671983"</f>
        <v>9780756671983</v>
      </c>
      <c r="H2294" s="1" t="s">
        <v>1089</v>
      </c>
      <c r="I2294" s="1" t="s">
        <v>31</v>
      </c>
      <c r="J2294" s="1">
        <v>144.0</v>
      </c>
      <c r="K2294" s="1">
        <v>2011.0</v>
      </c>
      <c r="L2294" s="1">
        <v>2011.0</v>
      </c>
      <c r="M2294" s="1"/>
      <c r="N2294" s="1"/>
      <c r="O2294" s="1"/>
      <c r="P2294" s="1"/>
      <c r="Q2294" s="1"/>
      <c r="R2294" s="1"/>
      <c r="S2294" s="1"/>
      <c r="T2294" s="1"/>
      <c r="U2294" s="1"/>
      <c r="V2294" s="1"/>
      <c r="W2294" s="1"/>
      <c r="X2294" s="1" t="s">
        <v>116</v>
      </c>
      <c r="Y2294" s="1" t="s">
        <v>8856</v>
      </c>
    </row>
    <row r="2295">
      <c r="A2295" s="1">
        <v>277190.0</v>
      </c>
      <c r="B2295" s="1" t="s">
        <v>8857</v>
      </c>
      <c r="C2295" s="1" t="s">
        <v>8858</v>
      </c>
      <c r="D2295" s="1" t="s">
        <v>8859</v>
      </c>
      <c r="E2295" s="1" t="s">
        <v>8860</v>
      </c>
      <c r="F2295" s="2" t="str">
        <f>"0689859406"</f>
        <v>0689859406</v>
      </c>
      <c r="G2295" s="2" t="str">
        <f>"9780689859403"</f>
        <v>9780689859403</v>
      </c>
      <c r="H2295" s="1" t="s">
        <v>3030</v>
      </c>
      <c r="I2295" s="1" t="s">
        <v>31</v>
      </c>
      <c r="J2295" s="1">
        <v>146.0</v>
      </c>
      <c r="K2295" s="1">
        <v>2004.0</v>
      </c>
      <c r="L2295" s="1">
        <v>2004.0</v>
      </c>
      <c r="M2295" s="1"/>
      <c r="N2295" s="1"/>
      <c r="O2295" s="1"/>
      <c r="P2295" s="1"/>
      <c r="Q2295" s="1"/>
      <c r="R2295" s="1"/>
      <c r="S2295" s="1"/>
      <c r="T2295" s="1"/>
      <c r="U2295" s="1"/>
      <c r="V2295" s="1"/>
      <c r="W2295" s="1"/>
      <c r="X2295" s="1" t="s">
        <v>96</v>
      </c>
      <c r="Y2295" s="1" t="s">
        <v>8861</v>
      </c>
    </row>
    <row r="2296">
      <c r="A2296" s="1">
        <v>4.1558944E7</v>
      </c>
      <c r="B2296" s="1" t="s">
        <v>8862</v>
      </c>
      <c r="C2296" s="1" t="s">
        <v>159</v>
      </c>
      <c r="D2296" s="1" t="s">
        <v>160</v>
      </c>
      <c r="F2296" s="2" t="str">
        <f>"1338342711"</f>
        <v>1338342711</v>
      </c>
      <c r="G2296" s="2" t="str">
        <f>"9781338342710"</f>
        <v>9781338342710</v>
      </c>
      <c r="H2296" s="1" t="s">
        <v>1575</v>
      </c>
      <c r="I2296" s="1" t="s">
        <v>238</v>
      </c>
      <c r="J2296" s="1">
        <v>148.0</v>
      </c>
      <c r="K2296" s="1">
        <v>2018.0</v>
      </c>
      <c r="L2296" s="1">
        <v>2015.0</v>
      </c>
      <c r="M2296" s="1"/>
      <c r="N2296" s="1"/>
      <c r="O2296" s="1"/>
      <c r="P2296" s="1"/>
      <c r="Q2296" s="1"/>
      <c r="R2296" s="1"/>
      <c r="S2296" s="1"/>
      <c r="T2296" s="1"/>
      <c r="U2296" s="1"/>
      <c r="V2296" s="1"/>
      <c r="W2296" s="1"/>
      <c r="X2296" s="1" t="s">
        <v>8863</v>
      </c>
      <c r="Y2296" s="1" t="s">
        <v>8864</v>
      </c>
    </row>
    <row r="2297">
      <c r="A2297" s="1">
        <v>5.5937163E7</v>
      </c>
      <c r="B2297" s="1" t="s">
        <v>8865</v>
      </c>
      <c r="C2297" s="1" t="s">
        <v>159</v>
      </c>
      <c r="D2297" s="1" t="s">
        <v>160</v>
      </c>
      <c r="F2297" s="2" t="str">
        <f>"1338718312"</f>
        <v>1338718312</v>
      </c>
      <c r="G2297" s="2" t="str">
        <f>"9781338718317"</f>
        <v>9781338718317</v>
      </c>
      <c r="H2297" s="1" t="s">
        <v>1575</v>
      </c>
      <c r="I2297" s="1" t="s">
        <v>238</v>
      </c>
      <c r="J2297" s="1">
        <v>148.0</v>
      </c>
      <c r="K2297" s="1">
        <v>2020.0</v>
      </c>
      <c r="L2297" s="1">
        <v>2017.0</v>
      </c>
      <c r="M2297" s="1"/>
      <c r="N2297" s="1"/>
      <c r="O2297" s="1"/>
      <c r="P2297" s="1"/>
      <c r="Q2297" s="1"/>
      <c r="R2297" s="1"/>
      <c r="S2297" s="1"/>
      <c r="T2297" s="1"/>
      <c r="U2297" s="1"/>
      <c r="V2297" s="1"/>
      <c r="W2297" s="1"/>
      <c r="X2297" s="1" t="s">
        <v>8866</v>
      </c>
      <c r="Y2297" s="1" t="s">
        <v>8867</v>
      </c>
    </row>
    <row r="2298">
      <c r="A2298" s="1">
        <v>4.873161E7</v>
      </c>
      <c r="B2298" s="1" t="s">
        <v>8868</v>
      </c>
      <c r="C2298" s="1" t="s">
        <v>159</v>
      </c>
      <c r="D2298" s="1" t="s">
        <v>160</v>
      </c>
      <c r="F2298" s="2" t="str">
        <f>"1338602756"</f>
        <v>1338602756</v>
      </c>
      <c r="G2298" s="2" t="str">
        <f>"9781338602753"</f>
        <v>9781338602753</v>
      </c>
      <c r="H2298" s="1" t="s">
        <v>1575</v>
      </c>
      <c r="I2298" s="1" t="s">
        <v>238</v>
      </c>
      <c r="J2298" s="1">
        <v>148.0</v>
      </c>
      <c r="K2298" s="1">
        <v>2019.0</v>
      </c>
      <c r="L2298" s="1">
        <v>2017.0</v>
      </c>
      <c r="M2298" s="1"/>
      <c r="N2298" s="1"/>
      <c r="O2298" s="1"/>
      <c r="P2298" s="1"/>
      <c r="Q2298" s="1"/>
      <c r="R2298" s="1"/>
      <c r="S2298" s="1"/>
      <c r="T2298" s="1"/>
      <c r="U2298" s="1"/>
      <c r="V2298" s="1"/>
      <c r="W2298" s="1"/>
      <c r="X2298" s="1" t="s">
        <v>8735</v>
      </c>
      <c r="Y2298" s="1" t="s">
        <v>8869</v>
      </c>
    </row>
    <row r="2299">
      <c r="A2299" s="1">
        <v>4.155907E7</v>
      </c>
      <c r="B2299" s="1" t="s">
        <v>8870</v>
      </c>
      <c r="C2299" s="1" t="s">
        <v>159</v>
      </c>
      <c r="D2299" s="1" t="s">
        <v>160</v>
      </c>
      <c r="F2299" s="2" t="str">
        <f>"1338342746"</f>
        <v>1338342746</v>
      </c>
      <c r="G2299" s="2" t="str">
        <f>"9781338342741"</f>
        <v>9781338342741</v>
      </c>
      <c r="H2299" s="1" t="s">
        <v>1575</v>
      </c>
      <c r="I2299" s="1" t="s">
        <v>238</v>
      </c>
      <c r="J2299" s="1">
        <v>148.0</v>
      </c>
      <c r="K2299" s="1">
        <v>2019.0</v>
      </c>
      <c r="L2299" s="1">
        <v>2016.0</v>
      </c>
      <c r="M2299" s="1"/>
      <c r="N2299" s="1"/>
      <c r="O2299" s="1"/>
      <c r="P2299" s="1"/>
      <c r="Q2299" s="1"/>
      <c r="R2299" s="1"/>
      <c r="S2299" s="1"/>
      <c r="T2299" s="1"/>
      <c r="U2299" s="1"/>
      <c r="V2299" s="1"/>
      <c r="W2299" s="1"/>
      <c r="X2299" s="1" t="s">
        <v>8863</v>
      </c>
      <c r="Y2299" s="1" t="s">
        <v>8871</v>
      </c>
    </row>
    <row r="2300">
      <c r="A2300" s="1">
        <v>91249.0</v>
      </c>
      <c r="B2300" s="1" t="s">
        <v>8872</v>
      </c>
      <c r="C2300" s="1" t="s">
        <v>2902</v>
      </c>
      <c r="D2300" s="1" t="s">
        <v>2903</v>
      </c>
      <c r="F2300" s="2" t="str">
        <f>"038072801X"</f>
        <v>038072801X</v>
      </c>
      <c r="G2300" s="2" t="str">
        <f>"9780380728015"</f>
        <v>9780380728015</v>
      </c>
      <c r="H2300" s="1" t="s">
        <v>8873</v>
      </c>
      <c r="I2300" s="1" t="s">
        <v>36</v>
      </c>
      <c r="J2300" s="1">
        <v>150.0</v>
      </c>
      <c r="K2300" s="1">
        <v>1996.0</v>
      </c>
      <c r="L2300" s="1">
        <v>1984.0</v>
      </c>
      <c r="M2300" s="1"/>
      <c r="N2300" s="1"/>
      <c r="O2300" s="1"/>
      <c r="P2300" s="1"/>
      <c r="Q2300" s="1"/>
      <c r="R2300" s="1"/>
      <c r="S2300" s="1"/>
      <c r="T2300" s="1"/>
      <c r="U2300" s="1"/>
      <c r="V2300" s="1"/>
      <c r="W2300" s="1"/>
      <c r="X2300" s="1" t="s">
        <v>8874</v>
      </c>
      <c r="Y2300" s="1" t="s">
        <v>8875</v>
      </c>
    </row>
    <row r="2301">
      <c r="A2301" s="1">
        <v>3418156.0</v>
      </c>
      <c r="B2301" s="1" t="s">
        <v>8876</v>
      </c>
      <c r="C2301" s="1" t="s">
        <v>8858</v>
      </c>
      <c r="D2301" s="1" t="s">
        <v>8859</v>
      </c>
      <c r="F2301" s="2" t="str">
        <f>"1416939776"</f>
        <v>1416939776</v>
      </c>
      <c r="G2301" s="2" t="str">
        <f>"9781416939771"</f>
        <v>9781416939771</v>
      </c>
      <c r="H2301" s="1" t="s">
        <v>3030</v>
      </c>
      <c r="I2301" s="1" t="s">
        <v>31</v>
      </c>
      <c r="J2301" s="1">
        <v>151.0</v>
      </c>
      <c r="K2301" s="1">
        <v>2008.0</v>
      </c>
      <c r="L2301" s="1">
        <v>2008.0</v>
      </c>
      <c r="M2301" s="1"/>
      <c r="N2301" s="1"/>
      <c r="O2301" s="1"/>
      <c r="P2301" s="1"/>
      <c r="Q2301" s="1"/>
      <c r="R2301" s="1"/>
      <c r="S2301" s="1"/>
      <c r="T2301" s="1"/>
      <c r="U2301" s="1"/>
      <c r="V2301" s="1"/>
      <c r="W2301" s="1"/>
      <c r="X2301" s="1" t="s">
        <v>8877</v>
      </c>
      <c r="Y2301" s="1" t="s">
        <v>8878</v>
      </c>
    </row>
    <row r="2302">
      <c r="A2302" s="1">
        <v>52036.0</v>
      </c>
      <c r="B2302" s="1" t="s">
        <v>8879</v>
      </c>
      <c r="C2302" s="1" t="s">
        <v>8880</v>
      </c>
      <c r="D2302" s="1" t="s">
        <v>8881</v>
      </c>
      <c r="E2302" s="1" t="s">
        <v>8882</v>
      </c>
      <c r="F2302" s="2" t="str">
        <f t="shared" ref="F2302:G2302" si="142">""</f>
        <v/>
      </c>
      <c r="G2302" s="2" t="str">
        <f t="shared" si="142"/>
        <v/>
      </c>
      <c r="H2302" s="1" t="s">
        <v>8883</v>
      </c>
      <c r="I2302" s="1" t="s">
        <v>400</v>
      </c>
      <c r="J2302" s="1">
        <v>152.0</v>
      </c>
      <c r="K2302" s="1">
        <v>1981.0</v>
      </c>
      <c r="L2302" s="1">
        <v>1922.0</v>
      </c>
      <c r="M2302" s="1"/>
      <c r="N2302" s="1"/>
      <c r="O2302" s="1"/>
      <c r="P2302" s="1"/>
      <c r="Q2302" s="1"/>
      <c r="R2302" s="1"/>
      <c r="S2302" s="1"/>
      <c r="T2302" s="1"/>
      <c r="U2302" s="1"/>
      <c r="V2302" s="1"/>
      <c r="W2302" s="1"/>
      <c r="X2302" s="1" t="s">
        <v>609</v>
      </c>
      <c r="Y2302" s="1" t="s">
        <v>8884</v>
      </c>
    </row>
    <row r="2303">
      <c r="A2303" s="1">
        <v>10065.0</v>
      </c>
      <c r="B2303" s="1" t="s">
        <v>8885</v>
      </c>
      <c r="C2303" s="1" t="s">
        <v>8815</v>
      </c>
      <c r="D2303" s="1" t="s">
        <v>8816</v>
      </c>
      <c r="E2303" s="1" t="s">
        <v>8817</v>
      </c>
      <c r="F2303" s="2" t="str">
        <f>"0380731509"</f>
        <v>0380731509</v>
      </c>
      <c r="G2303" s="2" t="str">
        <f>"9780380731503"</f>
        <v>9780380731503</v>
      </c>
      <c r="H2303" s="1" t="s">
        <v>8886</v>
      </c>
      <c r="I2303" s="1" t="s">
        <v>36</v>
      </c>
      <c r="J2303" s="1">
        <v>152.0</v>
      </c>
      <c r="K2303" s="1">
        <v>1990.0</v>
      </c>
      <c r="L2303" s="1">
        <v>1989.0</v>
      </c>
      <c r="M2303" s="1"/>
      <c r="N2303" s="1"/>
      <c r="O2303" s="1"/>
      <c r="P2303" s="1"/>
      <c r="Q2303" s="1"/>
      <c r="R2303" s="1"/>
      <c r="S2303" s="1"/>
      <c r="T2303" s="1"/>
      <c r="U2303" s="1"/>
      <c r="V2303" s="1"/>
      <c r="W2303" s="1"/>
      <c r="X2303" s="1" t="s">
        <v>45</v>
      </c>
      <c r="Y2303" s="1" t="s">
        <v>8887</v>
      </c>
    </row>
    <row r="2304">
      <c r="A2304" s="1">
        <v>1.7593337E7</v>
      </c>
      <c r="B2304" s="1" t="s">
        <v>8888</v>
      </c>
      <c r="C2304" s="1" t="s">
        <v>8889</v>
      </c>
      <c r="D2304" s="1" t="s">
        <v>8890</v>
      </c>
      <c r="E2304" s="1" t="s">
        <v>8891</v>
      </c>
      <c r="F2304" s="2" t="str">
        <f>"1627530436"</f>
        <v>1627530436</v>
      </c>
      <c r="G2304" s="2" t="str">
        <f>"9781627530439"</f>
        <v>9781627530439</v>
      </c>
      <c r="H2304" s="1" t="s">
        <v>4966</v>
      </c>
      <c r="I2304" s="1" t="s">
        <v>1278</v>
      </c>
      <c r="J2304" s="1">
        <v>152.0</v>
      </c>
      <c r="K2304" s="1">
        <v>2013.0</v>
      </c>
      <c r="L2304" s="1">
        <v>2013.0</v>
      </c>
      <c r="M2304" s="1"/>
      <c r="N2304" s="1"/>
      <c r="O2304" s="1"/>
      <c r="P2304" s="1"/>
      <c r="Q2304" s="1"/>
      <c r="R2304" s="1"/>
      <c r="S2304" s="1"/>
      <c r="T2304" s="1"/>
      <c r="U2304" s="1"/>
      <c r="V2304" s="1"/>
      <c r="W2304" s="1"/>
      <c r="X2304" s="1" t="s">
        <v>291</v>
      </c>
      <c r="Y2304" s="1" t="s">
        <v>8892</v>
      </c>
    </row>
    <row r="2305">
      <c r="A2305" s="1">
        <v>3.3960518E7</v>
      </c>
      <c r="B2305" s="1" t="s">
        <v>8893</v>
      </c>
      <c r="C2305" s="1" t="s">
        <v>5109</v>
      </c>
      <c r="D2305" s="1" t="s">
        <v>5110</v>
      </c>
      <c r="E2305" s="1" t="s">
        <v>8894</v>
      </c>
      <c r="F2305" s="2" t="str">
        <f>"0553523228"</f>
        <v>0553523228</v>
      </c>
      <c r="G2305" s="2" t="str">
        <f>"9780553523225"</f>
        <v>9780553523225</v>
      </c>
      <c r="H2305" s="1" t="s">
        <v>3066</v>
      </c>
      <c r="I2305" s="1" t="s">
        <v>31</v>
      </c>
      <c r="J2305" s="1">
        <v>152.0</v>
      </c>
      <c r="K2305" s="1">
        <v>2017.0</v>
      </c>
      <c r="L2305" s="1">
        <v>2017.0</v>
      </c>
      <c r="M2305" s="1"/>
      <c r="N2305" s="1"/>
      <c r="O2305" s="1"/>
      <c r="P2305" s="1"/>
      <c r="Q2305" s="1"/>
      <c r="R2305" s="1"/>
      <c r="S2305" s="1"/>
      <c r="T2305" s="1"/>
      <c r="U2305" s="1"/>
      <c r="V2305" s="1"/>
      <c r="W2305" s="1"/>
      <c r="X2305" s="1" t="s">
        <v>74</v>
      </c>
      <c r="Y2305" s="1" t="s">
        <v>8895</v>
      </c>
    </row>
    <row r="2306">
      <c r="A2306" s="1">
        <v>6493842.0</v>
      </c>
      <c r="B2306" s="1" t="s">
        <v>8896</v>
      </c>
      <c r="C2306" s="1" t="s">
        <v>8897</v>
      </c>
      <c r="D2306" s="1" t="s">
        <v>8898</v>
      </c>
      <c r="F2306" s="2" t="str">
        <f>"1599903962"</f>
        <v>1599903962</v>
      </c>
      <c r="G2306" s="2" t="str">
        <f>"9781599903965"</f>
        <v>9781599903965</v>
      </c>
      <c r="H2306" s="1" t="s">
        <v>2588</v>
      </c>
      <c r="I2306" s="1" t="s">
        <v>36</v>
      </c>
      <c r="J2306" s="1">
        <v>153.0</v>
      </c>
      <c r="K2306" s="1">
        <v>2009.0</v>
      </c>
      <c r="L2306" s="1">
        <v>2009.0</v>
      </c>
      <c r="M2306" s="1"/>
      <c r="N2306" s="1"/>
      <c r="O2306" s="1"/>
      <c r="P2306" s="1"/>
      <c r="Q2306" s="1"/>
      <c r="R2306" s="1"/>
      <c r="S2306" s="1"/>
      <c r="T2306" s="1"/>
      <c r="U2306" s="1"/>
      <c r="V2306" s="1"/>
      <c r="W2306" s="1"/>
      <c r="X2306" s="1" t="s">
        <v>161</v>
      </c>
      <c r="Y2306" s="1" t="s">
        <v>8899</v>
      </c>
    </row>
    <row r="2307">
      <c r="A2307" s="1">
        <v>236093.0</v>
      </c>
      <c r="B2307" s="1" t="s">
        <v>8900</v>
      </c>
      <c r="C2307" s="1" t="s">
        <v>8901</v>
      </c>
      <c r="D2307" s="1" t="s">
        <v>8902</v>
      </c>
      <c r="E2307" s="1" t="s">
        <v>8903</v>
      </c>
      <c r="F2307" s="2" t="str">
        <f>"0140621679"</f>
        <v>0140621679</v>
      </c>
      <c r="G2307" s="2" t="str">
        <f>"9780140621679"</f>
        <v>9780140621679</v>
      </c>
      <c r="H2307" s="1" t="s">
        <v>8904</v>
      </c>
      <c r="I2307" s="1" t="s">
        <v>36</v>
      </c>
      <c r="J2307" s="1">
        <v>154.0</v>
      </c>
      <c r="K2307" s="1">
        <v>1995.0</v>
      </c>
      <c r="L2307" s="1">
        <v>1900.0</v>
      </c>
      <c r="M2307" s="1"/>
      <c r="N2307" s="1"/>
      <c r="O2307" s="1"/>
      <c r="P2307" s="1"/>
      <c r="Q2307" s="1"/>
      <c r="R2307" s="1"/>
      <c r="S2307" s="1"/>
      <c r="T2307" s="1"/>
      <c r="U2307" s="1"/>
      <c r="V2307" s="1"/>
      <c r="W2307" s="1"/>
      <c r="X2307" s="1" t="s">
        <v>458</v>
      </c>
      <c r="Y2307" s="1" t="s">
        <v>8905</v>
      </c>
    </row>
    <row r="2308">
      <c r="A2308" s="1">
        <v>34268.0</v>
      </c>
      <c r="B2308" s="1" t="s">
        <v>8906</v>
      </c>
      <c r="C2308" s="1" t="s">
        <v>8907</v>
      </c>
      <c r="D2308" s="1" t="s">
        <v>8908</v>
      </c>
      <c r="E2308" s="1" t="s">
        <v>8909</v>
      </c>
      <c r="F2308" s="2" t="str">
        <f>"0805072454"</f>
        <v>0805072454</v>
      </c>
      <c r="G2308" s="2" t="str">
        <f>"9780805072457"</f>
        <v>9780805072457</v>
      </c>
      <c r="H2308" s="1" t="s">
        <v>3033</v>
      </c>
      <c r="I2308" s="1" t="s">
        <v>31</v>
      </c>
      <c r="J2308" s="1">
        <v>155.0</v>
      </c>
      <c r="K2308" s="1">
        <v>2003.0</v>
      </c>
      <c r="L2308" s="1">
        <v>1911.0</v>
      </c>
    </row>
    <row r="2309">
      <c r="A2309" s="1">
        <v>568476.0</v>
      </c>
      <c r="B2309" s="1" t="s">
        <v>8910</v>
      </c>
      <c r="C2309" s="1" t="s">
        <v>2902</v>
      </c>
      <c r="D2309" s="1" t="s">
        <v>2903</v>
      </c>
      <c r="E2309" s="1" t="s">
        <v>8911</v>
      </c>
      <c r="F2309" s="2" t="str">
        <f t="shared" ref="F2309:G2309" si="143">""</f>
        <v/>
      </c>
      <c r="G2309" s="2" t="str">
        <f t="shared" si="143"/>
        <v/>
      </c>
      <c r="H2309" s="1" t="s">
        <v>290</v>
      </c>
      <c r="I2309" s="1" t="s">
        <v>31</v>
      </c>
      <c r="J2309" s="1">
        <v>155.0</v>
      </c>
      <c r="K2309" s="1">
        <v>2000.0</v>
      </c>
      <c r="L2309" s="1">
        <v>1950.0</v>
      </c>
      <c r="M2309" s="1"/>
      <c r="N2309" s="1"/>
      <c r="O2309" s="1"/>
      <c r="P2309" s="1"/>
      <c r="Q2309" s="1"/>
      <c r="R2309" s="1"/>
      <c r="S2309" s="1"/>
      <c r="T2309" s="1"/>
      <c r="U2309" s="1"/>
      <c r="V2309" s="1"/>
      <c r="W2309" s="1"/>
      <c r="X2309" s="1" t="s">
        <v>8451</v>
      </c>
      <c r="Y2309" s="1" t="s">
        <v>8912</v>
      </c>
    </row>
    <row r="2310">
      <c r="A2310" s="1">
        <v>558279.0</v>
      </c>
      <c r="B2310" s="1" t="s">
        <v>8913</v>
      </c>
      <c r="C2310" s="1" t="s">
        <v>8055</v>
      </c>
      <c r="D2310" s="1" t="s">
        <v>8056</v>
      </c>
      <c r="F2310" s="2" t="str">
        <f>"0590470043"</f>
        <v>0590470043</v>
      </c>
      <c r="G2310" s="2" t="str">
        <f>"9780590470049"</f>
        <v>9780590470049</v>
      </c>
      <c r="H2310" s="1" t="s">
        <v>8914</v>
      </c>
      <c r="I2310" s="1" t="s">
        <v>36</v>
      </c>
      <c r="J2310" s="1">
        <v>155.0</v>
      </c>
      <c r="K2310" s="1">
        <v>1993.0</v>
      </c>
      <c r="L2310" s="1">
        <v>1993.0</v>
      </c>
      <c r="M2310" s="1"/>
      <c r="N2310" s="1"/>
      <c r="O2310" s="1"/>
      <c r="P2310" s="1"/>
      <c r="Q2310" s="1"/>
      <c r="R2310" s="1"/>
      <c r="S2310" s="1"/>
      <c r="T2310" s="1"/>
      <c r="U2310" s="1"/>
      <c r="V2310" s="1"/>
      <c r="W2310" s="1"/>
      <c r="X2310" s="1" t="s">
        <v>180</v>
      </c>
      <c r="Y2310" s="1" t="s">
        <v>8915</v>
      </c>
    </row>
    <row r="2311">
      <c r="A2311" s="1">
        <v>9361855.0</v>
      </c>
      <c r="B2311" s="1" t="s">
        <v>8916</v>
      </c>
      <c r="C2311" s="1" t="s">
        <v>849</v>
      </c>
      <c r="D2311" s="1" t="s">
        <v>850</v>
      </c>
      <c r="F2311" s="2" t="str">
        <f>"1412737508"</f>
        <v>1412737508</v>
      </c>
      <c r="G2311" s="2" t="str">
        <f>"9781412737500"</f>
        <v>9781412737500</v>
      </c>
      <c r="H2311" s="1" t="s">
        <v>8917</v>
      </c>
      <c r="I2311" s="1" t="s">
        <v>31</v>
      </c>
      <c r="J2311" s="1">
        <v>156.0</v>
      </c>
      <c r="K2311" s="1">
        <v>2007.0</v>
      </c>
      <c r="L2311" s="1">
        <v>2007.0</v>
      </c>
      <c r="M2311" s="1"/>
      <c r="N2311" s="1"/>
      <c r="O2311" s="1"/>
      <c r="P2311" s="1"/>
      <c r="Q2311" s="1"/>
      <c r="R2311" s="1"/>
      <c r="S2311" s="1"/>
      <c r="T2311" s="1"/>
      <c r="U2311" s="1"/>
      <c r="V2311" s="1"/>
      <c r="W2311" s="1"/>
      <c r="X2311" s="1" t="s">
        <v>74</v>
      </c>
      <c r="Y2311" s="1" t="s">
        <v>8918</v>
      </c>
    </row>
    <row r="2312">
      <c r="A2312" s="1">
        <v>24305.0</v>
      </c>
      <c r="B2312" s="1" t="s">
        <v>8919</v>
      </c>
      <c r="C2312" s="1" t="s">
        <v>8920</v>
      </c>
      <c r="D2312" s="1" t="s">
        <v>8921</v>
      </c>
      <c r="F2312" s="2" t="str">
        <f>"0152046992"</f>
        <v>0152046992</v>
      </c>
      <c r="G2312" s="2" t="str">
        <f>"9780152046996"</f>
        <v>9780152046996</v>
      </c>
      <c r="H2312" s="1" t="s">
        <v>1799</v>
      </c>
      <c r="I2312" s="1" t="s">
        <v>36</v>
      </c>
      <c r="J2312" s="1">
        <v>157.0</v>
      </c>
      <c r="K2312" s="1">
        <v>2003.0</v>
      </c>
      <c r="L2312" s="1">
        <v>2001.0</v>
      </c>
      <c r="M2312" s="1"/>
      <c r="N2312" s="1"/>
      <c r="O2312" s="1"/>
      <c r="P2312" s="1"/>
      <c r="Q2312" s="1"/>
      <c r="R2312" s="1"/>
      <c r="S2312" s="1"/>
      <c r="T2312" s="1"/>
      <c r="U2312" s="1"/>
      <c r="V2312" s="1"/>
      <c r="W2312" s="1"/>
      <c r="X2312" s="1" t="s">
        <v>458</v>
      </c>
      <c r="Y2312" s="1" t="s">
        <v>8922</v>
      </c>
    </row>
    <row r="2313">
      <c r="A2313" s="1">
        <v>1.7981403E7</v>
      </c>
      <c r="B2313" s="1" t="s">
        <v>8923</v>
      </c>
      <c r="C2313" s="1" t="s">
        <v>433</v>
      </c>
      <c r="D2313" s="1" t="s">
        <v>434</v>
      </c>
      <c r="F2313" s="2" t="str">
        <f>"0545415713"</f>
        <v>0545415713</v>
      </c>
      <c r="G2313" s="2" t="str">
        <f>"9780545415712"</f>
        <v>9780545415712</v>
      </c>
      <c r="H2313" s="1" t="s">
        <v>857</v>
      </c>
      <c r="I2313" s="1" t="s">
        <v>31</v>
      </c>
      <c r="J2313" s="1">
        <v>157.0</v>
      </c>
      <c r="K2313" s="1">
        <v>2014.0</v>
      </c>
      <c r="L2313" s="1">
        <v>2014.0</v>
      </c>
      <c r="M2313" s="1"/>
      <c r="N2313" s="1"/>
      <c r="O2313" s="1"/>
      <c r="P2313" s="1"/>
      <c r="Q2313" s="1"/>
      <c r="R2313" s="1"/>
      <c r="S2313" s="1"/>
      <c r="T2313" s="1"/>
      <c r="U2313" s="1"/>
      <c r="V2313" s="1"/>
      <c r="W2313" s="1"/>
      <c r="X2313" s="1" t="s">
        <v>45</v>
      </c>
      <c r="Y2313" s="1" t="s">
        <v>8924</v>
      </c>
    </row>
    <row r="2314">
      <c r="A2314" s="1">
        <v>4.4575082E7</v>
      </c>
      <c r="B2314" s="1" t="s">
        <v>8925</v>
      </c>
      <c r="C2314" s="1" t="s">
        <v>8926</v>
      </c>
      <c r="D2314" s="1" t="s">
        <v>8927</v>
      </c>
      <c r="E2314" s="1" t="s">
        <v>639</v>
      </c>
      <c r="F2314" s="2" t="str">
        <f>"1338120913"</f>
        <v>1338120913</v>
      </c>
      <c r="G2314" s="2" t="str">
        <f>"9781338120912"</f>
        <v>9781338120912</v>
      </c>
      <c r="H2314" s="1" t="s">
        <v>640</v>
      </c>
      <c r="I2314" s="1" t="s">
        <v>36</v>
      </c>
      <c r="J2314" s="1">
        <v>158.0</v>
      </c>
      <c r="K2314" s="1">
        <v>2020.0</v>
      </c>
      <c r="M2314" s="1"/>
      <c r="N2314" s="1"/>
      <c r="O2314" s="1"/>
      <c r="P2314" s="1"/>
      <c r="Q2314" s="1"/>
      <c r="R2314" s="1"/>
      <c r="S2314" s="1"/>
      <c r="T2314" s="1"/>
      <c r="U2314" s="1"/>
      <c r="V2314" s="1"/>
      <c r="W2314" s="1"/>
      <c r="X2314" s="1" t="s">
        <v>45</v>
      </c>
      <c r="Y2314" s="1" t="s">
        <v>8928</v>
      </c>
    </row>
    <row r="2315">
      <c r="A2315" s="1">
        <v>3980.0</v>
      </c>
      <c r="B2315" s="1" t="s">
        <v>8929</v>
      </c>
      <c r="C2315" s="1" t="s">
        <v>8930</v>
      </c>
      <c r="D2315" s="1" t="s">
        <v>8931</v>
      </c>
      <c r="F2315" s="2" t="str">
        <f>"0744583276"</f>
        <v>0744583276</v>
      </c>
      <c r="G2315" s="2" t="str">
        <f>"9780744583274"</f>
        <v>9780744583274</v>
      </c>
      <c r="H2315" s="1" t="s">
        <v>8932</v>
      </c>
      <c r="I2315" s="1" t="s">
        <v>36</v>
      </c>
      <c r="J2315" s="1">
        <v>159.0</v>
      </c>
      <c r="K2315" s="1">
        <v>2003.0</v>
      </c>
      <c r="L2315" s="1">
        <v>1967.0</v>
      </c>
      <c r="M2315" s="1"/>
      <c r="N2315" s="1"/>
      <c r="O2315" s="1"/>
      <c r="P2315" s="1"/>
      <c r="Q2315" s="1"/>
      <c r="R2315" s="1"/>
      <c r="S2315" s="1"/>
      <c r="T2315" s="1"/>
      <c r="U2315" s="1"/>
      <c r="V2315" s="1"/>
      <c r="W2315" s="1"/>
      <c r="X2315" s="1" t="s">
        <v>45</v>
      </c>
      <c r="Y2315" s="1" t="s">
        <v>8933</v>
      </c>
    </row>
    <row r="2316">
      <c r="A2316" s="1">
        <v>5.9028963E7</v>
      </c>
      <c r="B2316" s="1" t="s">
        <v>8934</v>
      </c>
      <c r="C2316" s="1" t="s">
        <v>2017</v>
      </c>
      <c r="D2316" s="1" t="s">
        <v>2018</v>
      </c>
      <c r="E2316" s="1" t="s">
        <v>7643</v>
      </c>
      <c r="F2316" s="2" t="str">
        <f>"1338767968"</f>
        <v>1338767968</v>
      </c>
      <c r="G2316" s="2" t="str">
        <f>"9781338767964"</f>
        <v>9781338767964</v>
      </c>
      <c r="H2316" s="1" t="s">
        <v>817</v>
      </c>
      <c r="I2316" s="1" t="s">
        <v>238</v>
      </c>
      <c r="J2316" s="1">
        <v>159.0</v>
      </c>
      <c r="K2316" s="1">
        <v>2021.0</v>
      </c>
      <c r="L2316" s="1">
        <v>2021.0</v>
      </c>
      <c r="M2316" s="1"/>
      <c r="N2316" s="1"/>
      <c r="O2316" s="1"/>
      <c r="P2316" s="1"/>
      <c r="Q2316" s="1"/>
      <c r="R2316" s="1"/>
      <c r="S2316" s="1"/>
      <c r="T2316" s="1"/>
      <c r="U2316" s="1"/>
      <c r="V2316" s="1"/>
      <c r="W2316" s="1"/>
      <c r="X2316" s="1" t="s">
        <v>3263</v>
      </c>
      <c r="Y2316" s="1" t="s">
        <v>8935</v>
      </c>
    </row>
    <row r="2317">
      <c r="A2317" s="1">
        <v>9659284.0</v>
      </c>
      <c r="B2317" s="1" t="s">
        <v>8936</v>
      </c>
      <c r="C2317" s="1" t="s">
        <v>8729</v>
      </c>
      <c r="D2317" s="1" t="s">
        <v>8730</v>
      </c>
      <c r="F2317" s="2" t="str">
        <f>"0399254137"</f>
        <v>0399254137</v>
      </c>
      <c r="G2317" s="2" t="str">
        <f>"9780399254130"</f>
        <v>9780399254130</v>
      </c>
      <c r="H2317" s="1" t="s">
        <v>2682</v>
      </c>
      <c r="I2317" s="1" t="s">
        <v>31</v>
      </c>
      <c r="J2317" s="1">
        <v>160.0</v>
      </c>
      <c r="K2317" s="1">
        <v>2011.0</v>
      </c>
      <c r="L2317" s="1">
        <v>2011.0</v>
      </c>
      <c r="M2317" s="1"/>
      <c r="N2317" s="1"/>
      <c r="O2317" s="1"/>
      <c r="P2317" s="1"/>
      <c r="Q2317" s="1"/>
      <c r="R2317" s="1"/>
      <c r="S2317" s="1"/>
      <c r="T2317" s="1"/>
      <c r="U2317" s="1"/>
      <c r="V2317" s="1"/>
      <c r="W2317" s="1"/>
      <c r="X2317" s="1" t="s">
        <v>45</v>
      </c>
      <c r="Y2317" s="1" t="s">
        <v>8937</v>
      </c>
    </row>
    <row r="2318">
      <c r="A2318" s="1">
        <v>80670.0</v>
      </c>
      <c r="B2318" s="1" t="s">
        <v>8938</v>
      </c>
      <c r="C2318" s="1" t="s">
        <v>2639</v>
      </c>
      <c r="D2318" s="1" t="s">
        <v>2640</v>
      </c>
      <c r="F2318" s="2" t="str">
        <f t="shared" ref="F2318:G2318" si="144">""</f>
        <v/>
      </c>
      <c r="G2318" s="2" t="str">
        <f t="shared" si="144"/>
        <v/>
      </c>
      <c r="H2318" s="1" t="s">
        <v>753</v>
      </c>
      <c r="I2318" s="1" t="s">
        <v>36</v>
      </c>
      <c r="J2318" s="1">
        <v>160.0</v>
      </c>
      <c r="K2318" s="1">
        <v>2007.0</v>
      </c>
      <c r="L2318" s="1">
        <v>1972.0</v>
      </c>
      <c r="M2318" s="1"/>
      <c r="N2318" s="1"/>
      <c r="O2318" s="1"/>
      <c r="P2318" s="1"/>
      <c r="Q2318" s="1"/>
      <c r="R2318" s="1"/>
      <c r="S2318" s="1"/>
      <c r="T2318" s="1"/>
      <c r="U2318" s="1"/>
      <c r="V2318" s="1"/>
      <c r="W2318" s="1"/>
      <c r="X2318" s="1" t="s">
        <v>8874</v>
      </c>
      <c r="Y2318" s="1" t="s">
        <v>8939</v>
      </c>
    </row>
    <row r="2319">
      <c r="A2319" s="1">
        <v>3.4506938E7</v>
      </c>
      <c r="B2319" s="1" t="s">
        <v>8940</v>
      </c>
      <c r="C2319" s="1" t="s">
        <v>8941</v>
      </c>
      <c r="D2319" s="1" t="s">
        <v>8942</v>
      </c>
      <c r="F2319" s="2" t="str">
        <f>"1626728852"</f>
        <v>1626728852</v>
      </c>
      <c r="G2319" s="2" t="str">
        <f>"9781626728851"</f>
        <v>9781626728851</v>
      </c>
      <c r="H2319" s="1" t="s">
        <v>2712</v>
      </c>
      <c r="I2319" s="1" t="s">
        <v>31</v>
      </c>
      <c r="J2319" s="1">
        <v>160.0</v>
      </c>
      <c r="K2319" s="1">
        <v>2018.0</v>
      </c>
      <c r="L2319" s="1">
        <v>2018.0</v>
      </c>
      <c r="M2319" s="1"/>
      <c r="N2319" s="1"/>
      <c r="O2319" s="1"/>
      <c r="P2319" s="1"/>
      <c r="Q2319" s="1"/>
      <c r="R2319" s="1"/>
      <c r="S2319" s="1"/>
      <c r="T2319" s="1"/>
      <c r="U2319" s="1"/>
      <c r="V2319" s="1"/>
      <c r="W2319" s="1"/>
      <c r="X2319" s="1" t="s">
        <v>161</v>
      </c>
      <c r="Y2319" s="1" t="s">
        <v>8943</v>
      </c>
    </row>
    <row r="2320">
      <c r="A2320" s="1">
        <v>5.7047912E7</v>
      </c>
      <c r="B2320" s="1" t="s">
        <v>8944</v>
      </c>
      <c r="C2320" s="1" t="s">
        <v>8705</v>
      </c>
      <c r="D2320" s="1" t="s">
        <v>8706</v>
      </c>
      <c r="E2320" s="1" t="s">
        <v>8945</v>
      </c>
      <c r="F2320" s="2" t="str">
        <f>"1338304607"</f>
        <v>1338304607</v>
      </c>
      <c r="G2320" s="2" t="str">
        <f>"9781338304602"</f>
        <v>9781338304602</v>
      </c>
      <c r="H2320" s="1" t="s">
        <v>640</v>
      </c>
      <c r="I2320" s="1" t="s">
        <v>36</v>
      </c>
      <c r="J2320" s="1">
        <v>160.0</v>
      </c>
      <c r="K2320" s="1">
        <v>2021.0</v>
      </c>
      <c r="L2320" s="1">
        <v>2021.0</v>
      </c>
      <c r="M2320" s="1"/>
      <c r="N2320" s="1"/>
      <c r="O2320" s="1"/>
      <c r="P2320" s="1"/>
      <c r="Q2320" s="1"/>
      <c r="R2320" s="1"/>
      <c r="S2320" s="1"/>
      <c r="T2320" s="1"/>
      <c r="U2320" s="1"/>
      <c r="V2320" s="1"/>
      <c r="W2320" s="1"/>
      <c r="X2320" s="1" t="s">
        <v>1024</v>
      </c>
      <c r="Y2320" s="1" t="s">
        <v>8946</v>
      </c>
    </row>
    <row r="2321">
      <c r="A2321" s="1">
        <v>89545.0</v>
      </c>
      <c r="B2321" s="1" t="s">
        <v>8947</v>
      </c>
      <c r="C2321" s="1" t="s">
        <v>2902</v>
      </c>
      <c r="D2321" s="1" t="s">
        <v>2903</v>
      </c>
      <c r="E2321" s="1" t="s">
        <v>8948</v>
      </c>
      <c r="F2321" s="2" t="str">
        <f t="shared" ref="F2321:G2321" si="145">""</f>
        <v/>
      </c>
      <c r="G2321" s="2" t="str">
        <f t="shared" si="145"/>
        <v/>
      </c>
      <c r="H2321" s="1" t="s">
        <v>290</v>
      </c>
      <c r="I2321" s="1" t="s">
        <v>36</v>
      </c>
      <c r="J2321" s="1">
        <v>160.0</v>
      </c>
      <c r="K2321" s="1">
        <v>2015.0</v>
      </c>
      <c r="L2321" s="1">
        <v>1973.0</v>
      </c>
      <c r="M2321" s="1"/>
      <c r="N2321" s="1"/>
      <c r="O2321" s="1"/>
      <c r="P2321" s="1"/>
      <c r="Q2321" s="1"/>
      <c r="R2321" s="1"/>
      <c r="S2321" s="1"/>
      <c r="T2321" s="1"/>
      <c r="U2321" s="1"/>
      <c r="V2321" s="1"/>
      <c r="W2321" s="1"/>
      <c r="X2321" s="1" t="s">
        <v>8949</v>
      </c>
      <c r="Y2321" s="1" t="s">
        <v>8950</v>
      </c>
    </row>
    <row r="2322">
      <c r="A2322" s="1">
        <v>91247.0</v>
      </c>
      <c r="B2322" s="1" t="s">
        <v>8951</v>
      </c>
      <c r="C2322" s="1" t="s">
        <v>2902</v>
      </c>
      <c r="D2322" s="1" t="s">
        <v>2903</v>
      </c>
      <c r="E2322" s="1" t="s">
        <v>8952</v>
      </c>
      <c r="F2322" s="2" t="str">
        <f>"0192751034"</f>
        <v>0192751034</v>
      </c>
      <c r="G2322" s="2" t="str">
        <f>"9780192751034"</f>
        <v>9780192751034</v>
      </c>
      <c r="H2322" s="1" t="s">
        <v>8953</v>
      </c>
      <c r="I2322" s="1" t="s">
        <v>36</v>
      </c>
      <c r="J2322" s="1">
        <v>160.0</v>
      </c>
      <c r="K2322" s="1">
        <v>2000.0</v>
      </c>
      <c r="L2322" s="1">
        <v>1977.0</v>
      </c>
      <c r="M2322" s="1"/>
      <c r="N2322" s="1"/>
      <c r="O2322" s="1"/>
      <c r="P2322" s="1"/>
      <c r="Q2322" s="1"/>
      <c r="R2322" s="1"/>
      <c r="S2322" s="1"/>
      <c r="T2322" s="1"/>
      <c r="U2322" s="1"/>
      <c r="V2322" s="1"/>
      <c r="W2322" s="1"/>
      <c r="X2322" s="1" t="s">
        <v>8954</v>
      </c>
      <c r="Y2322" s="1" t="s">
        <v>8955</v>
      </c>
    </row>
    <row r="2323">
      <c r="A2323" s="1">
        <v>91248.0</v>
      </c>
      <c r="B2323" s="1" t="s">
        <v>8956</v>
      </c>
      <c r="C2323" s="1" t="s">
        <v>2902</v>
      </c>
      <c r="D2323" s="1" t="s">
        <v>2903</v>
      </c>
      <c r="E2323" s="1" t="s">
        <v>8952</v>
      </c>
      <c r="F2323" s="2" t="str">
        <f>"0192751077"</f>
        <v>0192751077</v>
      </c>
      <c r="G2323" s="2" t="str">
        <f>"9780192751072"</f>
        <v>9780192751072</v>
      </c>
      <c r="H2323" s="1" t="s">
        <v>8953</v>
      </c>
      <c r="I2323" s="1" t="s">
        <v>36</v>
      </c>
      <c r="J2323" s="1">
        <v>160.0</v>
      </c>
      <c r="K2323" s="1">
        <v>2000.0</v>
      </c>
      <c r="L2323" s="1">
        <v>1975.0</v>
      </c>
      <c r="M2323" s="1"/>
      <c r="N2323" s="1"/>
      <c r="O2323" s="1"/>
      <c r="P2323" s="1"/>
      <c r="Q2323" s="1"/>
      <c r="R2323" s="1"/>
      <c r="S2323" s="1"/>
      <c r="T2323" s="1"/>
      <c r="U2323" s="1"/>
      <c r="V2323" s="1"/>
      <c r="W2323" s="1"/>
      <c r="X2323" s="1" t="s">
        <v>45</v>
      </c>
      <c r="Y2323" s="1" t="s">
        <v>8957</v>
      </c>
    </row>
    <row r="2324">
      <c r="A2324" s="1">
        <v>91244.0</v>
      </c>
      <c r="B2324" s="1" t="s">
        <v>8958</v>
      </c>
      <c r="C2324" s="1" t="s">
        <v>2902</v>
      </c>
      <c r="D2324" s="1" t="s">
        <v>2903</v>
      </c>
      <c r="F2324" s="2" t="str">
        <f>"0192750968"</f>
        <v>0192750968</v>
      </c>
      <c r="G2324" s="2" t="str">
        <f>"9780192750969"</f>
        <v>9780192750969</v>
      </c>
      <c r="H2324" s="1" t="s">
        <v>8953</v>
      </c>
      <c r="J2324" s="1">
        <v>160.0</v>
      </c>
      <c r="K2324" s="1">
        <v>2000.0</v>
      </c>
      <c r="L2324" s="1">
        <v>1955.0</v>
      </c>
      <c r="M2324" s="1"/>
      <c r="N2324" s="1"/>
      <c r="O2324" s="1"/>
      <c r="P2324" s="1"/>
      <c r="Q2324" s="1"/>
      <c r="R2324" s="1"/>
      <c r="S2324" s="1"/>
      <c r="T2324" s="1"/>
      <c r="U2324" s="1"/>
      <c r="V2324" s="1"/>
      <c r="W2324" s="1"/>
      <c r="X2324" s="1" t="s">
        <v>8451</v>
      </c>
      <c r="Y2324" s="1" t="s">
        <v>8959</v>
      </c>
    </row>
    <row r="2325">
      <c r="A2325" s="1">
        <v>2.8686915E7</v>
      </c>
      <c r="B2325" s="1" t="s">
        <v>8960</v>
      </c>
      <c r="C2325" s="1" t="s">
        <v>8961</v>
      </c>
      <c r="D2325" s="1" t="s">
        <v>8962</v>
      </c>
      <c r="F2325" s="2" t="str">
        <f>"0763689106"</f>
        <v>0763689106</v>
      </c>
      <c r="G2325" s="2" t="str">
        <f>"9780763689100"</f>
        <v>9780763689100</v>
      </c>
      <c r="H2325" s="1" t="s">
        <v>8963</v>
      </c>
      <c r="I2325" s="1" t="s">
        <v>36</v>
      </c>
      <c r="J2325" s="1">
        <v>160.0</v>
      </c>
      <c r="K2325" s="1">
        <v>2016.0</v>
      </c>
      <c r="L2325" s="1">
        <v>2015.0</v>
      </c>
      <c r="M2325" s="1"/>
      <c r="N2325" s="1"/>
      <c r="O2325" s="1"/>
      <c r="P2325" s="1"/>
      <c r="Q2325" s="1"/>
      <c r="R2325" s="1"/>
      <c r="S2325" s="1"/>
      <c r="T2325" s="1"/>
      <c r="U2325" s="1"/>
      <c r="V2325" s="1"/>
      <c r="W2325" s="1"/>
      <c r="X2325" s="1" t="s">
        <v>727</v>
      </c>
      <c r="Y2325" s="1" t="s">
        <v>8964</v>
      </c>
    </row>
    <row r="2326">
      <c r="A2326" s="1">
        <v>2.8686914E7</v>
      </c>
      <c r="B2326" s="1" t="s">
        <v>8965</v>
      </c>
      <c r="C2326" s="1" t="s">
        <v>8961</v>
      </c>
      <c r="D2326" s="1" t="s">
        <v>8962</v>
      </c>
      <c r="F2326" s="2" t="str">
        <f>"0763689092"</f>
        <v>0763689092</v>
      </c>
      <c r="G2326" s="2" t="str">
        <f>"9780763689094"</f>
        <v>9780763689094</v>
      </c>
      <c r="H2326" s="1" t="s">
        <v>8963</v>
      </c>
      <c r="I2326" s="1" t="s">
        <v>36</v>
      </c>
      <c r="J2326" s="1">
        <v>160.0</v>
      </c>
      <c r="K2326" s="1">
        <v>2016.0</v>
      </c>
      <c r="L2326" s="1">
        <v>2016.0</v>
      </c>
    </row>
    <row r="2327">
      <c r="A2327" s="1">
        <v>1.7454738E7</v>
      </c>
      <c r="B2327" s="1" t="s">
        <v>8966</v>
      </c>
      <c r="C2327" s="1" t="s">
        <v>2257</v>
      </c>
      <c r="D2327" s="1" t="s">
        <v>2258</v>
      </c>
      <c r="E2327" s="1" t="s">
        <v>8967</v>
      </c>
      <c r="F2327" s="2" t="str">
        <f>"1250029147"</f>
        <v>1250029147</v>
      </c>
      <c r="G2327" s="2" t="str">
        <f>"9781250029140"</f>
        <v>9781250029140</v>
      </c>
      <c r="H2327" s="1" t="s">
        <v>2940</v>
      </c>
      <c r="I2327" s="1" t="s">
        <v>31</v>
      </c>
      <c r="J2327" s="1">
        <v>160.0</v>
      </c>
      <c r="K2327" s="1">
        <v>2014.0</v>
      </c>
      <c r="L2327" s="1">
        <v>2014.0</v>
      </c>
      <c r="M2327" s="1"/>
      <c r="N2327" s="1"/>
      <c r="O2327" s="1"/>
      <c r="P2327" s="1"/>
      <c r="Q2327" s="1"/>
      <c r="R2327" s="1"/>
      <c r="S2327" s="1"/>
      <c r="T2327" s="1"/>
      <c r="U2327" s="1"/>
      <c r="V2327" s="1"/>
      <c r="W2327" s="1"/>
      <c r="X2327" s="1" t="s">
        <v>45</v>
      </c>
      <c r="Y2327" s="1" t="s">
        <v>8968</v>
      </c>
    </row>
    <row r="2328">
      <c r="A2328" s="1">
        <v>3.3098183E7</v>
      </c>
      <c r="B2328" s="1" t="s">
        <v>8969</v>
      </c>
      <c r="C2328" s="1" t="s">
        <v>8970</v>
      </c>
      <c r="D2328" s="1" t="s">
        <v>8971</v>
      </c>
      <c r="F2328" s="2" t="str">
        <f>"1524770450"</f>
        <v>1524770450</v>
      </c>
      <c r="G2328" s="2" t="str">
        <f>"9781524770457"</f>
        <v>9781524770457</v>
      </c>
      <c r="H2328" s="1" t="s">
        <v>1072</v>
      </c>
      <c r="I2328" s="1" t="s">
        <v>31</v>
      </c>
      <c r="J2328" s="1">
        <v>160.0</v>
      </c>
      <c r="K2328" s="1">
        <v>2018.0</v>
      </c>
      <c r="L2328" s="1">
        <v>2018.0</v>
      </c>
      <c r="M2328" s="1"/>
      <c r="N2328" s="1"/>
      <c r="O2328" s="1"/>
      <c r="P2328" s="1"/>
      <c r="Q2328" s="1"/>
      <c r="R2328" s="1"/>
      <c r="S2328" s="1"/>
      <c r="T2328" s="1"/>
      <c r="U2328" s="1"/>
      <c r="V2328" s="1"/>
      <c r="W2328" s="1"/>
      <c r="X2328" s="1" t="s">
        <v>8702</v>
      </c>
      <c r="Y2328" s="1" t="s">
        <v>8972</v>
      </c>
    </row>
    <row r="2329">
      <c r="A2329" s="1">
        <v>2231917.0</v>
      </c>
      <c r="B2329" s="1" t="s">
        <v>8973</v>
      </c>
      <c r="C2329" s="1" t="s">
        <v>3342</v>
      </c>
      <c r="D2329" s="1" t="s">
        <v>3343</v>
      </c>
      <c r="F2329" s="2" t="str">
        <f>"0152558209"</f>
        <v>0152558209</v>
      </c>
      <c r="G2329" s="2" t="str">
        <f>"9780152558208"</f>
        <v>9780152558208</v>
      </c>
      <c r="H2329" s="1" t="s">
        <v>4841</v>
      </c>
      <c r="I2329" s="1" t="s">
        <v>31</v>
      </c>
      <c r="J2329" s="1">
        <v>160.0</v>
      </c>
      <c r="K2329" s="1">
        <v>1991.0</v>
      </c>
      <c r="L2329" s="1">
        <v>1991.0</v>
      </c>
      <c r="M2329" s="1"/>
      <c r="N2329" s="1"/>
      <c r="O2329" s="1"/>
      <c r="P2329" s="1"/>
      <c r="Q2329" s="1"/>
      <c r="R2329" s="1"/>
      <c r="S2329" s="1"/>
      <c r="T2329" s="1"/>
      <c r="U2329" s="1"/>
      <c r="V2329" s="1"/>
      <c r="W2329" s="1"/>
      <c r="X2329" s="1" t="s">
        <v>1235</v>
      </c>
      <c r="Y2329" s="1" t="s">
        <v>8974</v>
      </c>
    </row>
    <row r="2330">
      <c r="A2330" s="1">
        <v>5.7835951E7</v>
      </c>
      <c r="B2330" s="1" t="s">
        <v>8975</v>
      </c>
      <c r="C2330" s="1" t="s">
        <v>8976</v>
      </c>
      <c r="D2330" s="1" t="s">
        <v>8977</v>
      </c>
      <c r="E2330" s="1" t="s">
        <v>8978</v>
      </c>
      <c r="F2330" s="2" t="str">
        <f>"1338767216"</f>
        <v>1338767216</v>
      </c>
      <c r="G2330" s="2" t="str">
        <f>"9781338767216"</f>
        <v>9781338767216</v>
      </c>
      <c r="H2330" s="1" t="s">
        <v>817</v>
      </c>
      <c r="I2330" s="1" t="s">
        <v>36</v>
      </c>
      <c r="J2330" s="1">
        <v>160.0</v>
      </c>
      <c r="K2330" s="1">
        <v>2022.0</v>
      </c>
      <c r="L2330" s="1">
        <v>2022.0</v>
      </c>
      <c r="M2330" s="1"/>
      <c r="N2330" s="1"/>
      <c r="O2330" s="1"/>
      <c r="P2330" s="1"/>
      <c r="Q2330" s="1"/>
      <c r="R2330" s="1"/>
      <c r="S2330" s="1"/>
      <c r="T2330" s="1"/>
      <c r="U2330" s="1"/>
      <c r="V2330" s="1"/>
      <c r="W2330" s="1"/>
      <c r="X2330" s="1" t="s">
        <v>609</v>
      </c>
      <c r="Y2330" s="1" t="s">
        <v>8979</v>
      </c>
    </row>
    <row r="2331">
      <c r="A2331" s="1">
        <v>3.5464021E7</v>
      </c>
      <c r="B2331" s="1" t="s">
        <v>8980</v>
      </c>
      <c r="C2331" s="1" t="s">
        <v>8981</v>
      </c>
      <c r="D2331" s="1" t="s">
        <v>8982</v>
      </c>
      <c r="F2331" s="2" t="str">
        <f>"0735230463"</f>
        <v>0735230463</v>
      </c>
      <c r="G2331" s="2" t="str">
        <f>"9780735230460"</f>
        <v>9780735230460</v>
      </c>
      <c r="H2331" s="1" t="s">
        <v>2600</v>
      </c>
      <c r="I2331" s="1" t="s">
        <v>31</v>
      </c>
      <c r="J2331" s="1">
        <v>160.0</v>
      </c>
      <c r="K2331" s="1">
        <v>2018.0</v>
      </c>
      <c r="L2331" s="1">
        <v>2018.0</v>
      </c>
      <c r="M2331" s="1"/>
      <c r="N2331" s="1"/>
      <c r="O2331" s="1"/>
      <c r="P2331" s="1"/>
      <c r="Q2331" s="1"/>
      <c r="R2331" s="1"/>
      <c r="S2331" s="1"/>
      <c r="T2331" s="1"/>
      <c r="U2331" s="1"/>
      <c r="V2331" s="1"/>
      <c r="W2331" s="1"/>
      <c r="X2331" s="1" t="s">
        <v>458</v>
      </c>
      <c r="Y2331" s="1" t="s">
        <v>8983</v>
      </c>
    </row>
    <row r="2332">
      <c r="A2332" s="1">
        <v>2.196509E7</v>
      </c>
      <c r="B2332" s="1" t="s">
        <v>8984</v>
      </c>
      <c r="C2332" s="1" t="s">
        <v>1072</v>
      </c>
      <c r="D2332" s="1" t="s">
        <v>1073</v>
      </c>
      <c r="E2332" s="1" t="s">
        <v>8985</v>
      </c>
      <c r="F2332" s="2" t="str">
        <f>"0385384963"</f>
        <v>0385384963</v>
      </c>
      <c r="G2332" s="2" t="str">
        <f>"9780385384964"</f>
        <v>9780385384964</v>
      </c>
      <c r="H2332" s="1" t="s">
        <v>156</v>
      </c>
      <c r="I2332" s="1" t="s">
        <v>36</v>
      </c>
      <c r="J2332" s="1">
        <v>160.0</v>
      </c>
      <c r="K2332" s="1">
        <v>2015.0</v>
      </c>
      <c r="L2332" s="1">
        <v>2015.0</v>
      </c>
      <c r="M2332" s="1"/>
      <c r="N2332" s="1"/>
      <c r="O2332" s="1"/>
      <c r="P2332" s="1"/>
      <c r="Q2332" s="1"/>
      <c r="R2332" s="1"/>
      <c r="S2332" s="1"/>
      <c r="T2332" s="1"/>
      <c r="U2332" s="1"/>
      <c r="V2332" s="1"/>
      <c r="W2332" s="1"/>
      <c r="X2332" s="1" t="s">
        <v>960</v>
      </c>
      <c r="Y2332" s="1" t="s">
        <v>8986</v>
      </c>
    </row>
    <row r="2333">
      <c r="A2333" s="1">
        <v>2.9221528E7</v>
      </c>
      <c r="B2333" s="1" t="s">
        <v>8987</v>
      </c>
      <c r="C2333" s="1" t="s">
        <v>8988</v>
      </c>
      <c r="D2333" s="1" t="s">
        <v>8989</v>
      </c>
      <c r="F2333" s="2" t="str">
        <f t="shared" ref="F2333:G2333" si="146">""</f>
        <v/>
      </c>
      <c r="G2333" s="2" t="str">
        <f t="shared" si="146"/>
        <v/>
      </c>
      <c r="H2333" s="1" t="s">
        <v>726</v>
      </c>
      <c r="I2333" s="1" t="s">
        <v>31</v>
      </c>
      <c r="J2333" s="1">
        <v>160.0</v>
      </c>
      <c r="K2333" s="1">
        <v>2017.0</v>
      </c>
      <c r="L2333" s="1">
        <v>2017.0</v>
      </c>
    </row>
    <row r="2334">
      <c r="A2334" s="1">
        <v>5.9629549E7</v>
      </c>
      <c r="B2334" s="1" t="s">
        <v>8990</v>
      </c>
      <c r="C2334" s="1" t="s">
        <v>8991</v>
      </c>
      <c r="D2334" s="1" t="s">
        <v>8992</v>
      </c>
      <c r="F2334" s="2" t="str">
        <f>"0062970453"</f>
        <v>0062970453</v>
      </c>
      <c r="G2334" s="2" t="str">
        <f>"9780062970459"</f>
        <v>9780062970459</v>
      </c>
      <c r="H2334" s="1" t="s">
        <v>1570</v>
      </c>
      <c r="I2334" s="1" t="s">
        <v>31</v>
      </c>
      <c r="J2334" s="1">
        <v>160.0</v>
      </c>
      <c r="K2334" s="1">
        <v>2022.0</v>
      </c>
      <c r="L2334" s="1">
        <v>2022.0</v>
      </c>
    </row>
    <row r="2335">
      <c r="A2335" s="1">
        <v>498917.0</v>
      </c>
      <c r="B2335" s="1" t="s">
        <v>8993</v>
      </c>
      <c r="C2335" s="1" t="s">
        <v>8994</v>
      </c>
      <c r="D2335" s="1" t="s">
        <v>8995</v>
      </c>
      <c r="F2335" s="2" t="str">
        <f>"1584855916"</f>
        <v>1584855916</v>
      </c>
      <c r="G2335" s="2" t="str">
        <f>"9781584855910"</f>
        <v>9781584855910</v>
      </c>
      <c r="H2335" s="1" t="s">
        <v>7719</v>
      </c>
      <c r="I2335" s="1" t="s">
        <v>36</v>
      </c>
      <c r="J2335" s="1">
        <v>160.0</v>
      </c>
      <c r="K2335" s="1">
        <v>2003.0</v>
      </c>
      <c r="L2335" s="1">
        <v>2003.0</v>
      </c>
      <c r="M2335" s="1"/>
      <c r="N2335" s="1"/>
      <c r="O2335" s="1"/>
      <c r="P2335" s="1"/>
      <c r="Q2335" s="1"/>
      <c r="R2335" s="1"/>
      <c r="S2335" s="1"/>
      <c r="T2335" s="1"/>
      <c r="U2335" s="1"/>
      <c r="V2335" s="1"/>
      <c r="W2335" s="1"/>
      <c r="X2335" s="1" t="s">
        <v>45</v>
      </c>
      <c r="Y2335" s="1" t="s">
        <v>8996</v>
      </c>
    </row>
    <row r="2336">
      <c r="A2336" s="1">
        <v>19302.0</v>
      </c>
      <c r="B2336" s="1" t="s">
        <v>8997</v>
      </c>
      <c r="C2336" s="1" t="s">
        <v>8998</v>
      </c>
      <c r="D2336" s="1" t="s">
        <v>8999</v>
      </c>
      <c r="E2336" s="1" t="s">
        <v>9000</v>
      </c>
      <c r="F2336" s="2" t="str">
        <f>"0142402494"</f>
        <v>0142402494</v>
      </c>
      <c r="G2336" s="2" t="str">
        <f>"9780142402498"</f>
        <v>9780142402498</v>
      </c>
      <c r="H2336" s="1" t="s">
        <v>753</v>
      </c>
      <c r="I2336" s="1" t="s">
        <v>400</v>
      </c>
      <c r="J2336" s="1">
        <v>160.0</v>
      </c>
      <c r="K2336" s="1">
        <v>2005.0</v>
      </c>
      <c r="L2336" s="1">
        <v>1945.0</v>
      </c>
      <c r="M2336" s="1"/>
      <c r="N2336" s="1"/>
      <c r="O2336" s="1"/>
      <c r="P2336" s="1"/>
      <c r="Q2336" s="1"/>
      <c r="R2336" s="1"/>
      <c r="S2336" s="1"/>
      <c r="T2336" s="1"/>
      <c r="U2336" s="1"/>
      <c r="V2336" s="1"/>
      <c r="W2336" s="1"/>
      <c r="X2336" s="1" t="s">
        <v>291</v>
      </c>
      <c r="Y2336" s="1" t="s">
        <v>9001</v>
      </c>
    </row>
    <row r="2337">
      <c r="A2337" s="1">
        <v>2.3604418E7</v>
      </c>
      <c r="B2337" s="1" t="s">
        <v>9002</v>
      </c>
      <c r="C2337" s="1" t="s">
        <v>8790</v>
      </c>
      <c r="D2337" s="1" t="s">
        <v>8791</v>
      </c>
      <c r="E2337" s="1" t="s">
        <v>8792</v>
      </c>
      <c r="F2337" s="2" t="str">
        <f>"0545639174"</f>
        <v>0545639174</v>
      </c>
      <c r="G2337" s="2" t="str">
        <f>"9780545639170"</f>
        <v>9780545639170</v>
      </c>
      <c r="H2337" s="1" t="s">
        <v>857</v>
      </c>
      <c r="I2337" s="1" t="s">
        <v>36</v>
      </c>
      <c r="J2337" s="1">
        <v>160.0</v>
      </c>
      <c r="K2337" s="1">
        <v>2015.0</v>
      </c>
      <c r="L2337" s="1">
        <v>2015.0</v>
      </c>
      <c r="M2337" s="1"/>
      <c r="N2337" s="1"/>
      <c r="O2337" s="1"/>
      <c r="P2337" s="1"/>
      <c r="Q2337" s="1"/>
      <c r="R2337" s="1"/>
      <c r="S2337" s="1"/>
      <c r="T2337" s="1"/>
      <c r="U2337" s="1"/>
      <c r="V2337" s="1"/>
      <c r="W2337" s="1"/>
      <c r="X2337" s="1" t="s">
        <v>45</v>
      </c>
      <c r="Y2337" s="1" t="s">
        <v>9003</v>
      </c>
    </row>
    <row r="2338">
      <c r="A2338" s="1">
        <v>1.5818208E7</v>
      </c>
      <c r="B2338" s="1" t="s">
        <v>9004</v>
      </c>
      <c r="C2338" s="1" t="s">
        <v>494</v>
      </c>
      <c r="D2338" s="1" t="s">
        <v>495</v>
      </c>
      <c r="E2338" s="1" t="s">
        <v>4550</v>
      </c>
      <c r="F2338" s="2" t="str">
        <f>"0062094998"</f>
        <v>0062094998</v>
      </c>
      <c r="G2338" s="2" t="str">
        <f>"9780062094995"</f>
        <v>9780062094995</v>
      </c>
      <c r="H2338" s="1" t="s">
        <v>1570</v>
      </c>
      <c r="I2338" s="1" t="s">
        <v>36</v>
      </c>
      <c r="J2338" s="1">
        <v>160.0</v>
      </c>
      <c r="K2338" s="1">
        <v>2013.0</v>
      </c>
      <c r="L2338" s="1">
        <v>2013.0</v>
      </c>
      <c r="M2338" s="1"/>
      <c r="N2338" s="1"/>
      <c r="O2338" s="1"/>
      <c r="P2338" s="1"/>
      <c r="Q2338" s="1"/>
      <c r="R2338" s="1"/>
      <c r="S2338" s="1"/>
      <c r="T2338" s="1"/>
      <c r="U2338" s="1"/>
      <c r="V2338" s="1"/>
      <c r="W2338" s="1"/>
      <c r="X2338" s="1" t="s">
        <v>45</v>
      </c>
      <c r="Y2338" s="1" t="s">
        <v>9005</v>
      </c>
    </row>
    <row r="2339">
      <c r="A2339" s="1">
        <v>39973.0</v>
      </c>
      <c r="B2339" s="1" t="s">
        <v>9006</v>
      </c>
      <c r="C2339" s="1" t="s">
        <v>9007</v>
      </c>
      <c r="D2339" s="1" t="s">
        <v>9008</v>
      </c>
      <c r="F2339" s="2" t="str">
        <f>"0803730802"</f>
        <v>0803730802</v>
      </c>
      <c r="G2339" s="2" t="str">
        <f>"9780803730809"</f>
        <v>9780803730809</v>
      </c>
      <c r="H2339" s="1" t="s">
        <v>2600</v>
      </c>
      <c r="I2339" s="1" t="s">
        <v>31</v>
      </c>
      <c r="J2339" s="1">
        <v>160.0</v>
      </c>
      <c r="K2339" s="1">
        <v>2006.0</v>
      </c>
      <c r="L2339" s="1">
        <v>2006.0</v>
      </c>
      <c r="M2339" s="1"/>
      <c r="N2339" s="1"/>
      <c r="O2339" s="1"/>
      <c r="P2339" s="1"/>
      <c r="Q2339" s="1"/>
      <c r="R2339" s="1"/>
      <c r="S2339" s="1"/>
      <c r="T2339" s="1"/>
      <c r="U2339" s="1"/>
      <c r="V2339" s="1"/>
      <c r="W2339" s="1"/>
      <c r="X2339" s="1" t="s">
        <v>458</v>
      </c>
      <c r="Y2339" s="1" t="s">
        <v>9009</v>
      </c>
    </row>
    <row r="2340">
      <c r="A2340" s="1">
        <v>2.491302E7</v>
      </c>
      <c r="B2340" s="1" t="s">
        <v>9010</v>
      </c>
      <c r="C2340" s="1" t="s">
        <v>546</v>
      </c>
      <c r="D2340" s="1" t="s">
        <v>547</v>
      </c>
      <c r="F2340" s="2" t="str">
        <f>"8434889013"</f>
        <v>8434889013</v>
      </c>
      <c r="G2340" s="2" t="str">
        <f>"9788434889019"</f>
        <v>9788434889019</v>
      </c>
      <c r="H2340" s="1" t="s">
        <v>7471</v>
      </c>
      <c r="I2340" s="1" t="s">
        <v>36</v>
      </c>
      <c r="J2340" s="1">
        <v>160.0</v>
      </c>
      <c r="K2340" s="1">
        <v>2002.0</v>
      </c>
      <c r="L2340" s="1">
        <v>2000.0</v>
      </c>
      <c r="M2340" s="1"/>
      <c r="N2340" s="1"/>
      <c r="O2340" s="1"/>
      <c r="P2340" s="1"/>
      <c r="Q2340" s="1"/>
      <c r="R2340" s="1"/>
      <c r="S2340" s="1"/>
      <c r="T2340" s="1"/>
      <c r="U2340" s="1"/>
      <c r="V2340" s="1"/>
      <c r="W2340" s="1"/>
      <c r="X2340" s="1" t="s">
        <v>92</v>
      </c>
      <c r="Y2340" s="1" t="s">
        <v>9011</v>
      </c>
    </row>
    <row r="2341">
      <c r="A2341" s="1">
        <v>1.6062282E7</v>
      </c>
      <c r="B2341" s="1" t="s">
        <v>9012</v>
      </c>
      <c r="C2341" s="1" t="s">
        <v>1114</v>
      </c>
      <c r="D2341" s="1" t="s">
        <v>1115</v>
      </c>
      <c r="F2341" s="2" t="str">
        <f>"0756692849"</f>
        <v>0756692849</v>
      </c>
      <c r="G2341" s="2" t="str">
        <f>"9780756692841"</f>
        <v>9780756692841</v>
      </c>
      <c r="H2341" s="1" t="s">
        <v>1089</v>
      </c>
      <c r="I2341" s="1" t="s">
        <v>31</v>
      </c>
      <c r="J2341" s="1">
        <v>160.0</v>
      </c>
      <c r="K2341" s="1">
        <v>2012.0</v>
      </c>
      <c r="L2341" s="1">
        <v>2012.0</v>
      </c>
      <c r="M2341" s="1"/>
      <c r="N2341" s="1"/>
      <c r="O2341" s="1"/>
      <c r="P2341" s="1"/>
      <c r="Q2341" s="1"/>
      <c r="R2341" s="1"/>
      <c r="S2341" s="1"/>
      <c r="T2341" s="1"/>
      <c r="U2341" s="1"/>
      <c r="V2341" s="1"/>
      <c r="W2341" s="1"/>
      <c r="X2341" s="1" t="s">
        <v>629</v>
      </c>
      <c r="Y2341" s="1" t="s">
        <v>9013</v>
      </c>
    </row>
    <row r="2342">
      <c r="A2342" s="1">
        <v>1.6062296E7</v>
      </c>
      <c r="B2342" s="1" t="s">
        <v>9014</v>
      </c>
      <c r="C2342" s="1" t="s">
        <v>1114</v>
      </c>
      <c r="D2342" s="1" t="s">
        <v>1115</v>
      </c>
      <c r="F2342" s="2" t="str">
        <f>"0756693152"</f>
        <v>0756693152</v>
      </c>
      <c r="G2342" s="2" t="str">
        <f>"9780756693152"</f>
        <v>9780756693152</v>
      </c>
      <c r="H2342" s="1" t="s">
        <v>1089</v>
      </c>
      <c r="I2342" s="1" t="s">
        <v>31</v>
      </c>
      <c r="J2342" s="1">
        <v>160.0</v>
      </c>
      <c r="K2342" s="1">
        <v>2012.0</v>
      </c>
      <c r="L2342" s="1">
        <v>2012.0</v>
      </c>
      <c r="M2342" s="1"/>
      <c r="N2342" s="1"/>
      <c r="O2342" s="1"/>
      <c r="P2342" s="1"/>
      <c r="Q2342" s="1"/>
      <c r="R2342" s="1"/>
      <c r="S2342" s="1"/>
      <c r="T2342" s="1"/>
      <c r="U2342" s="1"/>
      <c r="V2342" s="1"/>
      <c r="W2342" s="1"/>
      <c r="X2342" s="1" t="s">
        <v>629</v>
      </c>
      <c r="Y2342" s="1" t="s">
        <v>9015</v>
      </c>
    </row>
    <row r="2343">
      <c r="A2343" s="1">
        <v>5.1784455E7</v>
      </c>
      <c r="B2343" s="1" t="s">
        <v>9016</v>
      </c>
      <c r="C2343" s="1" t="s">
        <v>1114</v>
      </c>
      <c r="D2343" s="1" t="s">
        <v>1115</v>
      </c>
      <c r="F2343" s="2" t="str">
        <f>"146549099X"</f>
        <v>146549099X</v>
      </c>
      <c r="G2343" s="2" t="str">
        <f>"9781465490995"</f>
        <v>9781465490995</v>
      </c>
      <c r="H2343" s="1" t="s">
        <v>9017</v>
      </c>
      <c r="I2343" s="1" t="s">
        <v>36</v>
      </c>
      <c r="J2343" s="1">
        <v>160.0</v>
      </c>
      <c r="K2343" s="1">
        <v>2020.0</v>
      </c>
      <c r="M2343" s="1"/>
      <c r="N2343" s="1"/>
      <c r="O2343" s="1"/>
      <c r="P2343" s="1"/>
      <c r="Q2343" s="1"/>
      <c r="R2343" s="1"/>
      <c r="S2343" s="1"/>
      <c r="T2343" s="1"/>
      <c r="U2343" s="1"/>
      <c r="V2343" s="1"/>
      <c r="W2343" s="1"/>
      <c r="X2343" s="1" t="s">
        <v>629</v>
      </c>
      <c r="Y2343" s="1" t="s">
        <v>9018</v>
      </c>
    </row>
    <row r="2344">
      <c r="A2344" s="1">
        <v>2.8691965E7</v>
      </c>
      <c r="B2344" s="1" t="s">
        <v>9019</v>
      </c>
      <c r="C2344" s="1" t="s">
        <v>9020</v>
      </c>
      <c r="D2344" s="1" t="s">
        <v>9021</v>
      </c>
      <c r="F2344" s="2" t="str">
        <f>"1338054686"</f>
        <v>1338054686</v>
      </c>
      <c r="G2344" s="2" t="str">
        <f>"9781338054682"</f>
        <v>9781338054682</v>
      </c>
      <c r="H2344" s="1" t="s">
        <v>1575</v>
      </c>
      <c r="I2344" s="1" t="s">
        <v>36</v>
      </c>
      <c r="J2344" s="1">
        <v>160.0</v>
      </c>
      <c r="K2344" s="1">
        <v>2016.0</v>
      </c>
      <c r="L2344" s="1">
        <v>2010.0</v>
      </c>
      <c r="M2344" s="1"/>
      <c r="N2344" s="1"/>
      <c r="O2344" s="1"/>
      <c r="P2344" s="1"/>
      <c r="Q2344" s="1"/>
      <c r="R2344" s="1"/>
      <c r="S2344" s="1"/>
      <c r="T2344" s="1"/>
      <c r="U2344" s="1"/>
      <c r="V2344" s="1"/>
      <c r="W2344" s="1"/>
      <c r="X2344" s="1" t="s">
        <v>852</v>
      </c>
      <c r="Y2344" s="1" t="s">
        <v>9022</v>
      </c>
    </row>
    <row r="2345">
      <c r="A2345" s="1">
        <v>1.6228884E7</v>
      </c>
      <c r="B2345" s="1" t="s">
        <v>9023</v>
      </c>
      <c r="C2345" s="1" t="s">
        <v>9024</v>
      </c>
      <c r="D2345" s="1" t="s">
        <v>9025</v>
      </c>
      <c r="F2345" s="2" t="str">
        <f>"1423170881"</f>
        <v>1423170881</v>
      </c>
      <c r="G2345" s="2" t="str">
        <f>"9781423170884"</f>
        <v>9781423170884</v>
      </c>
      <c r="H2345" s="1" t="s">
        <v>851</v>
      </c>
      <c r="I2345" s="1" t="s">
        <v>36</v>
      </c>
      <c r="J2345" s="1">
        <v>160.0</v>
      </c>
      <c r="K2345" s="1">
        <v>2013.0</v>
      </c>
      <c r="L2345" s="1">
        <v>2013.0</v>
      </c>
      <c r="M2345" s="1"/>
      <c r="N2345" s="1"/>
      <c r="O2345" s="1"/>
      <c r="P2345" s="1"/>
      <c r="Q2345" s="1"/>
      <c r="R2345" s="1"/>
      <c r="S2345" s="1"/>
      <c r="T2345" s="1"/>
      <c r="U2345" s="1"/>
      <c r="V2345" s="1"/>
      <c r="W2345" s="1"/>
      <c r="X2345" s="1" t="s">
        <v>609</v>
      </c>
      <c r="Y2345" s="1" t="s">
        <v>9026</v>
      </c>
    </row>
    <row r="2346">
      <c r="A2346" s="1">
        <v>335958.0</v>
      </c>
      <c r="B2346" s="1" t="s">
        <v>9027</v>
      </c>
      <c r="C2346" s="1" t="s">
        <v>9028</v>
      </c>
      <c r="D2346" s="1" t="s">
        <v>9029</v>
      </c>
      <c r="E2346" s="1" t="s">
        <v>9030</v>
      </c>
      <c r="F2346" s="2" t="str">
        <f>"030717025X"</f>
        <v>030717025X</v>
      </c>
      <c r="G2346" s="2" t="str">
        <f>"9780307170255"</f>
        <v>9780307170255</v>
      </c>
      <c r="H2346" s="1" t="s">
        <v>2009</v>
      </c>
      <c r="I2346" s="1" t="s">
        <v>31</v>
      </c>
      <c r="J2346" s="1">
        <v>160.0</v>
      </c>
      <c r="K2346" s="1">
        <v>1999.0</v>
      </c>
      <c r="L2346" s="1">
        <v>1958.0</v>
      </c>
      <c r="M2346" s="1"/>
      <c r="N2346" s="1"/>
      <c r="O2346" s="1"/>
      <c r="P2346" s="1"/>
      <c r="Q2346" s="1"/>
      <c r="R2346" s="1"/>
      <c r="S2346" s="1"/>
      <c r="T2346" s="1"/>
      <c r="U2346" s="1"/>
      <c r="V2346" s="1"/>
      <c r="W2346" s="1"/>
      <c r="X2346" s="1" t="s">
        <v>452</v>
      </c>
      <c r="Y2346" s="1" t="s">
        <v>9031</v>
      </c>
    </row>
    <row r="2347">
      <c r="A2347" s="1">
        <v>64229.0</v>
      </c>
      <c r="B2347" s="1" t="s">
        <v>9032</v>
      </c>
      <c r="C2347" s="1" t="s">
        <v>9033</v>
      </c>
      <c r="D2347" s="1" t="s">
        <v>9034</v>
      </c>
      <c r="F2347" s="2" t="str">
        <f>"0394747232"</f>
        <v>0394747232</v>
      </c>
      <c r="G2347" s="2" t="str">
        <f>"9780394747231"</f>
        <v>9780394747231</v>
      </c>
      <c r="H2347" s="1" t="s">
        <v>9035</v>
      </c>
      <c r="I2347" s="1" t="s">
        <v>36</v>
      </c>
      <c r="J2347" s="1">
        <v>160.0</v>
      </c>
      <c r="K2347" s="1">
        <v>1986.0</v>
      </c>
      <c r="L2347" s="1">
        <v>1986.0</v>
      </c>
      <c r="M2347" s="1"/>
      <c r="N2347" s="1"/>
      <c r="O2347" s="1"/>
      <c r="P2347" s="1"/>
      <c r="Q2347" s="1"/>
      <c r="R2347" s="1"/>
      <c r="S2347" s="1"/>
      <c r="T2347" s="1"/>
      <c r="U2347" s="1"/>
      <c r="V2347" s="1"/>
      <c r="W2347" s="1"/>
      <c r="X2347" s="1" t="s">
        <v>1024</v>
      </c>
      <c r="Y2347" s="1" t="s">
        <v>9036</v>
      </c>
    </row>
    <row r="2348">
      <c r="A2348" s="1">
        <v>2.2747791E7</v>
      </c>
      <c r="B2348" s="1" t="s">
        <v>9037</v>
      </c>
      <c r="C2348" s="1" t="s">
        <v>9038</v>
      </c>
      <c r="D2348" s="1" t="s">
        <v>9039</v>
      </c>
      <c r="E2348" s="1" t="s">
        <v>5362</v>
      </c>
      <c r="F2348" s="2" t="str">
        <f>"076365857X"</f>
        <v>076365857X</v>
      </c>
      <c r="G2348" s="2" t="str">
        <f>"9780763658571"</f>
        <v>9780763658571</v>
      </c>
      <c r="H2348" s="1" t="s">
        <v>945</v>
      </c>
      <c r="I2348" s="1" t="s">
        <v>31</v>
      </c>
      <c r="J2348" s="1">
        <v>160.0</v>
      </c>
      <c r="K2348" s="1">
        <v>2015.0</v>
      </c>
      <c r="L2348" s="1">
        <v>2015.0</v>
      </c>
      <c r="M2348" s="1"/>
      <c r="N2348" s="1"/>
      <c r="O2348" s="1"/>
      <c r="P2348" s="1"/>
      <c r="Q2348" s="1"/>
      <c r="R2348" s="1"/>
      <c r="S2348" s="1"/>
      <c r="T2348" s="1"/>
      <c r="U2348" s="1"/>
      <c r="V2348" s="1"/>
      <c r="W2348" s="1"/>
      <c r="X2348" s="1" t="s">
        <v>45</v>
      </c>
      <c r="Y2348" s="1" t="s">
        <v>9040</v>
      </c>
    </row>
    <row r="2349">
      <c r="A2349" s="1">
        <v>125553.0</v>
      </c>
      <c r="B2349" s="1" t="s">
        <v>9041</v>
      </c>
      <c r="C2349" s="1" t="s">
        <v>8370</v>
      </c>
      <c r="D2349" s="1" t="s">
        <v>8371</v>
      </c>
      <c r="F2349" s="2" t="str">
        <f>"0439568471"</f>
        <v>0439568471</v>
      </c>
      <c r="G2349" s="2" t="str">
        <f>"9780439568470"</f>
        <v>9780439568470</v>
      </c>
      <c r="H2349" s="1" t="s">
        <v>50</v>
      </c>
      <c r="I2349" s="1" t="s">
        <v>36</v>
      </c>
      <c r="J2349" s="1">
        <v>160.0</v>
      </c>
      <c r="K2349" s="1">
        <v>2003.0</v>
      </c>
      <c r="L2349" s="1">
        <v>1992.0</v>
      </c>
      <c r="M2349" s="1"/>
      <c r="N2349" s="1"/>
      <c r="O2349" s="1"/>
      <c r="P2349" s="1"/>
      <c r="Q2349" s="1"/>
      <c r="R2349" s="1"/>
      <c r="S2349" s="1"/>
      <c r="T2349" s="1"/>
      <c r="U2349" s="1"/>
      <c r="V2349" s="1"/>
      <c r="W2349" s="1"/>
      <c r="X2349" s="1" t="s">
        <v>8068</v>
      </c>
      <c r="Y2349" s="1" t="s">
        <v>9042</v>
      </c>
    </row>
    <row r="2350">
      <c r="A2350" s="1">
        <v>125542.0</v>
      </c>
      <c r="B2350" s="1" t="s">
        <v>9043</v>
      </c>
      <c r="C2350" s="1" t="s">
        <v>8370</v>
      </c>
      <c r="D2350" s="1" t="s">
        <v>8371</v>
      </c>
      <c r="F2350" s="2" t="str">
        <f>"0439568455"</f>
        <v>0439568455</v>
      </c>
      <c r="G2350" s="2" t="str">
        <f>"9780439568456"</f>
        <v>9780439568456</v>
      </c>
      <c r="H2350" s="1" t="s">
        <v>50</v>
      </c>
      <c r="I2350" s="1" t="s">
        <v>36</v>
      </c>
      <c r="J2350" s="1">
        <v>160.0</v>
      </c>
      <c r="K2350" s="1">
        <v>1992.0</v>
      </c>
      <c r="L2350" s="1">
        <v>1992.0</v>
      </c>
      <c r="M2350" s="1"/>
      <c r="N2350" s="1"/>
      <c r="O2350" s="1"/>
      <c r="P2350" s="1"/>
      <c r="Q2350" s="1"/>
      <c r="R2350" s="1"/>
      <c r="S2350" s="1"/>
      <c r="T2350" s="1"/>
      <c r="U2350" s="1"/>
      <c r="V2350" s="1"/>
      <c r="W2350" s="1"/>
      <c r="X2350" s="1" t="s">
        <v>8068</v>
      </c>
      <c r="Y2350" s="1" t="s">
        <v>9044</v>
      </c>
    </row>
    <row r="2351">
      <c r="A2351" s="1">
        <v>865736.0</v>
      </c>
      <c r="B2351" s="1" t="s">
        <v>9045</v>
      </c>
      <c r="C2351" s="1" t="s">
        <v>8370</v>
      </c>
      <c r="D2351" s="1" t="s">
        <v>8371</v>
      </c>
      <c r="F2351" s="2" t="str">
        <f>"043956848X"</f>
        <v>043956848X</v>
      </c>
      <c r="G2351" s="2" t="str">
        <f>"9780439568487"</f>
        <v>9780439568487</v>
      </c>
      <c r="H2351" s="1" t="s">
        <v>50</v>
      </c>
      <c r="I2351" s="1" t="s">
        <v>36</v>
      </c>
      <c r="J2351" s="1">
        <v>160.0</v>
      </c>
      <c r="K2351" s="1">
        <v>2003.0</v>
      </c>
      <c r="L2351" s="1">
        <v>1993.0</v>
      </c>
      <c r="M2351" s="1"/>
      <c r="N2351" s="1"/>
      <c r="O2351" s="1"/>
      <c r="P2351" s="1"/>
      <c r="Q2351" s="1"/>
      <c r="R2351" s="1"/>
      <c r="S2351" s="1"/>
      <c r="T2351" s="1"/>
      <c r="U2351" s="1"/>
      <c r="V2351" s="1"/>
      <c r="W2351" s="1"/>
      <c r="X2351" s="1" t="s">
        <v>8068</v>
      </c>
      <c r="Y2351" s="1" t="s">
        <v>9046</v>
      </c>
    </row>
    <row r="2352">
      <c r="A2352" s="1">
        <v>4.2646261E7</v>
      </c>
      <c r="B2352" s="1" t="s">
        <v>9047</v>
      </c>
      <c r="C2352" s="1" t="s">
        <v>9048</v>
      </c>
      <c r="D2352" s="1" t="s">
        <v>9049</v>
      </c>
      <c r="E2352" s="1" t="s">
        <v>9050</v>
      </c>
      <c r="F2352" s="2" t="str">
        <f>"1788450280"</f>
        <v>1788450280</v>
      </c>
      <c r="G2352" s="2" t="str">
        <f>"9781788450287"</f>
        <v>9781788450287</v>
      </c>
      <c r="H2352" s="1" t="s">
        <v>9051</v>
      </c>
      <c r="I2352" s="1" t="s">
        <v>31</v>
      </c>
      <c r="J2352" s="1">
        <v>160.0</v>
      </c>
      <c r="K2352" s="1">
        <v>2018.0</v>
      </c>
      <c r="L2352" s="1">
        <v>2018.0</v>
      </c>
      <c r="M2352" s="1"/>
      <c r="N2352" s="1"/>
      <c r="O2352" s="1"/>
      <c r="P2352" s="1"/>
      <c r="Q2352" s="1"/>
      <c r="R2352" s="1"/>
      <c r="S2352" s="1"/>
      <c r="T2352" s="1"/>
      <c r="U2352" s="1"/>
      <c r="V2352" s="1"/>
      <c r="W2352" s="1"/>
      <c r="X2352" s="1" t="s">
        <v>3263</v>
      </c>
      <c r="Y2352" s="1" t="s">
        <v>9052</v>
      </c>
    </row>
    <row r="2353">
      <c r="A2353" s="1">
        <v>5.5216238E7</v>
      </c>
      <c r="B2353" s="1" t="s">
        <v>9053</v>
      </c>
      <c r="C2353" s="1" t="s">
        <v>9054</v>
      </c>
      <c r="D2353" s="1" t="s">
        <v>9055</v>
      </c>
      <c r="F2353" s="2" t="str">
        <f>"1408360934"</f>
        <v>1408360934</v>
      </c>
      <c r="G2353" s="2" t="str">
        <f>"9781408360934"</f>
        <v>9781408360934</v>
      </c>
      <c r="H2353" s="1" t="s">
        <v>2397</v>
      </c>
      <c r="I2353" s="1" t="s">
        <v>238</v>
      </c>
      <c r="J2353" s="1">
        <v>160.0</v>
      </c>
      <c r="K2353" s="1">
        <v>2020.0</v>
      </c>
      <c r="M2353" s="1"/>
      <c r="N2353" s="1"/>
      <c r="O2353" s="1"/>
      <c r="P2353" s="1"/>
      <c r="Q2353" s="1"/>
      <c r="R2353" s="1"/>
      <c r="S2353" s="1"/>
      <c r="T2353" s="1"/>
      <c r="U2353" s="1"/>
      <c r="V2353" s="1"/>
      <c r="W2353" s="1"/>
      <c r="X2353" s="1" t="s">
        <v>458</v>
      </c>
      <c r="Y2353" s="1" t="s">
        <v>9056</v>
      </c>
    </row>
    <row r="2354">
      <c r="A2354" s="1">
        <v>5.7219838E7</v>
      </c>
      <c r="B2354" s="1" t="s">
        <v>9057</v>
      </c>
      <c r="C2354" s="1" t="s">
        <v>9058</v>
      </c>
      <c r="D2354" s="1" t="s">
        <v>9059</v>
      </c>
      <c r="E2354" s="1" t="s">
        <v>8055</v>
      </c>
      <c r="F2354" s="2" t="str">
        <f>"9390189209"</f>
        <v>9390189209</v>
      </c>
      <c r="G2354" s="2" t="str">
        <f>"9789390189205"</f>
        <v>9789390189205</v>
      </c>
      <c r="H2354" s="1" t="s">
        <v>7785</v>
      </c>
      <c r="I2354" s="1" t="s">
        <v>36</v>
      </c>
      <c r="J2354" s="1">
        <v>160.0</v>
      </c>
      <c r="K2354" s="1">
        <v>2020.0</v>
      </c>
      <c r="L2354" s="1">
        <v>2007.0</v>
      </c>
    </row>
    <row r="2355">
      <c r="A2355" s="1">
        <v>4.1512593E7</v>
      </c>
      <c r="B2355" s="1" t="s">
        <v>9060</v>
      </c>
      <c r="C2355" s="1" t="s">
        <v>9061</v>
      </c>
      <c r="D2355" s="1" t="s">
        <v>9062</v>
      </c>
      <c r="F2355" s="2" t="str">
        <f>"0525576037"</f>
        <v>0525576037</v>
      </c>
      <c r="G2355" s="2" t="str">
        <f>"9780525576037"</f>
        <v>9780525576037</v>
      </c>
      <c r="H2355" s="1" t="s">
        <v>9063</v>
      </c>
      <c r="I2355" s="1" t="s">
        <v>9064</v>
      </c>
      <c r="J2355" s="1">
        <v>160.0</v>
      </c>
      <c r="K2355" s="1">
        <v>2018.0</v>
      </c>
      <c r="M2355" s="1"/>
      <c r="N2355" s="1"/>
      <c r="O2355" s="1"/>
      <c r="P2355" s="1"/>
      <c r="Q2355" s="1"/>
      <c r="R2355" s="1"/>
      <c r="S2355" s="1"/>
      <c r="T2355" s="1"/>
      <c r="U2355" s="1"/>
      <c r="V2355" s="1"/>
      <c r="W2355" s="1"/>
      <c r="X2355" s="1" t="s">
        <v>9065</v>
      </c>
      <c r="Y2355" s="1" t="s">
        <v>9066</v>
      </c>
    </row>
    <row r="2356">
      <c r="A2356" s="1">
        <v>2.0628555E7</v>
      </c>
      <c r="B2356" s="1" t="s">
        <v>9067</v>
      </c>
      <c r="C2356" s="1" t="s">
        <v>433</v>
      </c>
      <c r="D2356" s="1" t="s">
        <v>434</v>
      </c>
      <c r="F2356" s="2" t="str">
        <f t="shared" ref="F2356:G2356" si="147">""</f>
        <v/>
      </c>
      <c r="G2356" s="2" t="str">
        <f t="shared" si="147"/>
        <v/>
      </c>
      <c r="H2356" s="1" t="s">
        <v>857</v>
      </c>
      <c r="I2356" s="1" t="s">
        <v>31</v>
      </c>
      <c r="J2356" s="1">
        <v>163.0</v>
      </c>
      <c r="K2356" s="1">
        <v>2014.0</v>
      </c>
      <c r="L2356" s="1">
        <v>2014.0</v>
      </c>
      <c r="M2356" s="1"/>
      <c r="N2356" s="1"/>
      <c r="O2356" s="1"/>
      <c r="P2356" s="1"/>
      <c r="Q2356" s="1"/>
      <c r="R2356" s="1"/>
      <c r="S2356" s="1"/>
      <c r="T2356" s="1"/>
      <c r="U2356" s="1"/>
      <c r="V2356" s="1"/>
      <c r="W2356" s="1"/>
      <c r="X2356" s="1" t="s">
        <v>45</v>
      </c>
      <c r="Y2356" s="1" t="s">
        <v>9068</v>
      </c>
    </row>
    <row r="2357">
      <c r="A2357" s="1">
        <v>3.6176935E7</v>
      </c>
      <c r="B2357" s="1" t="s">
        <v>9069</v>
      </c>
      <c r="C2357" s="1" t="s">
        <v>487</v>
      </c>
      <c r="D2357" s="1" t="s">
        <v>488</v>
      </c>
      <c r="E2357" s="1" t="s">
        <v>489</v>
      </c>
      <c r="F2357" s="2" t="str">
        <f>"1338257617"</f>
        <v>1338257617</v>
      </c>
      <c r="G2357" s="2" t="str">
        <f>"9781338257618"</f>
        <v>9781338257618</v>
      </c>
      <c r="H2357" s="1" t="s">
        <v>817</v>
      </c>
      <c r="I2357" s="1" t="s">
        <v>238</v>
      </c>
      <c r="J2357" s="1">
        <v>164.0</v>
      </c>
      <c r="K2357" s="1">
        <v>2018.0</v>
      </c>
      <c r="M2357" s="1"/>
      <c r="N2357" s="1"/>
      <c r="O2357" s="1"/>
      <c r="P2357" s="1"/>
      <c r="Q2357" s="1"/>
      <c r="R2357" s="1"/>
      <c r="S2357" s="1"/>
      <c r="T2357" s="1"/>
      <c r="U2357" s="1"/>
      <c r="V2357" s="1"/>
      <c r="W2357" s="1"/>
      <c r="X2357" s="1" t="s">
        <v>9070</v>
      </c>
      <c r="Y2357" s="1" t="s">
        <v>9071</v>
      </c>
    </row>
    <row r="2358">
      <c r="A2358" s="1">
        <v>200911.0</v>
      </c>
      <c r="B2358" s="1" t="s">
        <v>9072</v>
      </c>
      <c r="C2358" s="1" t="s">
        <v>9073</v>
      </c>
      <c r="D2358" s="1" t="s">
        <v>9074</v>
      </c>
      <c r="E2358" s="1" t="s">
        <v>9075</v>
      </c>
      <c r="F2358" s="2" t="str">
        <f>"1584859881"</f>
        <v>1584859881</v>
      </c>
      <c r="G2358" s="2" t="str">
        <f>"9781584859888"</f>
        <v>9781584859888</v>
      </c>
      <c r="H2358" s="1" t="s">
        <v>7719</v>
      </c>
      <c r="I2358" s="1" t="s">
        <v>36</v>
      </c>
      <c r="J2358" s="1">
        <v>165.0</v>
      </c>
      <c r="K2358" s="1">
        <v>2005.0</v>
      </c>
      <c r="L2358" s="1">
        <v>2005.0</v>
      </c>
      <c r="M2358" s="1"/>
      <c r="N2358" s="1"/>
      <c r="O2358" s="1"/>
      <c r="P2358" s="1"/>
      <c r="Q2358" s="1"/>
      <c r="R2358" s="1"/>
      <c r="S2358" s="1"/>
      <c r="T2358" s="1"/>
      <c r="U2358" s="1"/>
      <c r="V2358" s="1"/>
      <c r="W2358" s="1"/>
      <c r="X2358" s="1" t="s">
        <v>45</v>
      </c>
      <c r="Y2358" s="1" t="s">
        <v>9076</v>
      </c>
    </row>
    <row r="2359">
      <c r="A2359" s="1">
        <v>1.8746154E7</v>
      </c>
      <c r="B2359" s="1" t="s">
        <v>9077</v>
      </c>
      <c r="C2359" s="1" t="s">
        <v>7426</v>
      </c>
      <c r="D2359" s="1" t="s">
        <v>7427</v>
      </c>
      <c r="E2359" s="1" t="s">
        <v>5428</v>
      </c>
      <c r="F2359" s="2" t="str">
        <f>"0141348798"</f>
        <v>0141348798</v>
      </c>
      <c r="G2359" s="2" t="str">
        <f>"9780141348797"</f>
        <v>9780141348797</v>
      </c>
      <c r="H2359" s="1" t="s">
        <v>753</v>
      </c>
      <c r="I2359" s="1" t="s">
        <v>36</v>
      </c>
      <c r="J2359" s="1">
        <v>167.0</v>
      </c>
      <c r="K2359" s="1">
        <v>2013.0</v>
      </c>
      <c r="L2359" s="1">
        <v>2013.0</v>
      </c>
      <c r="M2359" s="1"/>
      <c r="N2359" s="1"/>
      <c r="O2359" s="1"/>
      <c r="P2359" s="1"/>
      <c r="Q2359" s="1"/>
      <c r="R2359" s="1"/>
      <c r="S2359" s="1"/>
      <c r="T2359" s="1"/>
      <c r="U2359" s="1"/>
      <c r="V2359" s="1"/>
      <c r="W2359" s="1"/>
      <c r="X2359" s="1" t="s">
        <v>45</v>
      </c>
      <c r="Y2359" s="1" t="s">
        <v>9078</v>
      </c>
    </row>
    <row r="2360">
      <c r="A2360" s="1">
        <v>5.746869E7</v>
      </c>
      <c r="B2360" s="1" t="s">
        <v>9079</v>
      </c>
      <c r="C2360" s="1" t="s">
        <v>9080</v>
      </c>
      <c r="D2360" s="1" t="s">
        <v>9081</v>
      </c>
      <c r="E2360" s="1" t="s">
        <v>8945</v>
      </c>
      <c r="F2360" s="2" t="str">
        <f>"1338616048"</f>
        <v>1338616048</v>
      </c>
      <c r="G2360" s="2" t="str">
        <f>"9781338616040"</f>
        <v>9781338616040</v>
      </c>
      <c r="H2360" s="1" t="s">
        <v>640</v>
      </c>
      <c r="I2360" s="1" t="s">
        <v>36</v>
      </c>
      <c r="J2360" s="1">
        <v>167.0</v>
      </c>
      <c r="K2360" s="1">
        <v>2022.0</v>
      </c>
      <c r="L2360" s="1">
        <v>2022.0</v>
      </c>
      <c r="M2360" s="1"/>
      <c r="N2360" s="1"/>
      <c r="O2360" s="1"/>
      <c r="P2360" s="1"/>
      <c r="Q2360" s="1"/>
      <c r="R2360" s="1"/>
      <c r="S2360" s="1"/>
      <c r="T2360" s="1"/>
      <c r="U2360" s="1"/>
      <c r="V2360" s="1"/>
      <c r="W2360" s="1"/>
      <c r="X2360" s="1" t="s">
        <v>1024</v>
      </c>
      <c r="Y2360" s="1" t="s">
        <v>9082</v>
      </c>
    </row>
    <row r="2361">
      <c r="A2361" s="1">
        <v>233790.0</v>
      </c>
      <c r="B2361" s="1" t="s">
        <v>9083</v>
      </c>
      <c r="C2361" s="1" t="s">
        <v>8055</v>
      </c>
      <c r="D2361" s="1" t="s">
        <v>8056</v>
      </c>
      <c r="F2361" s="2" t="str">
        <f>"0590251597"</f>
        <v>0590251597</v>
      </c>
      <c r="G2361" s="2" t="str">
        <f>"9780590251594"</f>
        <v>9780590251594</v>
      </c>
      <c r="H2361" s="1" t="s">
        <v>50</v>
      </c>
      <c r="I2361" s="1" t="s">
        <v>36</v>
      </c>
      <c r="J2361" s="1">
        <v>167.0</v>
      </c>
      <c r="K2361" s="1">
        <v>1995.0</v>
      </c>
      <c r="L2361" s="1">
        <v>1987.0</v>
      </c>
      <c r="M2361" s="1"/>
      <c r="N2361" s="1"/>
      <c r="O2361" s="1"/>
      <c r="P2361" s="1"/>
      <c r="Q2361" s="1"/>
      <c r="R2361" s="1"/>
      <c r="S2361" s="1"/>
      <c r="T2361" s="1"/>
      <c r="U2361" s="1"/>
      <c r="V2361" s="1"/>
      <c r="W2361" s="1"/>
      <c r="X2361" s="1" t="s">
        <v>180</v>
      </c>
      <c r="Y2361" s="1" t="s">
        <v>9084</v>
      </c>
    </row>
    <row r="2362">
      <c r="A2362" s="1">
        <v>844940.0</v>
      </c>
      <c r="B2362" s="1" t="s">
        <v>9085</v>
      </c>
      <c r="C2362" s="1" t="s">
        <v>8055</v>
      </c>
      <c r="D2362" s="1" t="s">
        <v>8056</v>
      </c>
      <c r="F2362" s="2" t="str">
        <f>"0590251589"</f>
        <v>0590251589</v>
      </c>
      <c r="G2362" s="2" t="str">
        <f>"9780590251587"</f>
        <v>9780590251587</v>
      </c>
      <c r="H2362" s="1" t="s">
        <v>817</v>
      </c>
      <c r="I2362" s="1" t="s">
        <v>36</v>
      </c>
      <c r="J2362" s="1">
        <v>167.0</v>
      </c>
      <c r="K2362" s="1">
        <v>1995.0</v>
      </c>
      <c r="L2362" s="1">
        <v>1986.0</v>
      </c>
      <c r="M2362" s="1"/>
      <c r="N2362" s="1"/>
      <c r="O2362" s="1"/>
      <c r="P2362" s="1"/>
      <c r="Q2362" s="1"/>
      <c r="R2362" s="1"/>
      <c r="S2362" s="1"/>
      <c r="T2362" s="1"/>
      <c r="U2362" s="1"/>
      <c r="V2362" s="1"/>
      <c r="W2362" s="1"/>
      <c r="X2362" s="1" t="s">
        <v>180</v>
      </c>
      <c r="Y2362" s="1" t="s">
        <v>9086</v>
      </c>
    </row>
    <row r="2363">
      <c r="A2363" s="1">
        <v>1830732.0</v>
      </c>
      <c r="B2363" s="1" t="s">
        <v>9087</v>
      </c>
      <c r="C2363" s="1" t="s">
        <v>9088</v>
      </c>
      <c r="D2363" s="1" t="s">
        <v>9089</v>
      </c>
      <c r="E2363" s="1" t="s">
        <v>9090</v>
      </c>
      <c r="F2363" s="2" t="str">
        <f>"0152928731"</f>
        <v>0152928731</v>
      </c>
      <c r="G2363" s="2" t="str">
        <f>"9780152928735"</f>
        <v>9780152928735</v>
      </c>
      <c r="H2363" s="1" t="s">
        <v>4841</v>
      </c>
      <c r="I2363" s="1" t="s">
        <v>31</v>
      </c>
      <c r="J2363" s="1">
        <v>168.0</v>
      </c>
      <c r="K2363" s="1">
        <v>1995.0</v>
      </c>
      <c r="L2363" s="1">
        <v>1995.0</v>
      </c>
      <c r="M2363" s="1"/>
      <c r="N2363" s="1"/>
      <c r="O2363" s="1"/>
      <c r="P2363" s="1"/>
      <c r="Q2363" s="1"/>
      <c r="R2363" s="1"/>
      <c r="S2363" s="1"/>
      <c r="T2363" s="1"/>
      <c r="U2363" s="1"/>
      <c r="V2363" s="1"/>
      <c r="W2363" s="1"/>
      <c r="X2363" s="1" t="s">
        <v>609</v>
      </c>
      <c r="Y2363" s="1" t="s">
        <v>9091</v>
      </c>
    </row>
    <row r="2364">
      <c r="A2364" s="1">
        <v>1648100.0</v>
      </c>
      <c r="B2364" s="1" t="s">
        <v>9092</v>
      </c>
      <c r="C2364" s="1" t="s">
        <v>9093</v>
      </c>
      <c r="D2364" s="1" t="s">
        <v>9094</v>
      </c>
      <c r="F2364" s="2" t="str">
        <f>"1857333489"</f>
        <v>1857333489</v>
      </c>
      <c r="G2364" s="2" t="str">
        <f>"9781857333480"</f>
        <v>9781857333480</v>
      </c>
      <c r="H2364" s="1" t="s">
        <v>9095</v>
      </c>
      <c r="I2364" s="1" t="s">
        <v>36</v>
      </c>
      <c r="J2364" s="1">
        <v>168.0</v>
      </c>
      <c r="K2364" s="1">
        <v>2007.0</v>
      </c>
      <c r="L2364" s="1">
        <v>2007.0</v>
      </c>
      <c r="M2364" s="1"/>
      <c r="N2364" s="1"/>
      <c r="O2364" s="1"/>
      <c r="P2364" s="1"/>
      <c r="Q2364" s="1"/>
      <c r="R2364" s="1"/>
      <c r="S2364" s="1"/>
      <c r="T2364" s="1"/>
      <c r="U2364" s="1"/>
      <c r="V2364" s="1"/>
      <c r="W2364" s="1"/>
      <c r="X2364" s="1" t="s">
        <v>1024</v>
      </c>
      <c r="Y2364" s="1" t="s">
        <v>9096</v>
      </c>
    </row>
    <row r="2365">
      <c r="A2365" s="1">
        <v>6.0758247E7</v>
      </c>
      <c r="B2365" s="1" t="s">
        <v>9097</v>
      </c>
      <c r="C2365" s="1" t="s">
        <v>9098</v>
      </c>
      <c r="D2365" s="1" t="s">
        <v>9099</v>
      </c>
      <c r="E2365" s="1" t="s">
        <v>9100</v>
      </c>
      <c r="F2365" s="2" t="str">
        <f>"1338616102"</f>
        <v>1338616102</v>
      </c>
      <c r="G2365" s="2" t="str">
        <f>"9781338616101"</f>
        <v>9781338616101</v>
      </c>
      <c r="H2365" s="1" t="s">
        <v>640</v>
      </c>
      <c r="I2365" s="1" t="s">
        <v>36</v>
      </c>
      <c r="J2365" s="1">
        <v>170.0</v>
      </c>
      <c r="K2365" s="1">
        <v>2022.0</v>
      </c>
      <c r="L2365" s="1">
        <v>2022.0</v>
      </c>
      <c r="M2365" s="1"/>
      <c r="N2365" s="1"/>
      <c r="O2365" s="1"/>
      <c r="P2365" s="1"/>
      <c r="Q2365" s="1"/>
      <c r="R2365" s="1"/>
      <c r="S2365" s="1"/>
      <c r="T2365" s="1"/>
      <c r="U2365" s="1"/>
      <c r="V2365" s="1"/>
      <c r="W2365" s="1"/>
      <c r="X2365" s="1" t="s">
        <v>1024</v>
      </c>
      <c r="Y2365" s="1" t="s">
        <v>9101</v>
      </c>
    </row>
    <row r="2366">
      <c r="A2366" s="1">
        <v>5.9806125E7</v>
      </c>
      <c r="B2366" s="1" t="s">
        <v>9102</v>
      </c>
      <c r="C2366" s="1" t="s">
        <v>9103</v>
      </c>
      <c r="D2366" s="1" t="s">
        <v>9104</v>
      </c>
      <c r="F2366" s="2" t="str">
        <f>"1338832042"</f>
        <v>1338832042</v>
      </c>
      <c r="G2366" s="2" t="str">
        <f>"9781338832044"</f>
        <v>9781338832044</v>
      </c>
      <c r="H2366" s="1" t="s">
        <v>817</v>
      </c>
      <c r="I2366" s="1" t="s">
        <v>36</v>
      </c>
      <c r="J2366" s="1">
        <v>170.0</v>
      </c>
      <c r="K2366" s="1">
        <v>2022.0</v>
      </c>
    </row>
    <row r="2367">
      <c r="A2367" s="1">
        <v>4.9171365E7</v>
      </c>
      <c r="B2367" s="1" t="s">
        <v>9105</v>
      </c>
      <c r="C2367" s="1" t="s">
        <v>9106</v>
      </c>
      <c r="D2367" s="1" t="s">
        <v>9107</v>
      </c>
      <c r="F2367" s="2" t="str">
        <f>"1646112857"</f>
        <v>1646112857</v>
      </c>
      <c r="G2367" s="2" t="str">
        <f>"9781646112852"</f>
        <v>9781646112852</v>
      </c>
      <c r="H2367" s="1" t="s">
        <v>7538</v>
      </c>
      <c r="I2367" s="1" t="s">
        <v>36</v>
      </c>
      <c r="J2367" s="1">
        <v>172.0</v>
      </c>
      <c r="K2367" s="1">
        <v>2020.0</v>
      </c>
      <c r="M2367" s="1"/>
      <c r="N2367" s="1"/>
      <c r="O2367" s="1"/>
      <c r="P2367" s="1"/>
      <c r="Q2367" s="1"/>
      <c r="R2367" s="1"/>
      <c r="S2367" s="1"/>
      <c r="T2367" s="1"/>
      <c r="U2367" s="1"/>
      <c r="V2367" s="1"/>
      <c r="W2367" s="1"/>
      <c r="X2367" s="1" t="s">
        <v>1024</v>
      </c>
      <c r="Y2367" s="1" t="s">
        <v>9108</v>
      </c>
    </row>
    <row r="2368">
      <c r="A2368" s="1">
        <v>4.6207635E7</v>
      </c>
      <c r="B2368" s="1" t="s">
        <v>9109</v>
      </c>
      <c r="C2368" s="1" t="s">
        <v>9110</v>
      </c>
      <c r="D2368" s="1" t="s">
        <v>9111</v>
      </c>
      <c r="F2368" s="2" t="str">
        <f>"1641521813"</f>
        <v>1641521813</v>
      </c>
      <c r="G2368" s="2" t="str">
        <f>"9781641521819"</f>
        <v>9781641521819</v>
      </c>
      <c r="H2368" s="1" t="s">
        <v>7538</v>
      </c>
      <c r="I2368" s="1" t="s">
        <v>36</v>
      </c>
      <c r="J2368" s="1">
        <v>172.0</v>
      </c>
      <c r="K2368" s="1">
        <v>2019.0</v>
      </c>
      <c r="M2368" s="1"/>
      <c r="N2368" s="1"/>
      <c r="O2368" s="1"/>
      <c r="P2368" s="1"/>
      <c r="Q2368" s="1"/>
      <c r="R2368" s="1"/>
      <c r="S2368" s="1"/>
      <c r="T2368" s="1"/>
      <c r="U2368" s="1"/>
      <c r="V2368" s="1"/>
      <c r="W2368" s="1"/>
      <c r="X2368" s="1" t="s">
        <v>1024</v>
      </c>
      <c r="Y2368" s="1" t="s">
        <v>9112</v>
      </c>
    </row>
    <row r="2369">
      <c r="A2369" s="1">
        <v>6314.0</v>
      </c>
      <c r="B2369" s="1" t="s">
        <v>9113</v>
      </c>
      <c r="C2369" s="1" t="s">
        <v>7426</v>
      </c>
      <c r="D2369" s="1" t="s">
        <v>7427</v>
      </c>
      <c r="E2369" s="1" t="s">
        <v>5428</v>
      </c>
      <c r="F2369" s="2" t="str">
        <f>"1598200593"</f>
        <v>1598200593</v>
      </c>
      <c r="G2369" s="2" t="str">
        <f>"9781598200591"</f>
        <v>9781598200591</v>
      </c>
      <c r="H2369" s="1" t="s">
        <v>715</v>
      </c>
      <c r="I2369" s="1" t="s">
        <v>36</v>
      </c>
      <c r="J2369" s="1">
        <v>172.0</v>
      </c>
      <c r="K2369" s="1">
        <v>2000.0</v>
      </c>
      <c r="L2369" s="1">
        <v>1964.0</v>
      </c>
      <c r="M2369" s="1"/>
      <c r="N2369" s="1"/>
      <c r="O2369" s="1"/>
      <c r="P2369" s="1"/>
      <c r="Q2369" s="1"/>
      <c r="R2369" s="1"/>
      <c r="S2369" s="1"/>
      <c r="T2369" s="1"/>
      <c r="U2369" s="1"/>
      <c r="V2369" s="1"/>
      <c r="W2369" s="1"/>
      <c r="X2369" s="1" t="s">
        <v>458</v>
      </c>
      <c r="Y2369" s="1" t="s">
        <v>9114</v>
      </c>
    </row>
    <row r="2370">
      <c r="A2370" s="1">
        <v>2.9330216E7</v>
      </c>
      <c r="B2370" s="1" t="s">
        <v>9115</v>
      </c>
      <c r="C2370" s="1" t="s">
        <v>9116</v>
      </c>
      <c r="D2370" s="1" t="s">
        <v>9117</v>
      </c>
      <c r="F2370" s="2" t="str">
        <f>"1530096677"</f>
        <v>1530096677</v>
      </c>
      <c r="G2370" s="2" t="str">
        <f>"9781530096671"</f>
        <v>9781530096671</v>
      </c>
      <c r="H2370" s="1" t="s">
        <v>5350</v>
      </c>
      <c r="I2370" s="1" t="s">
        <v>36</v>
      </c>
      <c r="J2370" s="1">
        <v>174.0</v>
      </c>
      <c r="K2370" s="1">
        <v>2016.0</v>
      </c>
      <c r="L2370" s="1">
        <v>-560.0</v>
      </c>
      <c r="M2370" s="1"/>
      <c r="N2370" s="1"/>
      <c r="O2370" s="1"/>
      <c r="P2370" s="1"/>
      <c r="Q2370" s="1"/>
      <c r="R2370" s="1"/>
      <c r="S2370" s="1"/>
      <c r="T2370" s="1"/>
      <c r="U2370" s="1"/>
      <c r="V2370" s="1"/>
      <c r="W2370" s="1"/>
      <c r="X2370" s="1" t="s">
        <v>716</v>
      </c>
      <c r="Y2370" s="1" t="s">
        <v>9118</v>
      </c>
    </row>
    <row r="2371">
      <c r="A2371" s="1">
        <v>106125.0</v>
      </c>
      <c r="B2371" s="1" t="s">
        <v>9119</v>
      </c>
      <c r="C2371" s="1" t="s">
        <v>8679</v>
      </c>
      <c r="D2371" s="1" t="s">
        <v>8680</v>
      </c>
      <c r="F2371" s="2" t="str">
        <f>"0439706386"</f>
        <v>0439706386</v>
      </c>
      <c r="G2371" s="2" t="str">
        <f>"9780439706384"</f>
        <v>9780439706384</v>
      </c>
      <c r="H2371" s="1" t="s">
        <v>640</v>
      </c>
      <c r="I2371" s="1" t="s">
        <v>36</v>
      </c>
      <c r="J2371" s="1">
        <v>174.0</v>
      </c>
      <c r="K2371" s="1">
        <v>2006.0</v>
      </c>
      <c r="L2371" s="1">
        <v>1994.0</v>
      </c>
      <c r="M2371" s="1"/>
      <c r="N2371" s="1"/>
      <c r="O2371" s="1"/>
      <c r="P2371" s="1"/>
      <c r="Q2371" s="1"/>
      <c r="R2371" s="1"/>
      <c r="S2371" s="1"/>
      <c r="T2371" s="1"/>
      <c r="U2371" s="1"/>
      <c r="V2371" s="1"/>
      <c r="W2371" s="1"/>
      <c r="X2371" s="1" t="s">
        <v>96</v>
      </c>
      <c r="Y2371" s="1" t="s">
        <v>9120</v>
      </c>
    </row>
    <row r="2372">
      <c r="A2372" s="1">
        <v>13168.0</v>
      </c>
      <c r="B2372" s="1" t="s">
        <v>9121</v>
      </c>
      <c r="C2372" s="1" t="s">
        <v>2902</v>
      </c>
      <c r="D2372" s="1" t="s">
        <v>2903</v>
      </c>
      <c r="E2372" s="1" t="s">
        <v>9122</v>
      </c>
      <c r="F2372" s="2" t="str">
        <f>"0590664875"</f>
        <v>0590664875</v>
      </c>
      <c r="G2372" s="2" t="str">
        <f>"9780590664875"</f>
        <v>9780590664875</v>
      </c>
      <c r="H2372" s="1" t="s">
        <v>624</v>
      </c>
      <c r="I2372" s="1" t="s">
        <v>36</v>
      </c>
      <c r="J2372" s="1">
        <v>175.0</v>
      </c>
      <c r="K2372" s="1">
        <v>1998.0</v>
      </c>
      <c r="L2372" s="1">
        <v>1970.0</v>
      </c>
      <c r="M2372" s="1"/>
      <c r="N2372" s="1"/>
      <c r="O2372" s="1"/>
      <c r="P2372" s="1"/>
      <c r="Q2372" s="1"/>
      <c r="R2372" s="1"/>
      <c r="S2372" s="1"/>
      <c r="T2372" s="1"/>
      <c r="U2372" s="1"/>
      <c r="V2372" s="1"/>
      <c r="W2372" s="1"/>
      <c r="X2372" s="1" t="s">
        <v>8874</v>
      </c>
      <c r="Y2372" s="1" t="s">
        <v>9123</v>
      </c>
    </row>
    <row r="2373">
      <c r="A2373" s="1">
        <v>5.6271388E7</v>
      </c>
      <c r="B2373" s="1" t="s">
        <v>9124</v>
      </c>
      <c r="C2373" s="1" t="s">
        <v>9125</v>
      </c>
      <c r="D2373" s="1" t="s">
        <v>9126</v>
      </c>
      <c r="F2373" s="2" t="str">
        <f>"1616209003"</f>
        <v>1616209003</v>
      </c>
      <c r="G2373" s="2" t="str">
        <f>"9781616209001"</f>
        <v>9781616209001</v>
      </c>
      <c r="H2373" s="1" t="s">
        <v>112</v>
      </c>
      <c r="I2373" s="1" t="s">
        <v>31</v>
      </c>
      <c r="J2373" s="1">
        <v>176.0</v>
      </c>
      <c r="K2373" s="1">
        <v>2021.0</v>
      </c>
      <c r="L2373" s="1">
        <v>2021.0</v>
      </c>
      <c r="M2373" s="1"/>
      <c r="N2373" s="1"/>
      <c r="O2373" s="1"/>
      <c r="P2373" s="1"/>
      <c r="Q2373" s="1"/>
      <c r="R2373" s="1"/>
      <c r="S2373" s="1"/>
      <c r="T2373" s="1"/>
      <c r="U2373" s="1"/>
      <c r="V2373" s="1"/>
      <c r="W2373" s="1"/>
      <c r="X2373" s="1" t="s">
        <v>609</v>
      </c>
      <c r="Y2373" s="1" t="s">
        <v>9127</v>
      </c>
    </row>
    <row r="2374">
      <c r="A2374" s="1">
        <v>726990.0</v>
      </c>
      <c r="B2374" s="1" t="s">
        <v>9128</v>
      </c>
      <c r="C2374" s="1" t="s">
        <v>9129</v>
      </c>
      <c r="D2374" s="1" t="s">
        <v>9130</v>
      </c>
      <c r="F2374" s="2" t="str">
        <f>"158234745X"</f>
        <v>158234745X</v>
      </c>
      <c r="G2374" s="2" t="str">
        <f>"9781582347455"</f>
        <v>9781582347455</v>
      </c>
      <c r="H2374" s="1" t="s">
        <v>2588</v>
      </c>
      <c r="I2374" s="1" t="s">
        <v>31</v>
      </c>
      <c r="J2374" s="1">
        <v>176.0</v>
      </c>
      <c r="K2374" s="1">
        <v>2007.0</v>
      </c>
      <c r="L2374" s="1">
        <v>2007.0</v>
      </c>
      <c r="M2374" s="1"/>
      <c r="N2374" s="1"/>
      <c r="O2374" s="1"/>
      <c r="P2374" s="1"/>
      <c r="Q2374" s="1"/>
      <c r="R2374" s="1"/>
      <c r="S2374" s="1"/>
      <c r="T2374" s="1"/>
      <c r="U2374" s="1"/>
      <c r="V2374" s="1"/>
      <c r="W2374" s="1"/>
      <c r="X2374" s="1" t="s">
        <v>458</v>
      </c>
      <c r="Y2374" s="1" t="s">
        <v>9131</v>
      </c>
    </row>
    <row r="2375">
      <c r="A2375" s="1">
        <v>5.9128247E7</v>
      </c>
      <c r="B2375" s="1" t="s">
        <v>9132</v>
      </c>
      <c r="C2375" s="1" t="s">
        <v>159</v>
      </c>
      <c r="D2375" s="1" t="s">
        <v>160</v>
      </c>
      <c r="F2375" s="2" t="str">
        <f>"1338770047"</f>
        <v>1338770047</v>
      </c>
      <c r="G2375" s="2" t="str">
        <f>"9781338770049"</f>
        <v>9781338770049</v>
      </c>
      <c r="H2375" s="1" t="s">
        <v>1575</v>
      </c>
      <c r="I2375" s="1" t="s">
        <v>238</v>
      </c>
      <c r="J2375" s="1">
        <v>176.0</v>
      </c>
      <c r="K2375" s="1">
        <v>2021.0</v>
      </c>
      <c r="L2375" s="1">
        <v>2018.0</v>
      </c>
      <c r="M2375" s="1"/>
      <c r="N2375" s="1"/>
      <c r="O2375" s="1"/>
      <c r="P2375" s="1"/>
      <c r="Q2375" s="1"/>
      <c r="R2375" s="1"/>
      <c r="S2375" s="1"/>
      <c r="T2375" s="1"/>
      <c r="U2375" s="1"/>
      <c r="V2375" s="1"/>
      <c r="W2375" s="1"/>
      <c r="X2375" s="1" t="s">
        <v>8735</v>
      </c>
      <c r="Y2375" s="1" t="s">
        <v>9133</v>
      </c>
    </row>
    <row r="2376">
      <c r="A2376" s="1">
        <v>2.05789E7</v>
      </c>
      <c r="B2376" s="1" t="s">
        <v>9134</v>
      </c>
      <c r="C2376" s="1" t="s">
        <v>7159</v>
      </c>
      <c r="D2376" s="1" t="s">
        <v>7160</v>
      </c>
      <c r="F2376" s="2" t="str">
        <f>"0545621259"</f>
        <v>0545621259</v>
      </c>
      <c r="G2376" s="2" t="str">
        <f>"9780545621250"</f>
        <v>9780545621250</v>
      </c>
      <c r="H2376" s="1" t="s">
        <v>179</v>
      </c>
      <c r="I2376" s="1" t="s">
        <v>31</v>
      </c>
      <c r="J2376" s="1">
        <v>176.0</v>
      </c>
      <c r="K2376" s="1">
        <v>2014.0</v>
      </c>
      <c r="L2376" s="1">
        <v>2014.0</v>
      </c>
      <c r="M2376" s="1"/>
      <c r="N2376" s="1"/>
      <c r="O2376" s="1"/>
      <c r="P2376" s="1"/>
      <c r="Q2376" s="1"/>
      <c r="R2376" s="1"/>
      <c r="S2376" s="1"/>
      <c r="T2376" s="1"/>
      <c r="U2376" s="1"/>
      <c r="V2376" s="1"/>
      <c r="W2376" s="1"/>
      <c r="X2376" s="1" t="s">
        <v>9135</v>
      </c>
      <c r="Y2376" s="1" t="s">
        <v>9136</v>
      </c>
    </row>
    <row r="2377">
      <c r="A2377" s="1">
        <v>5.5977991E7</v>
      </c>
      <c r="B2377" s="1" t="s">
        <v>9137</v>
      </c>
      <c r="C2377" s="1" t="s">
        <v>9138</v>
      </c>
      <c r="D2377" s="1" t="s">
        <v>9139</v>
      </c>
      <c r="E2377" s="1" t="s">
        <v>9140</v>
      </c>
      <c r="F2377" s="2" t="str">
        <f>"1338767615"</f>
        <v>1338767615</v>
      </c>
      <c r="G2377" s="2" t="str">
        <f>"9781338767612"</f>
        <v>9781338767612</v>
      </c>
      <c r="H2377" s="1" t="s">
        <v>817</v>
      </c>
      <c r="I2377" s="1" t="s">
        <v>31</v>
      </c>
      <c r="J2377" s="1">
        <v>176.0</v>
      </c>
      <c r="K2377" s="1">
        <v>2022.0</v>
      </c>
      <c r="L2377" s="1">
        <v>2022.0</v>
      </c>
      <c r="M2377" s="1"/>
      <c r="N2377" s="1"/>
      <c r="O2377" s="1"/>
      <c r="P2377" s="1"/>
      <c r="Q2377" s="1"/>
      <c r="R2377" s="1"/>
      <c r="S2377" s="1"/>
      <c r="T2377" s="1"/>
      <c r="U2377" s="1"/>
      <c r="V2377" s="1"/>
      <c r="W2377" s="1"/>
      <c r="X2377" s="1" t="s">
        <v>7609</v>
      </c>
      <c r="Y2377" s="1" t="s">
        <v>9141</v>
      </c>
    </row>
    <row r="2378">
      <c r="A2378" s="1">
        <v>6689.0</v>
      </c>
      <c r="B2378" s="1" t="s">
        <v>9142</v>
      </c>
      <c r="C2378" s="1" t="s">
        <v>7426</v>
      </c>
      <c r="D2378" s="1" t="s">
        <v>7427</v>
      </c>
      <c r="E2378" s="1" t="s">
        <v>5428</v>
      </c>
      <c r="F2378" s="2" t="str">
        <f>"0375814248"</f>
        <v>0375814248</v>
      </c>
      <c r="G2378" s="2" t="str">
        <f>"9780375814242"</f>
        <v>9780375814242</v>
      </c>
      <c r="H2378" s="1" t="s">
        <v>2061</v>
      </c>
      <c r="I2378" s="1" t="s">
        <v>31</v>
      </c>
      <c r="J2378" s="1">
        <v>176.0</v>
      </c>
      <c r="K2378" s="1">
        <v>2002.0</v>
      </c>
      <c r="L2378" s="1">
        <v>1961.0</v>
      </c>
      <c r="M2378" s="1"/>
      <c r="N2378" s="1"/>
      <c r="O2378" s="1"/>
      <c r="P2378" s="1"/>
      <c r="Q2378" s="1"/>
      <c r="R2378" s="1"/>
      <c r="S2378" s="1"/>
      <c r="T2378" s="1"/>
      <c r="U2378" s="1"/>
      <c r="V2378" s="1"/>
      <c r="W2378" s="1"/>
      <c r="X2378" s="1" t="s">
        <v>45</v>
      </c>
      <c r="Y2378" s="1" t="s">
        <v>9143</v>
      </c>
    </row>
    <row r="2379">
      <c r="A2379" s="1">
        <v>5.2664729E7</v>
      </c>
      <c r="B2379" s="1" t="s">
        <v>9144</v>
      </c>
      <c r="C2379" s="1" t="s">
        <v>9080</v>
      </c>
      <c r="D2379" s="1" t="s">
        <v>9081</v>
      </c>
      <c r="E2379" s="1" t="s">
        <v>8945</v>
      </c>
      <c r="F2379" s="2" t="str">
        <f>"1338304577"</f>
        <v>1338304577</v>
      </c>
      <c r="G2379" s="2" t="str">
        <f>"9781338304572"</f>
        <v>9781338304572</v>
      </c>
      <c r="H2379" s="1" t="s">
        <v>640</v>
      </c>
      <c r="I2379" s="1" t="s">
        <v>36</v>
      </c>
      <c r="J2379" s="1">
        <v>176.0</v>
      </c>
      <c r="K2379" s="1">
        <v>2021.0</v>
      </c>
      <c r="L2379" s="1">
        <v>2021.0</v>
      </c>
      <c r="M2379" s="1"/>
      <c r="N2379" s="1"/>
      <c r="O2379" s="1"/>
      <c r="P2379" s="1"/>
      <c r="Q2379" s="1"/>
      <c r="R2379" s="1"/>
      <c r="S2379" s="1"/>
      <c r="T2379" s="1"/>
      <c r="U2379" s="1"/>
      <c r="V2379" s="1"/>
      <c r="W2379" s="1"/>
      <c r="X2379" s="1" t="s">
        <v>1024</v>
      </c>
      <c r="Y2379" s="1" t="s">
        <v>9145</v>
      </c>
    </row>
    <row r="2380">
      <c r="A2380" s="1">
        <v>28200.0</v>
      </c>
      <c r="B2380" s="1" t="s">
        <v>9146</v>
      </c>
      <c r="C2380" s="1" t="s">
        <v>9147</v>
      </c>
      <c r="D2380" s="1" t="s">
        <v>9148</v>
      </c>
      <c r="E2380" s="1" t="s">
        <v>9149</v>
      </c>
      <c r="F2380" s="2" t="str">
        <f>"0439862698"</f>
        <v>0439862698</v>
      </c>
      <c r="G2380" s="2" t="str">
        <f>"9780439862691"</f>
        <v>9780439862691</v>
      </c>
      <c r="H2380" s="1" t="s">
        <v>9150</v>
      </c>
      <c r="I2380" s="1" t="s">
        <v>36</v>
      </c>
      <c r="J2380" s="1">
        <v>176.0</v>
      </c>
      <c r="K2380" s="1">
        <v>2007.0</v>
      </c>
      <c r="L2380" s="1">
        <v>1995.0</v>
      </c>
      <c r="M2380" s="1"/>
      <c r="N2380" s="1"/>
      <c r="O2380" s="1"/>
      <c r="P2380" s="1"/>
      <c r="Q2380" s="1"/>
      <c r="R2380" s="1"/>
      <c r="S2380" s="1"/>
      <c r="T2380" s="1"/>
      <c r="U2380" s="1"/>
      <c r="V2380" s="1"/>
      <c r="W2380" s="1"/>
      <c r="X2380" s="1" t="s">
        <v>96</v>
      </c>
      <c r="Y2380" s="1" t="s">
        <v>9151</v>
      </c>
    </row>
    <row r="2381">
      <c r="A2381" s="1">
        <v>4.9090425E7</v>
      </c>
      <c r="B2381" s="1" t="s">
        <v>9152</v>
      </c>
      <c r="C2381" s="1" t="s">
        <v>9153</v>
      </c>
      <c r="D2381" s="1" t="s">
        <v>9154</v>
      </c>
      <c r="E2381" s="1" t="s">
        <v>9155</v>
      </c>
      <c r="F2381" s="2" t="str">
        <f>"1338304542"</f>
        <v>1338304542</v>
      </c>
      <c r="G2381" s="2" t="str">
        <f>"9781338304541"</f>
        <v>9781338304541</v>
      </c>
      <c r="H2381" s="1" t="s">
        <v>640</v>
      </c>
      <c r="I2381" s="1" t="s">
        <v>36</v>
      </c>
      <c r="J2381" s="1">
        <v>176.0</v>
      </c>
      <c r="K2381" s="1">
        <v>2020.0</v>
      </c>
      <c r="L2381" s="1">
        <v>2020.0</v>
      </c>
      <c r="M2381" s="1"/>
      <c r="N2381" s="1"/>
      <c r="O2381" s="1"/>
      <c r="P2381" s="1"/>
      <c r="Q2381" s="1"/>
      <c r="R2381" s="1"/>
      <c r="S2381" s="1"/>
      <c r="T2381" s="1"/>
      <c r="U2381" s="1"/>
      <c r="V2381" s="1"/>
      <c r="W2381" s="1"/>
      <c r="X2381" s="1" t="s">
        <v>1024</v>
      </c>
      <c r="Y2381" s="1" t="s">
        <v>9156</v>
      </c>
    </row>
    <row r="2382">
      <c r="A2382" s="1">
        <v>3.6497525E7</v>
      </c>
      <c r="B2382" s="1" t="s">
        <v>9157</v>
      </c>
      <c r="C2382" s="1" t="s">
        <v>282</v>
      </c>
      <c r="D2382" s="1" t="s">
        <v>283</v>
      </c>
      <c r="E2382" s="1" t="s">
        <v>9158</v>
      </c>
      <c r="F2382" s="2" t="str">
        <f>"0735231702"</f>
        <v>0735231702</v>
      </c>
      <c r="G2382" s="2" t="str">
        <f>"9780735231702"</f>
        <v>9780735231702</v>
      </c>
      <c r="H2382" s="1" t="s">
        <v>4916</v>
      </c>
      <c r="I2382" s="1" t="s">
        <v>31</v>
      </c>
      <c r="J2382" s="1">
        <v>176.0</v>
      </c>
      <c r="K2382" s="1">
        <v>2018.0</v>
      </c>
      <c r="L2382" s="1">
        <v>2018.0</v>
      </c>
      <c r="M2382" s="1"/>
      <c r="N2382" s="1"/>
      <c r="O2382" s="1"/>
      <c r="P2382" s="1"/>
      <c r="Q2382" s="1"/>
      <c r="R2382" s="1"/>
      <c r="S2382" s="1"/>
      <c r="T2382" s="1"/>
      <c r="U2382" s="1"/>
      <c r="V2382" s="1"/>
      <c r="W2382" s="1"/>
      <c r="X2382" s="1" t="s">
        <v>7614</v>
      </c>
      <c r="Y2382" s="1" t="s">
        <v>9159</v>
      </c>
    </row>
    <row r="2383">
      <c r="A2383" s="1">
        <v>70007.0</v>
      </c>
      <c r="B2383" s="1" t="s">
        <v>9160</v>
      </c>
      <c r="C2383" s="1" t="s">
        <v>9161</v>
      </c>
      <c r="D2383" s="1" t="s">
        <v>9162</v>
      </c>
      <c r="F2383" s="2" t="str">
        <f>"0439982286"</f>
        <v>0439982286</v>
      </c>
      <c r="G2383" s="2" t="str">
        <f>"9780439982283"</f>
        <v>9780439982283</v>
      </c>
      <c r="H2383" s="1" t="s">
        <v>9163</v>
      </c>
      <c r="I2383" s="1" t="s">
        <v>36</v>
      </c>
      <c r="J2383" s="1">
        <v>176.0</v>
      </c>
      <c r="K2383" s="1">
        <v>2003.0</v>
      </c>
      <c r="L2383" s="1">
        <v>2003.0</v>
      </c>
      <c r="M2383" s="1"/>
      <c r="N2383" s="1"/>
      <c r="O2383" s="1"/>
      <c r="P2383" s="1"/>
      <c r="Q2383" s="1"/>
      <c r="R2383" s="1"/>
      <c r="S2383" s="1"/>
      <c r="T2383" s="1"/>
      <c r="U2383" s="1"/>
      <c r="V2383" s="1"/>
      <c r="W2383" s="1"/>
      <c r="X2383" s="1" t="s">
        <v>629</v>
      </c>
      <c r="Y2383" s="1" t="s">
        <v>9164</v>
      </c>
    </row>
    <row r="2384">
      <c r="A2384" s="1">
        <v>1.34673336E8</v>
      </c>
      <c r="B2384" s="1" t="s">
        <v>9165</v>
      </c>
      <c r="C2384" s="1" t="s">
        <v>9166</v>
      </c>
      <c r="D2384" s="1" t="s">
        <v>9167</v>
      </c>
      <c r="E2384" s="1" t="s">
        <v>9168</v>
      </c>
      <c r="F2384" s="2" t="str">
        <f>"1339013223"</f>
        <v>1339013223</v>
      </c>
      <c r="G2384" s="2" t="str">
        <f>"9781339013220"</f>
        <v>9781339013220</v>
      </c>
      <c r="H2384" s="1" t="s">
        <v>1575</v>
      </c>
      <c r="I2384" s="1" t="s">
        <v>36</v>
      </c>
      <c r="J2384" s="1">
        <v>176.0</v>
      </c>
      <c r="K2384" s="1">
        <v>2023.0</v>
      </c>
      <c r="L2384" s="1">
        <v>2023.0</v>
      </c>
      <c r="M2384" s="1"/>
      <c r="N2384" s="1"/>
      <c r="O2384" s="1"/>
      <c r="P2384" s="1"/>
      <c r="Q2384" s="1"/>
      <c r="R2384" s="1"/>
      <c r="S2384" s="1"/>
      <c r="T2384" s="1"/>
      <c r="U2384" s="1"/>
      <c r="V2384" s="1"/>
      <c r="W2384" s="1"/>
      <c r="X2384" s="1" t="s">
        <v>245</v>
      </c>
      <c r="Y2384" s="1" t="s">
        <v>9169</v>
      </c>
    </row>
    <row r="2385">
      <c r="A2385" s="1">
        <v>17461.0</v>
      </c>
      <c r="B2385" s="1" t="s">
        <v>9170</v>
      </c>
      <c r="C2385" s="1" t="s">
        <v>9171</v>
      </c>
      <c r="D2385" s="1" t="s">
        <v>9172</v>
      </c>
      <c r="E2385" s="1" t="s">
        <v>9173</v>
      </c>
      <c r="F2385" s="2" t="str">
        <f>"1416927832"</f>
        <v>1416927832</v>
      </c>
      <c r="G2385" s="2" t="str">
        <f>"9781416927839"</f>
        <v>9781416927839</v>
      </c>
      <c r="H2385" s="1" t="s">
        <v>2496</v>
      </c>
      <c r="I2385" s="1" t="s">
        <v>36</v>
      </c>
      <c r="J2385" s="1">
        <v>176.0</v>
      </c>
      <c r="K2385" s="1">
        <v>2006.0</v>
      </c>
      <c r="L2385" s="1">
        <v>1947.0</v>
      </c>
      <c r="M2385" s="1"/>
      <c r="N2385" s="1"/>
      <c r="O2385" s="1"/>
      <c r="P2385" s="1"/>
      <c r="Q2385" s="1"/>
      <c r="R2385" s="1"/>
      <c r="S2385" s="1"/>
      <c r="T2385" s="1"/>
      <c r="U2385" s="1"/>
      <c r="V2385" s="1"/>
      <c r="W2385" s="1"/>
      <c r="X2385" s="1" t="s">
        <v>45</v>
      </c>
      <c r="Y2385" s="1" t="s">
        <v>9174</v>
      </c>
    </row>
    <row r="2386">
      <c r="A2386" s="1">
        <v>7199828.0</v>
      </c>
      <c r="B2386" s="1" t="s">
        <v>9175</v>
      </c>
      <c r="C2386" s="1" t="s">
        <v>1554</v>
      </c>
      <c r="D2386" s="1" t="s">
        <v>1555</v>
      </c>
      <c r="E2386" s="1" t="s">
        <v>9176</v>
      </c>
      <c r="F2386" s="2" t="str">
        <f>"1416982736"</f>
        <v>1416982736</v>
      </c>
      <c r="G2386" s="2" t="str">
        <f>"9781416982739"</f>
        <v>9781416982739</v>
      </c>
      <c r="H2386" s="1" t="s">
        <v>2496</v>
      </c>
      <c r="I2386" s="1" t="s">
        <v>36</v>
      </c>
      <c r="J2386" s="1">
        <v>176.0</v>
      </c>
      <c r="K2386" s="1">
        <v>2010.0</v>
      </c>
      <c r="L2386" s="1">
        <v>2010.0</v>
      </c>
      <c r="M2386" s="1"/>
      <c r="N2386" s="1"/>
      <c r="O2386" s="1"/>
      <c r="P2386" s="1"/>
      <c r="Q2386" s="1"/>
      <c r="R2386" s="1"/>
      <c r="S2386" s="1"/>
      <c r="T2386" s="1"/>
      <c r="U2386" s="1"/>
      <c r="V2386" s="1"/>
      <c r="W2386" s="1"/>
      <c r="X2386" s="1" t="s">
        <v>45</v>
      </c>
      <c r="Y2386" s="1" t="s">
        <v>9177</v>
      </c>
    </row>
    <row r="2387">
      <c r="A2387" s="1">
        <v>3.9983501E7</v>
      </c>
      <c r="B2387" s="1" t="s">
        <v>9178</v>
      </c>
      <c r="C2387" s="1" t="s">
        <v>9179</v>
      </c>
      <c r="D2387" s="1" t="s">
        <v>9180</v>
      </c>
      <c r="E2387" s="1" t="s">
        <v>9181</v>
      </c>
      <c r="F2387" s="2" t="str">
        <f>"1338295381"</f>
        <v>1338295381</v>
      </c>
      <c r="G2387" s="2" t="str">
        <f>"9781338295382"</f>
        <v>9781338295382</v>
      </c>
      <c r="H2387" s="1" t="s">
        <v>817</v>
      </c>
      <c r="I2387" s="1" t="s">
        <v>31</v>
      </c>
      <c r="J2387" s="1">
        <v>176.0</v>
      </c>
      <c r="K2387" s="1">
        <v>2019.0</v>
      </c>
      <c r="L2387" s="1">
        <v>2019.0</v>
      </c>
      <c r="M2387" s="1"/>
      <c r="N2387" s="1"/>
      <c r="O2387" s="1"/>
      <c r="P2387" s="1"/>
      <c r="Q2387" s="1"/>
      <c r="R2387" s="1"/>
      <c r="S2387" s="1"/>
      <c r="T2387" s="1"/>
      <c r="U2387" s="1"/>
      <c r="V2387" s="1"/>
      <c r="W2387" s="1"/>
      <c r="X2387" s="1" t="s">
        <v>9135</v>
      </c>
      <c r="Y2387" s="1" t="s">
        <v>9182</v>
      </c>
    </row>
    <row r="2388">
      <c r="A2388" s="1">
        <v>5.5977897E7</v>
      </c>
      <c r="B2388" s="1" t="s">
        <v>9183</v>
      </c>
      <c r="C2388" s="1" t="s">
        <v>9184</v>
      </c>
      <c r="D2388" s="1" t="s">
        <v>9185</v>
      </c>
      <c r="E2388" s="1" t="s">
        <v>9186</v>
      </c>
      <c r="F2388" s="2" t="str">
        <f>"1338681605"</f>
        <v>1338681605</v>
      </c>
      <c r="G2388" s="2" t="str">
        <f>"9781338681604"</f>
        <v>9781338681604</v>
      </c>
      <c r="H2388" s="1" t="s">
        <v>2476</v>
      </c>
      <c r="I2388" s="1" t="s">
        <v>36</v>
      </c>
      <c r="J2388" s="1">
        <v>176.0</v>
      </c>
      <c r="K2388" s="1">
        <v>2021.0</v>
      </c>
      <c r="L2388" s="1">
        <v>2021.0</v>
      </c>
      <c r="M2388" s="1"/>
      <c r="N2388" s="1"/>
      <c r="O2388" s="1"/>
      <c r="P2388" s="1"/>
      <c r="Q2388" s="1"/>
      <c r="R2388" s="1"/>
      <c r="S2388" s="1"/>
      <c r="T2388" s="1"/>
      <c r="U2388" s="1"/>
      <c r="V2388" s="1"/>
      <c r="W2388" s="1"/>
      <c r="X2388" s="1" t="s">
        <v>8068</v>
      </c>
      <c r="Y2388" s="1" t="s">
        <v>9187</v>
      </c>
    </row>
    <row r="2389">
      <c r="A2389" s="1">
        <v>3.309901E7</v>
      </c>
      <c r="B2389" s="1" t="s">
        <v>9188</v>
      </c>
      <c r="C2389" s="1" t="s">
        <v>9181</v>
      </c>
      <c r="D2389" s="1" t="s">
        <v>9189</v>
      </c>
      <c r="F2389" s="2" t="str">
        <f>"0545875749"</f>
        <v>0545875749</v>
      </c>
      <c r="G2389" s="2" t="str">
        <f>"9780545875745"</f>
        <v>9780545875745</v>
      </c>
      <c r="H2389" s="1" t="s">
        <v>817</v>
      </c>
      <c r="I2389" s="1" t="s">
        <v>31</v>
      </c>
      <c r="J2389" s="1">
        <v>176.0</v>
      </c>
      <c r="K2389" s="1">
        <v>2017.0</v>
      </c>
      <c r="L2389" s="1">
        <v>2017.0</v>
      </c>
      <c r="M2389" s="1"/>
      <c r="N2389" s="1"/>
      <c r="O2389" s="1"/>
      <c r="P2389" s="1"/>
      <c r="Q2389" s="1"/>
      <c r="R2389" s="1"/>
      <c r="S2389" s="1"/>
      <c r="T2389" s="1"/>
      <c r="U2389" s="1"/>
      <c r="V2389" s="1"/>
      <c r="W2389" s="1"/>
      <c r="X2389" s="1" t="s">
        <v>491</v>
      </c>
      <c r="Y2389" s="1" t="s">
        <v>9190</v>
      </c>
    </row>
    <row r="2390">
      <c r="A2390" s="1">
        <v>3.6127377E7</v>
      </c>
      <c r="B2390" s="1" t="s">
        <v>9191</v>
      </c>
      <c r="C2390" s="1" t="s">
        <v>9181</v>
      </c>
      <c r="D2390" s="1" t="s">
        <v>9189</v>
      </c>
      <c r="F2390" s="2" t="str">
        <f>"1338188240"</f>
        <v>1338188240</v>
      </c>
      <c r="G2390" s="2" t="str">
        <f>"9781338188240"</f>
        <v>9781338188240</v>
      </c>
      <c r="H2390" s="1" t="s">
        <v>817</v>
      </c>
      <c r="I2390" s="1" t="s">
        <v>31</v>
      </c>
      <c r="J2390" s="1">
        <v>176.0</v>
      </c>
      <c r="K2390" s="1">
        <v>2018.0</v>
      </c>
      <c r="L2390" s="1">
        <v>2018.0</v>
      </c>
      <c r="M2390" s="1"/>
      <c r="N2390" s="1"/>
      <c r="O2390" s="1"/>
      <c r="P2390" s="1"/>
      <c r="Q2390" s="1"/>
      <c r="R2390" s="1"/>
      <c r="S2390" s="1"/>
      <c r="T2390" s="1"/>
      <c r="U2390" s="1"/>
      <c r="V2390" s="1"/>
      <c r="W2390" s="1"/>
      <c r="X2390" s="1" t="s">
        <v>9135</v>
      </c>
      <c r="Y2390" s="1" t="s">
        <v>9192</v>
      </c>
    </row>
    <row r="2391">
      <c r="A2391" s="1">
        <v>4.9053966E7</v>
      </c>
      <c r="B2391" s="1" t="s">
        <v>9193</v>
      </c>
      <c r="C2391" s="1" t="s">
        <v>9181</v>
      </c>
      <c r="D2391" s="1" t="s">
        <v>9189</v>
      </c>
      <c r="F2391" s="2" t="str">
        <f>"133867630X"</f>
        <v>133867630X</v>
      </c>
      <c r="G2391" s="2" t="str">
        <f>"9781338676303"</f>
        <v>9781338676303</v>
      </c>
      <c r="H2391" s="1" t="s">
        <v>50</v>
      </c>
      <c r="I2391" s="1" t="s">
        <v>238</v>
      </c>
      <c r="J2391" s="1">
        <v>176.0</v>
      </c>
      <c r="K2391" s="1">
        <v>2020.0</v>
      </c>
      <c r="L2391" s="1">
        <v>2020.0</v>
      </c>
      <c r="M2391" s="1"/>
      <c r="N2391" s="1"/>
      <c r="O2391" s="1"/>
      <c r="P2391" s="1"/>
      <c r="Q2391" s="1"/>
      <c r="R2391" s="1"/>
      <c r="S2391" s="1"/>
      <c r="T2391" s="1"/>
      <c r="U2391" s="1"/>
      <c r="V2391" s="1"/>
      <c r="W2391" s="1"/>
      <c r="X2391" s="1" t="s">
        <v>9194</v>
      </c>
      <c r="Y2391" s="1" t="s">
        <v>9195</v>
      </c>
    </row>
    <row r="2392">
      <c r="A2392" s="1">
        <v>2.8371975E7</v>
      </c>
      <c r="B2392" s="1" t="s">
        <v>9196</v>
      </c>
      <c r="C2392" s="1" t="s">
        <v>9181</v>
      </c>
      <c r="D2392" s="1" t="s">
        <v>9189</v>
      </c>
      <c r="F2392" s="2" t="str">
        <f>"0545875757"</f>
        <v>0545875757</v>
      </c>
      <c r="G2392" s="2" t="str">
        <f>"9780545875752"</f>
        <v>9780545875752</v>
      </c>
      <c r="H2392" s="1" t="s">
        <v>179</v>
      </c>
      <c r="I2392" s="1" t="s">
        <v>238</v>
      </c>
      <c r="J2392" s="1">
        <v>176.0</v>
      </c>
      <c r="K2392" s="1">
        <v>2016.0</v>
      </c>
      <c r="L2392" s="1">
        <v>2016.0</v>
      </c>
      <c r="M2392" s="1"/>
      <c r="N2392" s="1"/>
      <c r="O2392" s="1"/>
      <c r="P2392" s="1"/>
      <c r="Q2392" s="1"/>
      <c r="R2392" s="1"/>
      <c r="S2392" s="1"/>
      <c r="T2392" s="1"/>
      <c r="U2392" s="1"/>
      <c r="V2392" s="1"/>
      <c r="W2392" s="1"/>
      <c r="X2392" s="1" t="s">
        <v>9135</v>
      </c>
      <c r="Y2392" s="1" t="s">
        <v>9197</v>
      </c>
    </row>
    <row r="2393">
      <c r="A2393" s="1">
        <v>5.7468754E7</v>
      </c>
      <c r="B2393" s="1" t="s">
        <v>9198</v>
      </c>
      <c r="C2393" s="1" t="s">
        <v>433</v>
      </c>
      <c r="D2393" s="1" t="s">
        <v>434</v>
      </c>
      <c r="F2393" s="2" t="str">
        <f>"1338775553"</f>
        <v>1338775553</v>
      </c>
      <c r="G2393" s="2" t="str">
        <f>"9781338775556"</f>
        <v>9781338775556</v>
      </c>
      <c r="H2393" s="1" t="s">
        <v>857</v>
      </c>
      <c r="I2393" s="1" t="s">
        <v>31</v>
      </c>
      <c r="J2393" s="1">
        <v>176.0</v>
      </c>
      <c r="K2393" s="1">
        <v>2022.0</v>
      </c>
      <c r="M2393" s="1"/>
      <c r="N2393" s="1"/>
      <c r="O2393" s="1"/>
      <c r="P2393" s="1"/>
      <c r="Q2393" s="1"/>
      <c r="R2393" s="1"/>
      <c r="S2393" s="1"/>
      <c r="T2393" s="1"/>
      <c r="U2393" s="1"/>
      <c r="V2393" s="1"/>
      <c r="W2393" s="1"/>
      <c r="X2393" s="1" t="s">
        <v>45</v>
      </c>
      <c r="Y2393" s="1" t="s">
        <v>9199</v>
      </c>
    </row>
    <row r="2394">
      <c r="A2394" s="1">
        <v>3.6127426E7</v>
      </c>
      <c r="B2394" s="1" t="s">
        <v>9200</v>
      </c>
      <c r="C2394" s="1" t="s">
        <v>433</v>
      </c>
      <c r="D2394" s="1" t="s">
        <v>434</v>
      </c>
      <c r="F2394" s="2" t="str">
        <f>"1338162896"</f>
        <v>1338162896</v>
      </c>
      <c r="G2394" s="2" t="str">
        <f>"9781338162899"</f>
        <v>9781338162899</v>
      </c>
      <c r="H2394" s="1" t="s">
        <v>857</v>
      </c>
      <c r="I2394" s="1" t="s">
        <v>31</v>
      </c>
      <c r="J2394" s="1">
        <v>176.0</v>
      </c>
      <c r="K2394" s="1">
        <v>2018.0</v>
      </c>
      <c r="M2394" s="1"/>
      <c r="N2394" s="1"/>
      <c r="O2394" s="1"/>
      <c r="P2394" s="1"/>
      <c r="Q2394" s="1"/>
      <c r="R2394" s="1"/>
      <c r="S2394" s="1"/>
      <c r="T2394" s="1"/>
      <c r="U2394" s="1"/>
      <c r="V2394" s="1"/>
      <c r="W2394" s="1"/>
      <c r="X2394" s="1" t="s">
        <v>45</v>
      </c>
      <c r="Y2394" s="1" t="s">
        <v>9201</v>
      </c>
    </row>
    <row r="2395">
      <c r="A2395" s="1">
        <v>5.641472E7</v>
      </c>
      <c r="B2395" s="1" t="s">
        <v>9202</v>
      </c>
      <c r="C2395" s="1" t="s">
        <v>546</v>
      </c>
      <c r="D2395" s="1" t="s">
        <v>547</v>
      </c>
      <c r="F2395" s="2" t="str">
        <f>"1338747851"</f>
        <v>1338747851</v>
      </c>
      <c r="G2395" s="2" t="str">
        <f>"9781338747850"</f>
        <v>9781338747850</v>
      </c>
      <c r="H2395" s="1" t="s">
        <v>1575</v>
      </c>
      <c r="I2395" s="1" t="s">
        <v>238</v>
      </c>
      <c r="J2395" s="1">
        <v>176.0</v>
      </c>
      <c r="K2395" s="1">
        <v>2021.0</v>
      </c>
      <c r="L2395" s="1">
        <v>2020.0</v>
      </c>
      <c r="M2395" s="1"/>
      <c r="N2395" s="1"/>
      <c r="O2395" s="1"/>
      <c r="P2395" s="1"/>
      <c r="Q2395" s="1"/>
      <c r="R2395" s="1"/>
      <c r="S2395" s="1"/>
      <c r="T2395" s="1"/>
      <c r="U2395" s="1"/>
      <c r="V2395" s="1"/>
      <c r="W2395" s="1"/>
      <c r="X2395" s="1" t="s">
        <v>9203</v>
      </c>
      <c r="Y2395" s="1" t="s">
        <v>9204</v>
      </c>
    </row>
    <row r="2396">
      <c r="A2396" s="1">
        <v>5.2891759E7</v>
      </c>
      <c r="B2396" s="1" t="s">
        <v>9205</v>
      </c>
      <c r="C2396" s="1" t="s">
        <v>546</v>
      </c>
      <c r="D2396" s="1" t="s">
        <v>547</v>
      </c>
      <c r="F2396" s="2" t="str">
        <f>"1338712772"</f>
        <v>1338712772</v>
      </c>
      <c r="G2396" s="2" t="str">
        <f>"9781338712773"</f>
        <v>9781338712773</v>
      </c>
      <c r="H2396" s="1" t="s">
        <v>640</v>
      </c>
      <c r="I2396" s="1" t="s">
        <v>91</v>
      </c>
      <c r="J2396" s="1">
        <v>176.0</v>
      </c>
      <c r="K2396" s="1">
        <v>2020.0</v>
      </c>
      <c r="L2396" s="1">
        <v>2020.0</v>
      </c>
      <c r="M2396" s="1"/>
      <c r="N2396" s="1"/>
      <c r="O2396" s="1"/>
      <c r="P2396" s="1"/>
      <c r="Q2396" s="1"/>
      <c r="R2396" s="1"/>
      <c r="S2396" s="1"/>
      <c r="T2396" s="1"/>
      <c r="U2396" s="1"/>
      <c r="V2396" s="1"/>
      <c r="W2396" s="1"/>
      <c r="X2396" s="1" t="s">
        <v>549</v>
      </c>
      <c r="Y2396" s="1" t="s">
        <v>9206</v>
      </c>
    </row>
    <row r="2397">
      <c r="A2397" s="1">
        <v>2216594.0</v>
      </c>
      <c r="B2397" s="1" t="s">
        <v>9207</v>
      </c>
      <c r="C2397" s="1" t="s">
        <v>546</v>
      </c>
      <c r="D2397" s="1" t="s">
        <v>547</v>
      </c>
      <c r="F2397" s="2" t="str">
        <f>"0545025834"</f>
        <v>0545025834</v>
      </c>
      <c r="G2397" s="2" t="str">
        <f>"9780545025836"</f>
        <v>9780545025836</v>
      </c>
      <c r="H2397" s="1" t="s">
        <v>1575</v>
      </c>
      <c r="I2397" s="1" t="s">
        <v>36</v>
      </c>
      <c r="J2397" s="1">
        <v>176.0</v>
      </c>
      <c r="K2397" s="1">
        <v>2008.0</v>
      </c>
      <c r="L2397" s="1">
        <v>2006.0</v>
      </c>
      <c r="M2397" s="1"/>
      <c r="N2397" s="1"/>
      <c r="O2397" s="1"/>
      <c r="P2397" s="1"/>
      <c r="Q2397" s="1"/>
      <c r="R2397" s="1"/>
      <c r="S2397" s="1"/>
      <c r="T2397" s="1"/>
      <c r="U2397" s="1"/>
      <c r="V2397" s="1"/>
      <c r="W2397" s="1"/>
      <c r="X2397" s="1" t="s">
        <v>553</v>
      </c>
      <c r="Y2397" s="1" t="s">
        <v>9208</v>
      </c>
    </row>
    <row r="2398">
      <c r="A2398" s="1">
        <v>835225.0</v>
      </c>
      <c r="B2398" s="1" t="s">
        <v>9209</v>
      </c>
      <c r="C2398" s="1" t="s">
        <v>546</v>
      </c>
      <c r="D2398" s="1" t="s">
        <v>547</v>
      </c>
      <c r="F2398" s="2" t="str">
        <f>"043997772X"</f>
        <v>043997772X</v>
      </c>
      <c r="G2398" s="2" t="str">
        <f>"9780439977722"</f>
        <v>9780439977722</v>
      </c>
      <c r="H2398" s="1" t="s">
        <v>179</v>
      </c>
      <c r="I2398" s="1" t="s">
        <v>36</v>
      </c>
      <c r="J2398" s="1">
        <v>176.0</v>
      </c>
      <c r="L2398" s="1">
        <v>2003.0</v>
      </c>
      <c r="M2398" s="1"/>
      <c r="N2398" s="1"/>
      <c r="O2398" s="1"/>
      <c r="P2398" s="1"/>
      <c r="Q2398" s="1"/>
      <c r="R2398" s="1"/>
      <c r="S2398" s="1"/>
      <c r="T2398" s="1"/>
      <c r="U2398" s="1"/>
      <c r="V2398" s="1"/>
      <c r="W2398" s="1"/>
      <c r="X2398" s="1" t="s">
        <v>553</v>
      </c>
      <c r="Y2398" s="1" t="s">
        <v>9210</v>
      </c>
    </row>
    <row r="2399">
      <c r="A2399" s="1">
        <v>325730.0</v>
      </c>
      <c r="B2399" s="1" t="s">
        <v>9211</v>
      </c>
      <c r="C2399" s="1" t="s">
        <v>546</v>
      </c>
      <c r="D2399" s="1" t="s">
        <v>547</v>
      </c>
      <c r="F2399" s="2" t="str">
        <f>"0439994802"</f>
        <v>0439994802</v>
      </c>
      <c r="G2399" s="2" t="str">
        <f>"9780439994804"</f>
        <v>9780439994804</v>
      </c>
      <c r="H2399" s="1" t="s">
        <v>50</v>
      </c>
      <c r="I2399" s="1" t="s">
        <v>36</v>
      </c>
      <c r="J2399" s="1">
        <v>176.0</v>
      </c>
      <c r="K2399" s="1">
        <v>2001.0</v>
      </c>
      <c r="L2399" s="1">
        <v>2001.0</v>
      </c>
      <c r="M2399" s="1"/>
      <c r="N2399" s="1"/>
      <c r="O2399" s="1"/>
      <c r="P2399" s="1"/>
      <c r="Q2399" s="1"/>
      <c r="R2399" s="1"/>
      <c r="S2399" s="1"/>
      <c r="T2399" s="1"/>
      <c r="U2399" s="1"/>
      <c r="V2399" s="1"/>
      <c r="W2399" s="1"/>
      <c r="X2399" s="1" t="s">
        <v>553</v>
      </c>
      <c r="Y2399" s="1" t="s">
        <v>9212</v>
      </c>
    </row>
    <row r="2400">
      <c r="A2400" s="1">
        <v>15673.0</v>
      </c>
      <c r="B2400" s="1" t="s">
        <v>9213</v>
      </c>
      <c r="C2400" s="1" t="s">
        <v>8815</v>
      </c>
      <c r="D2400" s="1" t="s">
        <v>8816</v>
      </c>
      <c r="F2400" s="2" t="str">
        <f>"0747569118"</f>
        <v>0747569118</v>
      </c>
      <c r="G2400" s="2" t="str">
        <f>"9780747569114"</f>
        <v>9780747569114</v>
      </c>
      <c r="H2400" s="1" t="s">
        <v>8818</v>
      </c>
      <c r="I2400" s="1" t="s">
        <v>36</v>
      </c>
      <c r="J2400" s="1">
        <v>176.0</v>
      </c>
      <c r="K2400" s="1">
        <v>2004.0</v>
      </c>
      <c r="L2400" s="1">
        <v>1995.0</v>
      </c>
      <c r="M2400" s="1"/>
      <c r="N2400" s="1"/>
      <c r="O2400" s="1"/>
      <c r="P2400" s="1"/>
      <c r="Q2400" s="1"/>
      <c r="R2400" s="1"/>
      <c r="S2400" s="1"/>
      <c r="T2400" s="1"/>
      <c r="U2400" s="1"/>
      <c r="V2400" s="1"/>
      <c r="W2400" s="1"/>
      <c r="X2400" s="1" t="s">
        <v>45</v>
      </c>
      <c r="Y2400" s="1" t="s">
        <v>9214</v>
      </c>
    </row>
    <row r="2401">
      <c r="A2401" s="1">
        <v>3.1213262E7</v>
      </c>
      <c r="B2401" s="1" t="s">
        <v>9215</v>
      </c>
      <c r="C2401" s="1" t="s">
        <v>9216</v>
      </c>
      <c r="D2401" s="1" t="s">
        <v>9217</v>
      </c>
      <c r="E2401" s="1" t="s">
        <v>9218</v>
      </c>
      <c r="F2401" s="2" t="str">
        <f>"1510718141"</f>
        <v>1510718141</v>
      </c>
      <c r="G2401" s="2" t="str">
        <f>"9781510718142"</f>
        <v>9781510718142</v>
      </c>
      <c r="H2401" s="1" t="s">
        <v>3278</v>
      </c>
      <c r="I2401" s="1" t="s">
        <v>31</v>
      </c>
      <c r="J2401" s="1">
        <v>180.0</v>
      </c>
      <c r="K2401" s="1">
        <v>2017.0</v>
      </c>
      <c r="M2401" s="1"/>
      <c r="N2401" s="1"/>
      <c r="O2401" s="1"/>
      <c r="P2401" s="1"/>
      <c r="Q2401" s="1"/>
      <c r="R2401" s="1"/>
      <c r="S2401" s="1"/>
      <c r="T2401" s="1"/>
      <c r="U2401" s="1"/>
      <c r="V2401" s="1"/>
      <c r="W2401" s="1"/>
      <c r="X2401" s="1" t="s">
        <v>458</v>
      </c>
      <c r="Y2401" s="1" t="s">
        <v>9219</v>
      </c>
    </row>
    <row r="2402">
      <c r="A2402" s="1">
        <v>357664.0</v>
      </c>
      <c r="B2402" s="1" t="s">
        <v>9220</v>
      </c>
      <c r="C2402" s="1" t="s">
        <v>225</v>
      </c>
      <c r="D2402" s="1" t="s">
        <v>226</v>
      </c>
      <c r="F2402" s="2" t="str">
        <f>"0763616052"</f>
        <v>0763616052</v>
      </c>
      <c r="G2402" s="2" t="str">
        <f>"9780763616052"</f>
        <v>9780763616052</v>
      </c>
      <c r="H2402" s="1" t="s">
        <v>945</v>
      </c>
      <c r="I2402" s="1" t="s">
        <v>36</v>
      </c>
      <c r="J2402" s="1">
        <v>182.0</v>
      </c>
      <c r="K2402" s="1">
        <v>2001.0</v>
      </c>
      <c r="L2402" s="1">
        <v>2000.0</v>
      </c>
      <c r="M2402" s="1"/>
      <c r="N2402" s="1"/>
      <c r="O2402" s="1"/>
      <c r="P2402" s="1"/>
      <c r="Q2402" s="1"/>
      <c r="R2402" s="1"/>
      <c r="S2402" s="1"/>
      <c r="T2402" s="1"/>
      <c r="U2402" s="1"/>
      <c r="V2402" s="1"/>
      <c r="W2402" s="1"/>
      <c r="X2402" s="1" t="s">
        <v>9221</v>
      </c>
      <c r="Y2402" s="1" t="s">
        <v>9222</v>
      </c>
    </row>
    <row r="2403">
      <c r="A2403" s="1">
        <v>2.5664417E7</v>
      </c>
      <c r="B2403" s="1" t="s">
        <v>9223</v>
      </c>
      <c r="C2403" s="1" t="s">
        <v>9224</v>
      </c>
      <c r="D2403" s="1" t="s">
        <v>9225</v>
      </c>
      <c r="E2403" s="1" t="s">
        <v>9226</v>
      </c>
      <c r="F2403" s="2" t="str">
        <f>"1250068363"</f>
        <v>1250068363</v>
      </c>
      <c r="G2403" s="2" t="str">
        <f>"9781250068361"</f>
        <v>9781250068361</v>
      </c>
      <c r="H2403" s="1" t="s">
        <v>2940</v>
      </c>
      <c r="I2403" s="1" t="s">
        <v>31</v>
      </c>
      <c r="J2403" s="1">
        <v>184.0</v>
      </c>
      <c r="K2403" s="1">
        <v>2016.0</v>
      </c>
      <c r="L2403" s="1">
        <v>2016.0</v>
      </c>
      <c r="M2403" s="1"/>
      <c r="N2403" s="1"/>
      <c r="O2403" s="1"/>
      <c r="P2403" s="1"/>
      <c r="Q2403" s="1"/>
      <c r="R2403" s="1"/>
      <c r="S2403" s="1"/>
      <c r="T2403" s="1"/>
      <c r="U2403" s="1"/>
      <c r="V2403" s="1"/>
      <c r="W2403" s="1"/>
      <c r="X2403" s="1" t="s">
        <v>45</v>
      </c>
      <c r="Y2403" s="1" t="s">
        <v>9227</v>
      </c>
    </row>
    <row r="2404">
      <c r="A2404" s="1">
        <v>142309.0</v>
      </c>
      <c r="B2404" s="1" t="s">
        <v>9228</v>
      </c>
      <c r="C2404" s="1" t="s">
        <v>8679</v>
      </c>
      <c r="D2404" s="1" t="s">
        <v>8680</v>
      </c>
      <c r="F2404" s="2" t="str">
        <f>"1888963093"</f>
        <v>1888963093</v>
      </c>
      <c r="G2404" s="2" t="str">
        <f>"9781888963090"</f>
        <v>9781888963090</v>
      </c>
      <c r="H2404" s="1" t="s">
        <v>8828</v>
      </c>
      <c r="I2404" s="1" t="s">
        <v>36</v>
      </c>
      <c r="J2404" s="1">
        <v>184.0</v>
      </c>
      <c r="K2404" s="1">
        <v>2008.0</v>
      </c>
      <c r="L2404" s="1">
        <v>2001.0</v>
      </c>
      <c r="M2404" s="1"/>
      <c r="N2404" s="1"/>
      <c r="O2404" s="1"/>
      <c r="P2404" s="1"/>
      <c r="Q2404" s="1"/>
      <c r="R2404" s="1"/>
      <c r="S2404" s="1"/>
      <c r="T2404" s="1"/>
      <c r="U2404" s="1"/>
      <c r="V2404" s="1"/>
      <c r="W2404" s="1"/>
      <c r="X2404" s="1" t="s">
        <v>161</v>
      </c>
      <c r="Y2404" s="1" t="s">
        <v>9229</v>
      </c>
    </row>
    <row r="2405">
      <c r="A2405" s="1">
        <v>4.3725945E7</v>
      </c>
      <c r="B2405" s="1" t="s">
        <v>9230</v>
      </c>
      <c r="C2405" s="1" t="s">
        <v>9231</v>
      </c>
      <c r="D2405" s="1" t="s">
        <v>9232</v>
      </c>
      <c r="F2405" s="2" t="str">
        <f>"1510741429"</f>
        <v>1510741429</v>
      </c>
      <c r="G2405" s="2" t="str">
        <f>"9781510741423"</f>
        <v>9781510741423</v>
      </c>
      <c r="H2405" s="1" t="s">
        <v>5611</v>
      </c>
      <c r="I2405" s="1" t="s">
        <v>238</v>
      </c>
      <c r="J2405" s="1">
        <v>184.0</v>
      </c>
      <c r="K2405" s="1">
        <v>2019.0</v>
      </c>
      <c r="M2405" s="1"/>
      <c r="N2405" s="1"/>
      <c r="O2405" s="1"/>
      <c r="P2405" s="1"/>
      <c r="Q2405" s="1"/>
      <c r="R2405" s="1"/>
      <c r="S2405" s="1"/>
      <c r="T2405" s="1"/>
      <c r="U2405" s="1"/>
      <c r="V2405" s="1"/>
      <c r="W2405" s="1"/>
      <c r="X2405" s="1" t="s">
        <v>264</v>
      </c>
      <c r="Y2405" s="1" t="s">
        <v>9233</v>
      </c>
    </row>
    <row r="2406">
      <c r="A2406" s="1">
        <v>232109.0</v>
      </c>
      <c r="B2406" s="1" t="s">
        <v>9234</v>
      </c>
      <c r="C2406" s="1" t="s">
        <v>2902</v>
      </c>
      <c r="D2406" s="1" t="s">
        <v>2903</v>
      </c>
      <c r="E2406" s="1" t="s">
        <v>9235</v>
      </c>
      <c r="F2406" s="2" t="str">
        <f>"0380709244"</f>
        <v>0380709244</v>
      </c>
      <c r="G2406" s="2" t="str">
        <f>"9780380709243"</f>
        <v>9780380709243</v>
      </c>
      <c r="H2406" s="1" t="s">
        <v>290</v>
      </c>
      <c r="I2406" s="1" t="s">
        <v>36</v>
      </c>
      <c r="J2406" s="1">
        <v>186.0</v>
      </c>
      <c r="K2406" s="1">
        <v>2014.0</v>
      </c>
      <c r="L2406" s="1">
        <v>1965.0</v>
      </c>
      <c r="M2406" s="1"/>
      <c r="N2406" s="1"/>
      <c r="O2406" s="1"/>
      <c r="P2406" s="1"/>
      <c r="Q2406" s="1"/>
      <c r="R2406" s="1"/>
      <c r="S2406" s="1"/>
      <c r="T2406" s="1"/>
      <c r="U2406" s="1"/>
      <c r="V2406" s="1"/>
      <c r="W2406" s="1"/>
      <c r="X2406" s="1" t="s">
        <v>9236</v>
      </c>
      <c r="Y2406" s="1" t="s">
        <v>9237</v>
      </c>
    </row>
    <row r="2407">
      <c r="A2407" s="1">
        <v>1.7693728E7</v>
      </c>
      <c r="B2407" s="1" t="s">
        <v>9238</v>
      </c>
      <c r="C2407" s="1" t="s">
        <v>849</v>
      </c>
      <c r="D2407" s="1" t="s">
        <v>850</v>
      </c>
      <c r="F2407" s="2" t="str">
        <f>"1423167651"</f>
        <v>1423167651</v>
      </c>
      <c r="G2407" s="2" t="str">
        <f>"9781423167655"</f>
        <v>9781423167655</v>
      </c>
      <c r="H2407" s="1" t="s">
        <v>5575</v>
      </c>
      <c r="I2407" s="1" t="s">
        <v>31</v>
      </c>
      <c r="J2407" s="1">
        <v>186.0</v>
      </c>
      <c r="K2407" s="1">
        <v>2013.0</v>
      </c>
      <c r="L2407" s="1">
        <v>2013.0</v>
      </c>
      <c r="M2407" s="1"/>
      <c r="N2407" s="1"/>
      <c r="O2407" s="1"/>
      <c r="P2407" s="1"/>
      <c r="Q2407" s="1"/>
      <c r="R2407" s="1"/>
      <c r="S2407" s="1"/>
      <c r="T2407" s="1"/>
      <c r="U2407" s="1"/>
      <c r="V2407" s="1"/>
      <c r="W2407" s="1"/>
      <c r="X2407" s="1" t="s">
        <v>74</v>
      </c>
      <c r="Y2407" s="1" t="s">
        <v>9239</v>
      </c>
    </row>
    <row r="2408">
      <c r="A2408" s="1">
        <v>4.2359612E7</v>
      </c>
      <c r="B2408" s="1" t="s">
        <v>9240</v>
      </c>
      <c r="C2408" s="1" t="s">
        <v>8508</v>
      </c>
      <c r="D2408" s="1" t="s">
        <v>8509</v>
      </c>
      <c r="E2408" s="1" t="s">
        <v>9241</v>
      </c>
      <c r="F2408" s="2" t="str">
        <f>"1742999573"</f>
        <v>1742999573</v>
      </c>
      <c r="G2408" s="2" t="str">
        <f>"9781742999579"</f>
        <v>9781742999579</v>
      </c>
      <c r="H2408" s="1" t="s">
        <v>857</v>
      </c>
      <c r="I2408" s="1" t="s">
        <v>36</v>
      </c>
      <c r="J2408" s="1">
        <v>186.0</v>
      </c>
      <c r="K2408" s="1">
        <v>2018.0</v>
      </c>
      <c r="L2408" s="1">
        <v>2018.0</v>
      </c>
      <c r="M2408" s="1"/>
      <c r="N2408" s="1"/>
      <c r="O2408" s="1"/>
      <c r="P2408" s="1"/>
      <c r="Q2408" s="1"/>
      <c r="R2408" s="1"/>
      <c r="S2408" s="1"/>
      <c r="T2408" s="1"/>
      <c r="U2408" s="1"/>
      <c r="V2408" s="1"/>
      <c r="W2408" s="1"/>
      <c r="X2408" s="1" t="s">
        <v>9242</v>
      </c>
      <c r="Y2408" s="1" t="s">
        <v>9243</v>
      </c>
    </row>
    <row r="2409">
      <c r="A2409" s="1">
        <v>6.0537741E7</v>
      </c>
      <c r="B2409" s="1" t="s">
        <v>9244</v>
      </c>
      <c r="C2409" s="1" t="s">
        <v>9245</v>
      </c>
      <c r="D2409" s="1" t="s">
        <v>9246</v>
      </c>
      <c r="F2409" s="2" t="str">
        <f>"1638078300"</f>
        <v>1638078300</v>
      </c>
      <c r="G2409" s="2" t="str">
        <f>"9781638078302"</f>
        <v>9781638078302</v>
      </c>
      <c r="H2409" s="1" t="s">
        <v>6660</v>
      </c>
      <c r="I2409" s="1" t="s">
        <v>238</v>
      </c>
      <c r="J2409" s="1">
        <v>189.0</v>
      </c>
      <c r="K2409" s="1">
        <v>2022.0</v>
      </c>
      <c r="M2409" s="1"/>
      <c r="N2409" s="1"/>
      <c r="O2409" s="1"/>
      <c r="P2409" s="1"/>
      <c r="Q2409" s="1"/>
      <c r="R2409" s="1"/>
      <c r="S2409" s="1"/>
      <c r="T2409" s="1"/>
      <c r="U2409" s="1"/>
      <c r="V2409" s="1"/>
      <c r="W2409" s="1"/>
      <c r="X2409" s="1" t="s">
        <v>96</v>
      </c>
      <c r="Y2409" s="1" t="s">
        <v>9247</v>
      </c>
    </row>
    <row r="2410">
      <c r="A2410" s="1">
        <v>91253.0</v>
      </c>
      <c r="B2410" s="1" t="s">
        <v>9248</v>
      </c>
      <c r="C2410" s="1" t="s">
        <v>2902</v>
      </c>
      <c r="D2410" s="1" t="s">
        <v>2903</v>
      </c>
      <c r="F2410" s="2" t="str">
        <f t="shared" ref="F2410:G2410" si="148">""</f>
        <v/>
      </c>
      <c r="G2410" s="2" t="str">
        <f t="shared" si="148"/>
        <v/>
      </c>
      <c r="H2410" s="1" t="s">
        <v>6845</v>
      </c>
      <c r="I2410" s="1" t="s">
        <v>36</v>
      </c>
      <c r="J2410" s="1">
        <v>190.0</v>
      </c>
      <c r="K2410" s="1">
        <v>1982.0</v>
      </c>
      <c r="L2410" s="1">
        <v>1981.0</v>
      </c>
      <c r="M2410" s="1"/>
      <c r="N2410" s="1"/>
      <c r="O2410" s="1"/>
      <c r="P2410" s="1"/>
      <c r="Q2410" s="1"/>
      <c r="R2410" s="1"/>
      <c r="S2410" s="1"/>
      <c r="T2410" s="1"/>
      <c r="U2410" s="1"/>
      <c r="V2410" s="1"/>
      <c r="W2410" s="1"/>
      <c r="X2410" s="1" t="s">
        <v>9236</v>
      </c>
      <c r="Y2410" s="1" t="s">
        <v>9249</v>
      </c>
    </row>
    <row r="2411">
      <c r="A2411" s="1">
        <v>4.0940121E7</v>
      </c>
      <c r="B2411" s="1" t="s">
        <v>9250</v>
      </c>
      <c r="C2411" s="1" t="s">
        <v>9251</v>
      </c>
      <c r="D2411" s="1" t="s">
        <v>9252</v>
      </c>
      <c r="F2411" s="2" t="str">
        <f t="shared" ref="F2411:G2411" si="149">""</f>
        <v/>
      </c>
      <c r="G2411" s="2" t="str">
        <f t="shared" si="149"/>
        <v/>
      </c>
      <c r="H2411" s="1" t="s">
        <v>290</v>
      </c>
      <c r="I2411" s="1" t="s">
        <v>238</v>
      </c>
      <c r="J2411" s="1">
        <v>190.0</v>
      </c>
      <c r="K2411" s="1">
        <v>2009.0</v>
      </c>
      <c r="L2411" s="1">
        <v>1977.0</v>
      </c>
      <c r="M2411" s="1"/>
      <c r="N2411" s="1"/>
      <c r="O2411" s="1"/>
      <c r="P2411" s="1"/>
      <c r="Q2411" s="1"/>
      <c r="R2411" s="1"/>
      <c r="S2411" s="1"/>
      <c r="T2411" s="1"/>
      <c r="U2411" s="1"/>
      <c r="V2411" s="1"/>
      <c r="W2411" s="1"/>
      <c r="X2411" s="1" t="s">
        <v>45</v>
      </c>
      <c r="Y2411" s="1" t="s">
        <v>9253</v>
      </c>
    </row>
    <row r="2412">
      <c r="A2412" s="1">
        <v>2849953.0</v>
      </c>
      <c r="B2412" s="1" t="s">
        <v>9254</v>
      </c>
      <c r="C2412" s="1" t="s">
        <v>9255</v>
      </c>
      <c r="D2412" s="1" t="s">
        <v>9256</v>
      </c>
      <c r="F2412" s="2" t="str">
        <f>"043980373X"</f>
        <v>043980373X</v>
      </c>
      <c r="G2412" s="2" t="str">
        <f>"9780439803731"</f>
        <v>9780439803731</v>
      </c>
      <c r="H2412" s="1" t="s">
        <v>179</v>
      </c>
      <c r="I2412" s="1" t="s">
        <v>36</v>
      </c>
      <c r="J2412" s="1">
        <v>191.0</v>
      </c>
      <c r="K2412" s="1">
        <v>2005.0</v>
      </c>
      <c r="L2412" s="1">
        <v>2005.0</v>
      </c>
    </row>
    <row r="2413">
      <c r="A2413" s="1">
        <v>2.6072572E7</v>
      </c>
      <c r="B2413" s="1" t="s">
        <v>9257</v>
      </c>
      <c r="C2413" s="1" t="s">
        <v>9258</v>
      </c>
      <c r="D2413" s="1" t="s">
        <v>9259</v>
      </c>
      <c r="E2413" s="1" t="s">
        <v>9260</v>
      </c>
      <c r="F2413" s="2" t="str">
        <f>"0062372912"</f>
        <v>0062372912</v>
      </c>
      <c r="G2413" s="2" t="str">
        <f>"9780062372918"</f>
        <v>9780062372918</v>
      </c>
      <c r="H2413" s="1" t="s">
        <v>290</v>
      </c>
      <c r="I2413" s="1" t="s">
        <v>238</v>
      </c>
      <c r="J2413" s="1">
        <v>191.0</v>
      </c>
      <c r="K2413" s="1">
        <v>2016.0</v>
      </c>
      <c r="L2413" s="1">
        <v>2016.0</v>
      </c>
      <c r="M2413" s="1"/>
      <c r="N2413" s="1"/>
      <c r="O2413" s="1"/>
      <c r="P2413" s="1"/>
      <c r="Q2413" s="1"/>
      <c r="R2413" s="1"/>
      <c r="S2413" s="1"/>
      <c r="T2413" s="1"/>
      <c r="U2413" s="1"/>
      <c r="V2413" s="1"/>
      <c r="W2413" s="1"/>
      <c r="X2413" s="1" t="s">
        <v>9261</v>
      </c>
      <c r="Y2413" s="1" t="s">
        <v>9262</v>
      </c>
    </row>
    <row r="2414">
      <c r="A2414" s="1">
        <v>80674.0</v>
      </c>
      <c r="B2414" s="1" t="s">
        <v>9263</v>
      </c>
      <c r="C2414" s="1" t="s">
        <v>2639</v>
      </c>
      <c r="D2414" s="1" t="s">
        <v>2640</v>
      </c>
      <c r="F2414" s="2" t="str">
        <f t="shared" ref="F2414:G2414" si="150">""</f>
        <v/>
      </c>
      <c r="G2414" s="2" t="str">
        <f t="shared" si="150"/>
        <v/>
      </c>
      <c r="H2414" s="1" t="s">
        <v>753</v>
      </c>
      <c r="I2414" s="1" t="s">
        <v>36</v>
      </c>
      <c r="J2414" s="1">
        <v>192.0</v>
      </c>
      <c r="K2414" s="1">
        <v>2007.0</v>
      </c>
      <c r="L2414" s="1">
        <v>1980.0</v>
      </c>
      <c r="M2414" s="1"/>
      <c r="N2414" s="1"/>
      <c r="O2414" s="1"/>
      <c r="P2414" s="1"/>
      <c r="Q2414" s="1"/>
      <c r="R2414" s="1"/>
      <c r="S2414" s="1"/>
      <c r="T2414" s="1"/>
      <c r="U2414" s="1"/>
      <c r="V2414" s="1"/>
      <c r="W2414" s="1"/>
      <c r="X2414" s="1" t="s">
        <v>8874</v>
      </c>
      <c r="Y2414" s="1" t="s">
        <v>9264</v>
      </c>
    </row>
    <row r="2415">
      <c r="A2415" s="1">
        <v>2.2557467E7</v>
      </c>
      <c r="B2415" s="1" t="s">
        <v>9265</v>
      </c>
      <c r="C2415" s="1" t="s">
        <v>9266</v>
      </c>
      <c r="D2415" s="1" t="s">
        <v>9267</v>
      </c>
      <c r="F2415" s="2" t="str">
        <f>"1499800185"</f>
        <v>1499800185</v>
      </c>
      <c r="G2415" s="2" t="str">
        <f>"9781499800180"</f>
        <v>9781499800180</v>
      </c>
      <c r="H2415" s="1" t="s">
        <v>2546</v>
      </c>
      <c r="I2415" s="1" t="s">
        <v>36</v>
      </c>
      <c r="J2415" s="1">
        <v>192.0</v>
      </c>
      <c r="K2415" s="1">
        <v>2015.0</v>
      </c>
      <c r="L2415" s="1">
        <v>2015.0</v>
      </c>
      <c r="M2415" s="1"/>
      <c r="N2415" s="1"/>
      <c r="O2415" s="1"/>
      <c r="P2415" s="1"/>
      <c r="Q2415" s="1"/>
      <c r="R2415" s="1"/>
      <c r="S2415" s="1"/>
      <c r="T2415" s="1"/>
      <c r="U2415" s="1"/>
      <c r="V2415" s="1"/>
      <c r="W2415" s="1"/>
      <c r="X2415" s="1" t="s">
        <v>380</v>
      </c>
      <c r="Y2415" s="1" t="s">
        <v>9268</v>
      </c>
    </row>
    <row r="2416">
      <c r="A2416" s="1">
        <v>1.3436331E7</v>
      </c>
      <c r="B2416" s="1" t="s">
        <v>9269</v>
      </c>
      <c r="C2416" s="1" t="s">
        <v>2110</v>
      </c>
      <c r="D2416" s="1" t="s">
        <v>2111</v>
      </c>
      <c r="F2416" s="2" t="str">
        <f>"0545450136"</f>
        <v>0545450136</v>
      </c>
      <c r="G2416" s="2" t="str">
        <f>"9780545450133"</f>
        <v>9780545450133</v>
      </c>
      <c r="H2416" s="1" t="s">
        <v>817</v>
      </c>
      <c r="I2416" s="1" t="s">
        <v>31</v>
      </c>
      <c r="J2416" s="1">
        <v>192.0</v>
      </c>
      <c r="K2416" s="1">
        <v>2012.0</v>
      </c>
      <c r="L2416" s="1">
        <v>2012.0</v>
      </c>
      <c r="M2416" s="1"/>
      <c r="N2416" s="1"/>
      <c r="O2416" s="1"/>
      <c r="P2416" s="1"/>
      <c r="Q2416" s="1"/>
      <c r="R2416" s="1"/>
      <c r="S2416" s="1"/>
      <c r="T2416" s="1"/>
      <c r="U2416" s="1"/>
      <c r="V2416" s="1"/>
      <c r="W2416" s="1"/>
      <c r="X2416" s="1" t="s">
        <v>2696</v>
      </c>
      <c r="Y2416" s="1" t="s">
        <v>9270</v>
      </c>
    </row>
    <row r="2417">
      <c r="A2417" s="1">
        <v>5.4817317E7</v>
      </c>
      <c r="B2417" s="1" t="s">
        <v>9271</v>
      </c>
      <c r="C2417" s="1" t="s">
        <v>9272</v>
      </c>
      <c r="D2417" s="1" t="s">
        <v>9273</v>
      </c>
      <c r="E2417" s="1" t="s">
        <v>9274</v>
      </c>
      <c r="F2417" s="2" t="str">
        <f>"1426221878"</f>
        <v>1426221878</v>
      </c>
      <c r="G2417" s="2" t="str">
        <f>"9781426221873"</f>
        <v>9781426221873</v>
      </c>
      <c r="H2417" s="1" t="s">
        <v>2501</v>
      </c>
      <c r="I2417" s="1" t="s">
        <v>31</v>
      </c>
      <c r="J2417" s="1">
        <v>192.0</v>
      </c>
      <c r="K2417" s="1">
        <v>2021.0</v>
      </c>
      <c r="M2417" s="1"/>
      <c r="N2417" s="1"/>
      <c r="O2417" s="1"/>
      <c r="P2417" s="1"/>
      <c r="Q2417" s="1"/>
      <c r="R2417" s="1"/>
      <c r="S2417" s="1"/>
      <c r="T2417" s="1"/>
      <c r="U2417" s="1"/>
      <c r="V2417" s="1"/>
      <c r="W2417" s="1"/>
      <c r="X2417" s="1" t="s">
        <v>1024</v>
      </c>
      <c r="Y2417" s="1" t="s">
        <v>9275</v>
      </c>
    </row>
    <row r="2418">
      <c r="A2418" s="1">
        <v>5.8719221E7</v>
      </c>
      <c r="B2418" s="1" t="s">
        <v>9276</v>
      </c>
      <c r="C2418" s="1" t="s">
        <v>9277</v>
      </c>
      <c r="D2418" s="1" t="s">
        <v>9278</v>
      </c>
      <c r="E2418" s="1" t="s">
        <v>9279</v>
      </c>
      <c r="F2418" s="2" t="str">
        <f>"1338792679"</f>
        <v>1338792679</v>
      </c>
      <c r="G2418" s="2" t="str">
        <f>"9781338792676"</f>
        <v>9781338792676</v>
      </c>
      <c r="H2418" s="1" t="s">
        <v>640</v>
      </c>
      <c r="I2418" s="1" t="s">
        <v>36</v>
      </c>
      <c r="J2418" s="1">
        <v>192.0</v>
      </c>
      <c r="K2418" s="1">
        <v>2022.0</v>
      </c>
      <c r="M2418" s="1"/>
      <c r="N2418" s="1"/>
      <c r="O2418" s="1"/>
      <c r="P2418" s="1"/>
      <c r="Q2418" s="1"/>
      <c r="R2418" s="1"/>
      <c r="S2418" s="1"/>
      <c r="T2418" s="1"/>
      <c r="U2418" s="1"/>
      <c r="V2418" s="1"/>
      <c r="W2418" s="1"/>
      <c r="X2418" s="1" t="s">
        <v>161</v>
      </c>
      <c r="Y2418" s="1" t="s">
        <v>9280</v>
      </c>
    </row>
    <row r="2419">
      <c r="A2419" s="1">
        <v>30861.0</v>
      </c>
      <c r="B2419" s="1" t="s">
        <v>9281</v>
      </c>
      <c r="C2419" s="1" t="s">
        <v>2898</v>
      </c>
      <c r="D2419" s="1" t="s">
        <v>2899</v>
      </c>
      <c r="F2419" s="2" t="str">
        <f>"0679738568"</f>
        <v>0679738568</v>
      </c>
      <c r="G2419" s="2" t="str">
        <f>"9780679738565"</f>
        <v>9780679738565</v>
      </c>
      <c r="H2419" s="1" t="s">
        <v>9282</v>
      </c>
      <c r="I2419" s="1" t="s">
        <v>36</v>
      </c>
      <c r="J2419" s="1">
        <v>192.0</v>
      </c>
      <c r="K2419" s="1">
        <v>1992.0</v>
      </c>
      <c r="L2419" s="1">
        <v>1991.0</v>
      </c>
      <c r="M2419" s="1"/>
      <c r="N2419" s="1"/>
      <c r="O2419" s="1"/>
      <c r="P2419" s="1"/>
      <c r="Q2419" s="1"/>
      <c r="R2419" s="1"/>
      <c r="S2419" s="1"/>
      <c r="T2419" s="1"/>
      <c r="U2419" s="1"/>
      <c r="V2419" s="1"/>
      <c r="W2419" s="1"/>
      <c r="X2419" s="1" t="s">
        <v>363</v>
      </c>
      <c r="Y2419" s="1" t="s">
        <v>9283</v>
      </c>
    </row>
    <row r="2420">
      <c r="A2420" s="1">
        <v>89548.0</v>
      </c>
      <c r="B2420" s="1" t="s">
        <v>9284</v>
      </c>
      <c r="C2420" s="1" t="s">
        <v>2902</v>
      </c>
      <c r="D2420" s="1" t="s">
        <v>2903</v>
      </c>
      <c r="E2420" s="1" t="s">
        <v>9235</v>
      </c>
      <c r="F2420" s="2" t="str">
        <f t="shared" ref="F2420:G2420" si="151">""</f>
        <v/>
      </c>
      <c r="G2420" s="2" t="str">
        <f t="shared" si="151"/>
        <v/>
      </c>
      <c r="H2420" s="1" t="s">
        <v>9285</v>
      </c>
      <c r="I2420" s="1" t="s">
        <v>36</v>
      </c>
      <c r="J2420" s="1">
        <v>192.0</v>
      </c>
      <c r="K2420" s="1">
        <v>1990.0</v>
      </c>
      <c r="L2420" s="1">
        <v>1951.0</v>
      </c>
      <c r="M2420" s="1"/>
      <c r="N2420" s="1"/>
      <c r="O2420" s="1"/>
      <c r="P2420" s="1"/>
      <c r="Q2420" s="1"/>
      <c r="R2420" s="1"/>
      <c r="S2420" s="1"/>
      <c r="T2420" s="1"/>
      <c r="U2420" s="1"/>
      <c r="V2420" s="1"/>
      <c r="W2420" s="1"/>
      <c r="X2420" s="1" t="s">
        <v>9286</v>
      </c>
      <c r="Y2420" s="1" t="s">
        <v>9287</v>
      </c>
    </row>
    <row r="2421">
      <c r="A2421" s="1">
        <v>149477.0</v>
      </c>
      <c r="B2421" s="1" t="s">
        <v>9288</v>
      </c>
      <c r="C2421" s="1" t="s">
        <v>2902</v>
      </c>
      <c r="D2421" s="1" t="s">
        <v>2903</v>
      </c>
      <c r="E2421" s="1" t="s">
        <v>9122</v>
      </c>
      <c r="F2421" s="2" t="str">
        <f t="shared" ref="F2421:G2421" si="152">""</f>
        <v/>
      </c>
      <c r="G2421" s="2" t="str">
        <f t="shared" si="152"/>
        <v/>
      </c>
      <c r="H2421" s="1" t="s">
        <v>9285</v>
      </c>
      <c r="I2421" s="1" t="s">
        <v>36</v>
      </c>
      <c r="J2421" s="1">
        <v>192.0</v>
      </c>
      <c r="K2421" s="1">
        <v>2001.0</v>
      </c>
      <c r="L2421" s="1">
        <v>1952.0</v>
      </c>
      <c r="M2421" s="1"/>
      <c r="N2421" s="1"/>
      <c r="O2421" s="1"/>
      <c r="P2421" s="1"/>
      <c r="Q2421" s="1"/>
      <c r="R2421" s="1"/>
      <c r="S2421" s="1"/>
      <c r="T2421" s="1"/>
      <c r="U2421" s="1"/>
      <c r="V2421" s="1"/>
      <c r="W2421" s="1"/>
      <c r="X2421" s="1" t="s">
        <v>8451</v>
      </c>
      <c r="Y2421" s="1" t="s">
        <v>9289</v>
      </c>
    </row>
    <row r="2422">
      <c r="A2422" s="1">
        <v>78039.0</v>
      </c>
      <c r="B2422" s="1" t="s">
        <v>9290</v>
      </c>
      <c r="C2422" s="1" t="s">
        <v>2902</v>
      </c>
      <c r="D2422" s="1" t="s">
        <v>2903</v>
      </c>
      <c r="F2422" s="2" t="str">
        <f>"0192750976"</f>
        <v>0192750976</v>
      </c>
      <c r="G2422" s="2" t="str">
        <f>"9780192750976"</f>
        <v>9780192750976</v>
      </c>
      <c r="H2422" s="1" t="s">
        <v>8953</v>
      </c>
      <c r="I2422" s="1" t="s">
        <v>36</v>
      </c>
      <c r="J2422" s="1">
        <v>192.0</v>
      </c>
      <c r="K2422" s="1">
        <v>2000.0</v>
      </c>
      <c r="L2422" s="1">
        <v>1968.0</v>
      </c>
      <c r="M2422" s="1"/>
      <c r="N2422" s="1"/>
      <c r="O2422" s="1"/>
      <c r="P2422" s="1"/>
      <c r="Q2422" s="1"/>
      <c r="R2422" s="1"/>
      <c r="S2422" s="1"/>
      <c r="T2422" s="1"/>
      <c r="U2422" s="1"/>
      <c r="V2422" s="1"/>
      <c r="W2422" s="1"/>
      <c r="X2422" s="1" t="s">
        <v>45</v>
      </c>
      <c r="Y2422" s="1" t="s">
        <v>9291</v>
      </c>
    </row>
    <row r="2423">
      <c r="A2423" s="1">
        <v>244422.0</v>
      </c>
      <c r="B2423" s="1" t="s">
        <v>9292</v>
      </c>
      <c r="C2423" s="1" t="s">
        <v>2902</v>
      </c>
      <c r="D2423" s="1" t="s">
        <v>2903</v>
      </c>
      <c r="F2423" s="2" t="str">
        <f t="shared" ref="F2423:G2423" si="153">""</f>
        <v/>
      </c>
      <c r="G2423" s="2" t="str">
        <f t="shared" si="153"/>
        <v/>
      </c>
      <c r="H2423" s="1" t="s">
        <v>179</v>
      </c>
      <c r="I2423" s="1" t="s">
        <v>36</v>
      </c>
      <c r="J2423" s="1">
        <v>192.0</v>
      </c>
      <c r="K2423" s="1">
        <v>2000.0</v>
      </c>
      <c r="L2423" s="1">
        <v>1964.0</v>
      </c>
      <c r="M2423" s="1"/>
      <c r="N2423" s="1"/>
      <c r="O2423" s="1"/>
      <c r="P2423" s="1"/>
      <c r="Q2423" s="1"/>
      <c r="R2423" s="1"/>
      <c r="S2423" s="1"/>
      <c r="T2423" s="1"/>
      <c r="U2423" s="1"/>
      <c r="V2423" s="1"/>
      <c r="W2423" s="1"/>
      <c r="X2423" s="1" t="s">
        <v>8451</v>
      </c>
      <c r="Y2423" s="1" t="s">
        <v>9293</v>
      </c>
    </row>
    <row r="2424">
      <c r="A2424" s="1">
        <v>762101.0</v>
      </c>
      <c r="B2424" s="1" t="s">
        <v>9294</v>
      </c>
      <c r="C2424" s="1" t="s">
        <v>2902</v>
      </c>
      <c r="D2424" s="1" t="s">
        <v>2903</v>
      </c>
      <c r="E2424" s="1" t="s">
        <v>8948</v>
      </c>
      <c r="F2424" s="2" t="str">
        <f t="shared" ref="F2424:G2424" si="154">""</f>
        <v/>
      </c>
      <c r="G2424" s="2" t="str">
        <f t="shared" si="154"/>
        <v/>
      </c>
      <c r="H2424" s="1" t="s">
        <v>9285</v>
      </c>
      <c r="I2424" s="1" t="s">
        <v>36</v>
      </c>
      <c r="J2424" s="1">
        <v>192.0</v>
      </c>
      <c r="K2424" s="1">
        <v>2006.0</v>
      </c>
      <c r="L2424" s="1">
        <v>1982.0</v>
      </c>
      <c r="M2424" s="1"/>
      <c r="N2424" s="1"/>
      <c r="O2424" s="1"/>
      <c r="P2424" s="1"/>
      <c r="Q2424" s="1"/>
      <c r="R2424" s="1"/>
      <c r="S2424" s="1"/>
      <c r="T2424" s="1"/>
      <c r="U2424" s="1"/>
      <c r="V2424" s="1"/>
      <c r="W2424" s="1"/>
      <c r="X2424" s="1" t="s">
        <v>8451</v>
      </c>
      <c r="Y2424" s="1" t="s">
        <v>9295</v>
      </c>
    </row>
    <row r="2425">
      <c r="A2425" s="1">
        <v>1.2369766E7</v>
      </c>
      <c r="B2425" s="1" t="s">
        <v>9296</v>
      </c>
      <c r="C2425" s="1" t="s">
        <v>849</v>
      </c>
      <c r="D2425" s="1" t="s">
        <v>850</v>
      </c>
      <c r="F2425" s="2" t="str">
        <f>"1423146573"</f>
        <v>1423146573</v>
      </c>
      <c r="G2425" s="2" t="str">
        <f>"9781423146575"</f>
        <v>9781423146575</v>
      </c>
      <c r="H2425" s="1" t="s">
        <v>851</v>
      </c>
      <c r="I2425" s="1" t="s">
        <v>31</v>
      </c>
      <c r="J2425" s="1">
        <v>192.0</v>
      </c>
      <c r="K2425" s="1">
        <v>2011.0</v>
      </c>
      <c r="L2425" s="1">
        <v>2001.0</v>
      </c>
      <c r="M2425" s="1"/>
      <c r="N2425" s="1"/>
      <c r="O2425" s="1"/>
      <c r="P2425" s="1"/>
      <c r="Q2425" s="1"/>
      <c r="R2425" s="1"/>
      <c r="S2425" s="1"/>
      <c r="T2425" s="1"/>
      <c r="U2425" s="1"/>
      <c r="V2425" s="1"/>
      <c r="W2425" s="1"/>
      <c r="X2425" s="1" t="s">
        <v>74</v>
      </c>
      <c r="Y2425" s="1" t="s">
        <v>9297</v>
      </c>
    </row>
    <row r="2426">
      <c r="A2426" s="1">
        <v>1.8635095E7</v>
      </c>
      <c r="B2426" s="1" t="s">
        <v>9298</v>
      </c>
      <c r="C2426" s="1" t="s">
        <v>5516</v>
      </c>
      <c r="D2426" s="1" t="s">
        <v>9299</v>
      </c>
      <c r="F2426" s="2" t="str">
        <f>"0062287079"</f>
        <v>0062287079</v>
      </c>
      <c r="G2426" s="2" t="str">
        <f>"9780062287076"</f>
        <v>9780062287076</v>
      </c>
      <c r="H2426" s="1" t="s">
        <v>290</v>
      </c>
      <c r="I2426" s="1" t="s">
        <v>31</v>
      </c>
      <c r="J2426" s="1">
        <v>192.0</v>
      </c>
      <c r="K2426" s="1">
        <v>2014.0</v>
      </c>
      <c r="L2426" s="1">
        <v>2014.0</v>
      </c>
      <c r="M2426" s="1"/>
      <c r="N2426" s="1"/>
      <c r="O2426" s="1"/>
      <c r="P2426" s="1"/>
      <c r="Q2426" s="1"/>
      <c r="R2426" s="1"/>
      <c r="S2426" s="1"/>
      <c r="T2426" s="1"/>
      <c r="U2426" s="1"/>
      <c r="V2426" s="1"/>
      <c r="W2426" s="1"/>
      <c r="X2426" s="1" t="s">
        <v>74</v>
      </c>
      <c r="Y2426" s="1" t="s">
        <v>9300</v>
      </c>
    </row>
    <row r="2427">
      <c r="A2427" s="1">
        <v>1.8948509E7</v>
      </c>
      <c r="B2427" s="1" t="s">
        <v>9301</v>
      </c>
      <c r="C2427" s="1" t="s">
        <v>9302</v>
      </c>
      <c r="D2427" s="1" t="s">
        <v>9303</v>
      </c>
      <c r="F2427" s="2" t="str">
        <f>"0316284866"</f>
        <v>0316284866</v>
      </c>
      <c r="G2427" s="2" t="str">
        <f>"9780316284868"</f>
        <v>9780316284868</v>
      </c>
      <c r="H2427" s="1" t="s">
        <v>112</v>
      </c>
      <c r="I2427" s="1" t="s">
        <v>31</v>
      </c>
      <c r="J2427" s="1">
        <v>192.0</v>
      </c>
      <c r="K2427" s="1">
        <v>2014.0</v>
      </c>
      <c r="L2427" s="1">
        <v>2014.0</v>
      </c>
      <c r="M2427" s="1"/>
      <c r="N2427" s="1"/>
      <c r="O2427" s="1"/>
      <c r="P2427" s="1"/>
      <c r="Q2427" s="1"/>
      <c r="R2427" s="1"/>
      <c r="S2427" s="1"/>
      <c r="T2427" s="1"/>
      <c r="U2427" s="1"/>
      <c r="V2427" s="1"/>
      <c r="W2427" s="1"/>
      <c r="X2427" s="1" t="s">
        <v>9304</v>
      </c>
      <c r="Y2427" s="1" t="s">
        <v>9305</v>
      </c>
    </row>
    <row r="2428">
      <c r="A2428" s="1">
        <v>4.1473811E7</v>
      </c>
      <c r="B2428" s="1" t="s">
        <v>9306</v>
      </c>
      <c r="C2428" s="1" t="s">
        <v>9307</v>
      </c>
      <c r="D2428" s="1" t="s">
        <v>9308</v>
      </c>
      <c r="F2428" s="2" t="str">
        <f>"1338174517"</f>
        <v>1338174517</v>
      </c>
      <c r="G2428" s="2" t="str">
        <f>"9781338174519"</f>
        <v>9781338174519</v>
      </c>
      <c r="H2428" s="1" t="s">
        <v>640</v>
      </c>
      <c r="I2428" s="1" t="s">
        <v>36</v>
      </c>
      <c r="J2428" s="1">
        <v>192.0</v>
      </c>
      <c r="K2428" s="1">
        <v>2019.0</v>
      </c>
      <c r="L2428" s="1">
        <v>2019.0</v>
      </c>
      <c r="M2428" s="1"/>
      <c r="N2428" s="1"/>
      <c r="O2428" s="1"/>
      <c r="P2428" s="1"/>
      <c r="Q2428" s="1"/>
      <c r="R2428" s="1"/>
      <c r="S2428" s="1"/>
      <c r="T2428" s="1"/>
      <c r="U2428" s="1"/>
      <c r="V2428" s="1"/>
      <c r="W2428" s="1"/>
      <c r="X2428" s="1" t="s">
        <v>161</v>
      </c>
      <c r="Y2428" s="1" t="s">
        <v>9309</v>
      </c>
    </row>
    <row r="2429">
      <c r="A2429" s="1">
        <v>5.669221E7</v>
      </c>
      <c r="B2429" s="1" t="s">
        <v>9310</v>
      </c>
      <c r="C2429" s="1" t="s">
        <v>9311</v>
      </c>
      <c r="D2429" s="1" t="s">
        <v>9312</v>
      </c>
      <c r="F2429" s="2" t="str">
        <f>"1338739646"</f>
        <v>1338739646</v>
      </c>
      <c r="G2429" s="2" t="str">
        <f>"9781338739640"</f>
        <v>9781338739640</v>
      </c>
      <c r="H2429" s="1" t="s">
        <v>857</v>
      </c>
      <c r="I2429" s="1" t="s">
        <v>238</v>
      </c>
      <c r="J2429" s="1">
        <v>192.0</v>
      </c>
      <c r="K2429" s="1">
        <v>2022.0</v>
      </c>
      <c r="L2429" s="1">
        <v>2022.0</v>
      </c>
      <c r="M2429" s="1"/>
      <c r="N2429" s="1"/>
      <c r="O2429" s="1"/>
      <c r="P2429" s="1"/>
      <c r="Q2429" s="1"/>
      <c r="R2429" s="1"/>
      <c r="S2429" s="1"/>
      <c r="T2429" s="1"/>
      <c r="U2429" s="1"/>
      <c r="V2429" s="1"/>
      <c r="W2429" s="1"/>
      <c r="X2429" s="1" t="s">
        <v>45</v>
      </c>
      <c r="Y2429" s="1" t="s">
        <v>9313</v>
      </c>
    </row>
    <row r="2430">
      <c r="A2430" s="1">
        <v>2.9363044E7</v>
      </c>
      <c r="B2430" s="1" t="s">
        <v>9314</v>
      </c>
      <c r="C2430" s="1" t="s">
        <v>9315</v>
      </c>
      <c r="D2430" s="1" t="s">
        <v>9316</v>
      </c>
      <c r="E2430" s="1" t="s">
        <v>9315</v>
      </c>
      <c r="F2430" s="2" t="str">
        <f>"1784456942"</f>
        <v>1784456942</v>
      </c>
      <c r="G2430" s="2" t="str">
        <f>"9781784456948"</f>
        <v>9781784456948</v>
      </c>
      <c r="H2430" s="1" t="s">
        <v>9317</v>
      </c>
      <c r="I2430" s="1" t="s">
        <v>36</v>
      </c>
      <c r="J2430" s="1">
        <v>192.0</v>
      </c>
      <c r="K2430" s="1">
        <v>2016.0</v>
      </c>
      <c r="M2430" s="1"/>
      <c r="N2430" s="1"/>
      <c r="O2430" s="1"/>
      <c r="P2430" s="1"/>
      <c r="Q2430" s="1"/>
      <c r="R2430" s="1"/>
      <c r="S2430" s="1"/>
      <c r="T2430" s="1"/>
      <c r="U2430" s="1"/>
      <c r="V2430" s="1"/>
      <c r="W2430" s="1"/>
      <c r="X2430" s="1" t="s">
        <v>380</v>
      </c>
      <c r="Y2430" s="1" t="s">
        <v>9318</v>
      </c>
    </row>
    <row r="2431">
      <c r="A2431" s="1">
        <v>4.4575154E7</v>
      </c>
      <c r="B2431" s="1" t="s">
        <v>9319</v>
      </c>
      <c r="C2431" s="1" t="s">
        <v>9103</v>
      </c>
      <c r="D2431" s="1" t="s">
        <v>9104</v>
      </c>
      <c r="F2431" s="2" t="str">
        <f>"1338359029"</f>
        <v>1338359029</v>
      </c>
      <c r="G2431" s="2" t="str">
        <f>"9781338359022"</f>
        <v>9781338359022</v>
      </c>
      <c r="H2431" s="1" t="s">
        <v>2944</v>
      </c>
      <c r="I2431" s="1" t="s">
        <v>36</v>
      </c>
      <c r="J2431" s="1">
        <v>192.0</v>
      </c>
      <c r="K2431" s="1">
        <v>2020.0</v>
      </c>
      <c r="L2431" s="1">
        <v>2020.0</v>
      </c>
    </row>
    <row r="2432">
      <c r="A2432" s="1">
        <v>3.7570594E7</v>
      </c>
      <c r="B2432" s="1" t="s">
        <v>9320</v>
      </c>
      <c r="C2432" s="1" t="s">
        <v>9321</v>
      </c>
      <c r="D2432" s="1" t="s">
        <v>9322</v>
      </c>
      <c r="F2432" s="2" t="str">
        <f>"1328911128"</f>
        <v>1328911128</v>
      </c>
      <c r="G2432" s="2" t="str">
        <f>"9781328911124"</f>
        <v>9781328911124</v>
      </c>
      <c r="H2432" s="1" t="s">
        <v>1710</v>
      </c>
      <c r="I2432" s="1" t="s">
        <v>36</v>
      </c>
      <c r="J2432" s="1">
        <v>192.0</v>
      </c>
      <c r="K2432" s="1">
        <v>2019.0</v>
      </c>
      <c r="L2432" s="1">
        <v>2019.0</v>
      </c>
      <c r="M2432" s="1"/>
      <c r="N2432" s="1"/>
      <c r="O2432" s="1"/>
      <c r="P2432" s="1"/>
      <c r="Q2432" s="1"/>
      <c r="R2432" s="1"/>
      <c r="S2432" s="1"/>
      <c r="T2432" s="1"/>
      <c r="U2432" s="1"/>
      <c r="V2432" s="1"/>
      <c r="W2432" s="1"/>
      <c r="X2432" s="1" t="s">
        <v>161</v>
      </c>
      <c r="Y2432" s="1" t="s">
        <v>9323</v>
      </c>
    </row>
    <row r="2433">
      <c r="A2433" s="1">
        <v>5.230172E7</v>
      </c>
      <c r="B2433" s="1" t="s">
        <v>9324</v>
      </c>
      <c r="C2433" s="1" t="s">
        <v>9325</v>
      </c>
      <c r="D2433" s="1" t="s">
        <v>9326</v>
      </c>
      <c r="F2433" s="2" t="str">
        <f>"9352758501"</f>
        <v>9352758501</v>
      </c>
      <c r="G2433" s="2" t="str">
        <f>"9789352758500"</f>
        <v>9789352758500</v>
      </c>
      <c r="H2433" s="1" t="s">
        <v>50</v>
      </c>
      <c r="I2433" s="1" t="s">
        <v>9327</v>
      </c>
      <c r="J2433" s="1">
        <v>192.0</v>
      </c>
      <c r="K2433" s="1">
        <v>2019.0</v>
      </c>
      <c r="M2433" s="1"/>
      <c r="N2433" s="1"/>
      <c r="O2433" s="1"/>
      <c r="P2433" s="1"/>
      <c r="Q2433" s="1"/>
      <c r="R2433" s="1"/>
      <c r="S2433" s="1"/>
      <c r="T2433" s="1"/>
      <c r="U2433" s="1"/>
      <c r="V2433" s="1"/>
      <c r="W2433" s="1"/>
      <c r="X2433" s="1" t="s">
        <v>436</v>
      </c>
      <c r="Y2433" s="1" t="s">
        <v>9328</v>
      </c>
    </row>
    <row r="2434">
      <c r="A2434" s="1">
        <v>5.9806028E7</v>
      </c>
      <c r="B2434" s="1" t="s">
        <v>9329</v>
      </c>
      <c r="C2434" s="1" t="s">
        <v>433</v>
      </c>
      <c r="D2434" s="1" t="s">
        <v>434</v>
      </c>
      <c r="F2434" s="2" t="str">
        <f>"1338628259"</f>
        <v>1338628259</v>
      </c>
      <c r="G2434" s="2" t="str">
        <f>"9781338628258"</f>
        <v>9781338628258</v>
      </c>
      <c r="H2434" s="1" t="s">
        <v>857</v>
      </c>
      <c r="I2434" s="1" t="s">
        <v>31</v>
      </c>
      <c r="J2434" s="1">
        <v>192.0</v>
      </c>
      <c r="K2434" s="1">
        <v>2022.0</v>
      </c>
      <c r="L2434" s="1">
        <v>2022.0</v>
      </c>
      <c r="M2434" s="1"/>
      <c r="N2434" s="1"/>
      <c r="O2434" s="1"/>
      <c r="P2434" s="1"/>
      <c r="Q2434" s="1"/>
      <c r="R2434" s="1"/>
      <c r="S2434" s="1"/>
      <c r="T2434" s="1"/>
      <c r="U2434" s="1"/>
      <c r="V2434" s="1"/>
      <c r="W2434" s="1"/>
      <c r="X2434" s="1" t="s">
        <v>291</v>
      </c>
      <c r="Y2434" s="1" t="s">
        <v>9330</v>
      </c>
    </row>
    <row r="2435">
      <c r="A2435" s="1">
        <v>3.7825437E7</v>
      </c>
      <c r="B2435" s="1" t="s">
        <v>9331</v>
      </c>
      <c r="C2435" s="1" t="s">
        <v>433</v>
      </c>
      <c r="D2435" s="1" t="s">
        <v>434</v>
      </c>
      <c r="E2435" s="1" t="s">
        <v>435</v>
      </c>
      <c r="F2435" s="2" t="str">
        <f>"1338221477"</f>
        <v>1338221477</v>
      </c>
      <c r="G2435" s="2" t="str">
        <f>"9781338221473"</f>
        <v>9781338221473</v>
      </c>
      <c r="H2435" s="1" t="s">
        <v>857</v>
      </c>
      <c r="I2435" s="1" t="s">
        <v>31</v>
      </c>
      <c r="J2435" s="1">
        <v>192.0</v>
      </c>
      <c r="K2435" s="1">
        <v>2018.0</v>
      </c>
      <c r="L2435" s="1">
        <v>2018.0</v>
      </c>
      <c r="M2435" s="1"/>
      <c r="N2435" s="1"/>
      <c r="O2435" s="1"/>
      <c r="P2435" s="1"/>
      <c r="Q2435" s="1"/>
      <c r="R2435" s="1"/>
      <c r="S2435" s="1"/>
      <c r="T2435" s="1"/>
      <c r="U2435" s="1"/>
      <c r="V2435" s="1"/>
      <c r="W2435" s="1"/>
      <c r="X2435" s="1" t="s">
        <v>436</v>
      </c>
      <c r="Y2435" s="1" t="s">
        <v>9332</v>
      </c>
    </row>
    <row r="2436">
      <c r="A2436" s="1">
        <v>5.3153751E7</v>
      </c>
      <c r="B2436" s="1" t="s">
        <v>9333</v>
      </c>
      <c r="C2436" s="1" t="s">
        <v>433</v>
      </c>
      <c r="D2436" s="1" t="s">
        <v>434</v>
      </c>
      <c r="E2436" s="1" t="s">
        <v>435</v>
      </c>
      <c r="F2436" s="2" t="str">
        <f>"1338221558"</f>
        <v>1338221558</v>
      </c>
      <c r="G2436" s="2" t="str">
        <f>"9781338221558"</f>
        <v>9781338221558</v>
      </c>
      <c r="H2436" s="1" t="s">
        <v>817</v>
      </c>
      <c r="I2436" s="1" t="s">
        <v>31</v>
      </c>
      <c r="J2436" s="1">
        <v>192.0</v>
      </c>
      <c r="K2436" s="1">
        <v>2020.0</v>
      </c>
      <c r="L2436" s="1">
        <v>2020.0</v>
      </c>
      <c r="M2436" s="1"/>
      <c r="N2436" s="1"/>
      <c r="O2436" s="1"/>
      <c r="P2436" s="1"/>
      <c r="Q2436" s="1"/>
      <c r="R2436" s="1"/>
      <c r="S2436" s="1"/>
      <c r="T2436" s="1"/>
      <c r="U2436" s="1"/>
      <c r="V2436" s="1"/>
      <c r="W2436" s="1"/>
      <c r="X2436" s="1" t="s">
        <v>436</v>
      </c>
      <c r="Y2436" s="1" t="s">
        <v>9334</v>
      </c>
    </row>
    <row r="2437">
      <c r="A2437" s="1">
        <v>1.5760539E7</v>
      </c>
      <c r="B2437" s="1" t="s">
        <v>9335</v>
      </c>
      <c r="C2437" s="1" t="s">
        <v>905</v>
      </c>
      <c r="D2437" s="1" t="s">
        <v>906</v>
      </c>
      <c r="E2437" s="1" t="s">
        <v>1753</v>
      </c>
      <c r="F2437" s="2" t="str">
        <f>"0062119788"</f>
        <v>0062119788</v>
      </c>
      <c r="G2437" s="2" t="str">
        <f>"9780062119780"</f>
        <v>9780062119780</v>
      </c>
      <c r="H2437" s="1" t="s">
        <v>290</v>
      </c>
      <c r="I2437" s="1" t="s">
        <v>31</v>
      </c>
      <c r="J2437" s="1">
        <v>192.0</v>
      </c>
      <c r="K2437" s="1">
        <v>2013.0</v>
      </c>
      <c r="L2437" s="1">
        <v>2013.0</v>
      </c>
      <c r="M2437" s="1"/>
      <c r="N2437" s="1"/>
      <c r="O2437" s="1"/>
      <c r="P2437" s="1"/>
      <c r="Q2437" s="1"/>
      <c r="R2437" s="1"/>
      <c r="S2437" s="1"/>
      <c r="T2437" s="1"/>
      <c r="U2437" s="1"/>
      <c r="V2437" s="1"/>
      <c r="W2437" s="1"/>
      <c r="X2437" s="1" t="s">
        <v>370</v>
      </c>
      <c r="Y2437" s="1" t="s">
        <v>9336</v>
      </c>
    </row>
    <row r="2438">
      <c r="A2438" s="1">
        <v>4.9357973E7</v>
      </c>
      <c r="B2438" s="1" t="s">
        <v>9337</v>
      </c>
      <c r="C2438" s="1" t="s">
        <v>1114</v>
      </c>
      <c r="D2438" s="1" t="s">
        <v>1115</v>
      </c>
      <c r="F2438" s="2" t="str">
        <f>"1465491449"</f>
        <v>1465491449</v>
      </c>
      <c r="G2438" s="2" t="str">
        <f>"9781465491442"</f>
        <v>9781465491442</v>
      </c>
      <c r="H2438" s="1" t="s">
        <v>1089</v>
      </c>
      <c r="I2438" s="1" t="s">
        <v>31</v>
      </c>
      <c r="J2438" s="1">
        <v>192.0</v>
      </c>
      <c r="K2438" s="1">
        <v>2020.0</v>
      </c>
      <c r="M2438" s="1"/>
      <c r="N2438" s="1"/>
      <c r="O2438" s="1"/>
      <c r="P2438" s="1"/>
      <c r="Q2438" s="1"/>
      <c r="R2438" s="1"/>
      <c r="S2438" s="1"/>
      <c r="T2438" s="1"/>
      <c r="U2438" s="1"/>
      <c r="V2438" s="1"/>
      <c r="W2438" s="1"/>
      <c r="X2438" s="1" t="s">
        <v>1024</v>
      </c>
      <c r="Y2438" s="1" t="s">
        <v>9338</v>
      </c>
    </row>
    <row r="2439">
      <c r="A2439" s="1">
        <v>3.5276282E7</v>
      </c>
      <c r="B2439" s="1" t="s">
        <v>9339</v>
      </c>
      <c r="C2439" s="1" t="s">
        <v>9340</v>
      </c>
      <c r="D2439" s="1" t="s">
        <v>9341</v>
      </c>
      <c r="F2439" s="2" t="str">
        <f>"1609929055"</f>
        <v>1609929055</v>
      </c>
      <c r="G2439" s="2" t="str">
        <f>"9781609929053"</f>
        <v>9781609929053</v>
      </c>
      <c r="H2439" s="1" t="s">
        <v>9342</v>
      </c>
      <c r="I2439" s="1" t="s">
        <v>36</v>
      </c>
      <c r="J2439" s="1">
        <v>192.0</v>
      </c>
      <c r="K2439" s="1">
        <v>2015.0</v>
      </c>
      <c r="M2439" s="1"/>
      <c r="N2439" s="1"/>
      <c r="O2439" s="1"/>
      <c r="P2439" s="1"/>
      <c r="Q2439" s="1"/>
      <c r="R2439" s="1"/>
      <c r="S2439" s="1"/>
      <c r="T2439" s="1"/>
      <c r="U2439" s="1"/>
      <c r="V2439" s="1"/>
      <c r="W2439" s="1"/>
      <c r="X2439" s="1" t="s">
        <v>245</v>
      </c>
      <c r="Y2439" s="1" t="s">
        <v>9343</v>
      </c>
    </row>
    <row r="2440">
      <c r="A2440" s="1">
        <v>243229.0</v>
      </c>
      <c r="B2440" s="1" t="s">
        <v>9344</v>
      </c>
      <c r="C2440" s="1" t="s">
        <v>9345</v>
      </c>
      <c r="D2440" s="1" t="s">
        <v>9346</v>
      </c>
      <c r="F2440" s="2" t="str">
        <f>"0064408191"</f>
        <v>0064408191</v>
      </c>
      <c r="G2440" s="2" t="str">
        <f>"9780064408196"</f>
        <v>9780064408196</v>
      </c>
      <c r="H2440" s="1" t="s">
        <v>290</v>
      </c>
      <c r="I2440" s="1" t="s">
        <v>36</v>
      </c>
      <c r="J2440" s="1">
        <v>192.0</v>
      </c>
      <c r="K2440" s="1">
        <v>2001.0</v>
      </c>
      <c r="L2440" s="1">
        <v>2000.0</v>
      </c>
      <c r="M2440" s="1"/>
      <c r="N2440" s="1"/>
      <c r="O2440" s="1"/>
      <c r="P2440" s="1"/>
      <c r="Q2440" s="1"/>
      <c r="R2440" s="1"/>
      <c r="S2440" s="1"/>
      <c r="T2440" s="1"/>
      <c r="U2440" s="1"/>
      <c r="V2440" s="1"/>
      <c r="W2440" s="1"/>
      <c r="X2440" s="1" t="s">
        <v>727</v>
      </c>
      <c r="Y2440" s="1" t="s">
        <v>9347</v>
      </c>
    </row>
    <row r="2441">
      <c r="A2441" s="1">
        <v>3.0254949E7</v>
      </c>
      <c r="B2441" s="1" t="s">
        <v>9348</v>
      </c>
      <c r="C2441" s="1" t="s">
        <v>9349</v>
      </c>
      <c r="D2441" s="1" t="s">
        <v>9350</v>
      </c>
      <c r="E2441" s="1" t="s">
        <v>9351</v>
      </c>
      <c r="F2441" s="2" t="str">
        <f>"1338058045"</f>
        <v>1338058045</v>
      </c>
      <c r="G2441" s="2" t="str">
        <f>"9781338058048"</f>
        <v>9781338058048</v>
      </c>
      <c r="H2441" s="1" t="s">
        <v>817</v>
      </c>
      <c r="I2441" s="1" t="s">
        <v>31</v>
      </c>
      <c r="J2441" s="1">
        <v>192.0</v>
      </c>
      <c r="K2441" s="1">
        <v>2016.0</v>
      </c>
      <c r="M2441" s="1"/>
      <c r="N2441" s="1"/>
      <c r="O2441" s="1"/>
      <c r="P2441" s="1"/>
      <c r="Q2441" s="1"/>
      <c r="R2441" s="1"/>
      <c r="S2441" s="1"/>
      <c r="T2441" s="1"/>
      <c r="U2441" s="1"/>
      <c r="V2441" s="1"/>
      <c r="W2441" s="1"/>
      <c r="X2441" s="1" t="s">
        <v>74</v>
      </c>
      <c r="Y2441" s="1" t="s">
        <v>9352</v>
      </c>
    </row>
    <row r="2442">
      <c r="A2442" s="1">
        <v>3363727.0</v>
      </c>
      <c r="B2442" s="1" t="s">
        <v>9353</v>
      </c>
      <c r="C2442" s="1" t="s">
        <v>9354</v>
      </c>
      <c r="D2442" s="1" t="s">
        <v>9355</v>
      </c>
      <c r="E2442" s="1" t="s">
        <v>9356</v>
      </c>
      <c r="F2442" s="2" t="str">
        <f>"0967802008"</f>
        <v>0967802008</v>
      </c>
      <c r="G2442" s="2" t="str">
        <f>"9780967802008"</f>
        <v>9780967802008</v>
      </c>
      <c r="H2442" s="1" t="s">
        <v>9357</v>
      </c>
      <c r="I2442" s="1" t="s">
        <v>36</v>
      </c>
      <c r="J2442" s="1">
        <v>192.0</v>
      </c>
      <c r="K2442" s="1">
        <v>2010.0</v>
      </c>
      <c r="L2442" s="1">
        <v>2010.0</v>
      </c>
      <c r="M2442" s="1"/>
      <c r="N2442" s="1"/>
      <c r="O2442" s="1"/>
      <c r="P2442" s="1"/>
      <c r="Q2442" s="1"/>
      <c r="R2442" s="1"/>
      <c r="S2442" s="1"/>
      <c r="T2442" s="1"/>
      <c r="U2442" s="1"/>
      <c r="V2442" s="1"/>
      <c r="W2442" s="1"/>
      <c r="X2442" s="1" t="s">
        <v>116</v>
      </c>
      <c r="Y2442" s="1" t="s">
        <v>9358</v>
      </c>
    </row>
    <row r="2443">
      <c r="A2443" s="1">
        <v>4.1044096E7</v>
      </c>
      <c r="B2443" s="1" t="s">
        <v>9359</v>
      </c>
      <c r="C2443" s="1" t="s">
        <v>9360</v>
      </c>
      <c r="D2443" s="1" t="s">
        <v>9361</v>
      </c>
      <c r="F2443" s="2" t="str">
        <f>"0547488890"</f>
        <v>0547488890</v>
      </c>
      <c r="G2443" s="2" t="str">
        <f>"9780547488899"</f>
        <v>9780547488899</v>
      </c>
      <c r="H2443" s="1" t="s">
        <v>389</v>
      </c>
      <c r="I2443" s="1" t="s">
        <v>238</v>
      </c>
      <c r="J2443" s="1">
        <v>194.0</v>
      </c>
      <c r="K2443" s="1">
        <v>2010.0</v>
      </c>
      <c r="L2443" s="1">
        <v>1960.0</v>
      </c>
      <c r="M2443" s="1"/>
      <c r="N2443" s="1"/>
      <c r="O2443" s="1"/>
      <c r="P2443" s="1"/>
      <c r="Q2443" s="1"/>
      <c r="R2443" s="1"/>
      <c r="S2443" s="1"/>
      <c r="T2443" s="1"/>
      <c r="U2443" s="1"/>
      <c r="V2443" s="1"/>
      <c r="W2443" s="1"/>
      <c r="X2443" s="1" t="s">
        <v>45</v>
      </c>
      <c r="Y2443" s="1" t="s">
        <v>9362</v>
      </c>
    </row>
    <row r="2444">
      <c r="A2444" s="1">
        <v>2.4998996E7</v>
      </c>
      <c r="B2444" s="1" t="s">
        <v>9363</v>
      </c>
      <c r="C2444" s="1" t="s">
        <v>433</v>
      </c>
      <c r="D2444" s="1" t="s">
        <v>434</v>
      </c>
      <c r="E2444" s="1" t="s">
        <v>435</v>
      </c>
      <c r="F2444" s="2" t="str">
        <f>"0545881714"</f>
        <v>0545881714</v>
      </c>
      <c r="G2444" s="2" t="str">
        <f>"9780545881715"</f>
        <v>9780545881715</v>
      </c>
      <c r="H2444" s="1" t="s">
        <v>9364</v>
      </c>
      <c r="I2444" s="1" t="s">
        <v>31</v>
      </c>
      <c r="J2444" s="1">
        <v>196.0</v>
      </c>
      <c r="K2444" s="1">
        <v>2015.0</v>
      </c>
      <c r="L2444" s="1">
        <v>2015.0</v>
      </c>
      <c r="M2444" s="1"/>
      <c r="N2444" s="1"/>
      <c r="O2444" s="1"/>
      <c r="P2444" s="1"/>
      <c r="Q2444" s="1"/>
      <c r="R2444" s="1"/>
      <c r="S2444" s="1"/>
      <c r="T2444" s="1"/>
      <c r="U2444" s="1"/>
      <c r="V2444" s="1"/>
      <c r="W2444" s="1"/>
      <c r="X2444" s="1" t="s">
        <v>436</v>
      </c>
      <c r="Y2444" s="1" t="s">
        <v>9365</v>
      </c>
    </row>
    <row r="2445">
      <c r="A2445" s="1">
        <v>3.0407983E7</v>
      </c>
      <c r="B2445" s="1" t="s">
        <v>9366</v>
      </c>
      <c r="C2445" s="1" t="s">
        <v>9367</v>
      </c>
      <c r="D2445" s="1" t="s">
        <v>9368</v>
      </c>
      <c r="F2445" s="2" t="str">
        <f>"0385386206"</f>
        <v>0385386206</v>
      </c>
      <c r="G2445" s="2" t="str">
        <f>"9780385386203"</f>
        <v>9780385386203</v>
      </c>
      <c r="H2445" s="1" t="s">
        <v>7922</v>
      </c>
      <c r="I2445" s="1" t="s">
        <v>31</v>
      </c>
      <c r="J2445" s="1">
        <v>197.0</v>
      </c>
      <c r="K2445" s="1">
        <v>2017.0</v>
      </c>
      <c r="L2445" s="1">
        <v>2017.0</v>
      </c>
      <c r="M2445" s="1"/>
      <c r="N2445" s="1"/>
      <c r="O2445" s="1"/>
      <c r="P2445" s="1"/>
      <c r="Q2445" s="1"/>
      <c r="R2445" s="1"/>
      <c r="S2445" s="1"/>
      <c r="T2445" s="1"/>
      <c r="U2445" s="1"/>
      <c r="V2445" s="1"/>
      <c r="W2445" s="1"/>
      <c r="X2445" s="1" t="s">
        <v>2100</v>
      </c>
      <c r="Y2445" s="1" t="s">
        <v>9369</v>
      </c>
    </row>
    <row r="2446">
      <c r="A2446" s="1">
        <v>141936.0</v>
      </c>
      <c r="B2446" s="1" t="s">
        <v>9370</v>
      </c>
      <c r="C2446" s="1" t="s">
        <v>1838</v>
      </c>
      <c r="D2446" s="1" t="s">
        <v>1848</v>
      </c>
      <c r="E2446" s="1" t="s">
        <v>9371</v>
      </c>
      <c r="F2446" s="2" t="str">
        <f>"0618538224"</f>
        <v>0618538224</v>
      </c>
      <c r="G2446" s="2" t="str">
        <f>"9780618538225"</f>
        <v>9780618538225</v>
      </c>
      <c r="H2446" s="1" t="s">
        <v>215</v>
      </c>
      <c r="I2446" s="1" t="s">
        <v>31</v>
      </c>
      <c r="J2446" s="1">
        <v>198.0</v>
      </c>
      <c r="K2446" s="1">
        <v>2004.0</v>
      </c>
      <c r="L2446" s="1">
        <v>2004.0</v>
      </c>
      <c r="M2446" s="1"/>
      <c r="N2446" s="1"/>
      <c r="O2446" s="1"/>
      <c r="P2446" s="1"/>
      <c r="Q2446" s="1"/>
      <c r="R2446" s="1"/>
      <c r="S2446" s="1"/>
      <c r="T2446" s="1"/>
      <c r="U2446" s="1"/>
      <c r="V2446" s="1"/>
      <c r="W2446" s="1"/>
      <c r="X2446" s="1" t="s">
        <v>1711</v>
      </c>
      <c r="Y2446" s="1" t="s">
        <v>9372</v>
      </c>
    </row>
    <row r="2447">
      <c r="A2447" s="1">
        <v>4.5012586E7</v>
      </c>
      <c r="B2447" s="1" t="s">
        <v>9373</v>
      </c>
      <c r="C2447" s="1" t="s">
        <v>9374</v>
      </c>
      <c r="D2447" s="1" t="s">
        <v>9375</v>
      </c>
      <c r="F2447" s="2" t="str">
        <f>"1641523697"</f>
        <v>1641523697</v>
      </c>
      <c r="G2447" s="2" t="str">
        <f>"9781641523691"</f>
        <v>9781641523691</v>
      </c>
      <c r="H2447" s="1" t="s">
        <v>7538</v>
      </c>
      <c r="I2447" s="1" t="s">
        <v>36</v>
      </c>
      <c r="J2447" s="1">
        <v>198.0</v>
      </c>
      <c r="K2447" s="1">
        <v>2019.0</v>
      </c>
      <c r="M2447" s="1"/>
      <c r="N2447" s="1"/>
      <c r="O2447" s="1"/>
      <c r="P2447" s="1"/>
      <c r="Q2447" s="1"/>
      <c r="R2447" s="1"/>
      <c r="S2447" s="1"/>
      <c r="T2447" s="1"/>
      <c r="U2447" s="1"/>
      <c r="V2447" s="1"/>
      <c r="W2447" s="1"/>
      <c r="X2447" s="1" t="s">
        <v>1024</v>
      </c>
      <c r="Y2447" s="1" t="s">
        <v>9376</v>
      </c>
    </row>
    <row r="2448">
      <c r="A2448" s="1">
        <v>5.58704E7</v>
      </c>
      <c r="B2448" s="1" t="s">
        <v>9377</v>
      </c>
      <c r="C2448" s="1" t="s">
        <v>8459</v>
      </c>
      <c r="D2448" s="1" t="s">
        <v>8460</v>
      </c>
      <c r="F2448" s="2" t="str">
        <f t="shared" ref="F2448:G2448" si="155">""</f>
        <v/>
      </c>
      <c r="G2448" s="2" t="str">
        <f t="shared" si="155"/>
        <v/>
      </c>
      <c r="H2448" s="1" t="s">
        <v>179</v>
      </c>
      <c r="I2448" s="1" t="s">
        <v>36</v>
      </c>
      <c r="J2448" s="1">
        <v>198.0</v>
      </c>
      <c r="K2448" s="1">
        <v>2020.0</v>
      </c>
      <c r="M2448" s="1"/>
      <c r="N2448" s="1"/>
      <c r="O2448" s="1"/>
      <c r="P2448" s="1"/>
      <c r="Q2448" s="1"/>
      <c r="R2448" s="1"/>
      <c r="S2448" s="1"/>
      <c r="T2448" s="1"/>
      <c r="U2448" s="1"/>
      <c r="V2448" s="1"/>
      <c r="W2448" s="1"/>
      <c r="X2448" s="1" t="s">
        <v>96</v>
      </c>
      <c r="Y2448" s="1" t="s">
        <v>9378</v>
      </c>
    </row>
    <row r="2449">
      <c r="A2449" s="1">
        <v>5310515.0</v>
      </c>
      <c r="B2449" s="1" t="s">
        <v>9379</v>
      </c>
      <c r="C2449" s="1" t="s">
        <v>9380</v>
      </c>
      <c r="D2449" s="1" t="s">
        <v>9381</v>
      </c>
      <c r="F2449" s="2" t="str">
        <f>"0385737424"</f>
        <v>0385737424</v>
      </c>
      <c r="G2449" s="2" t="str">
        <f>"9780385737425"</f>
        <v>9780385737425</v>
      </c>
      <c r="H2449" s="1" t="s">
        <v>9382</v>
      </c>
      <c r="I2449" s="1" t="s">
        <v>31</v>
      </c>
      <c r="J2449" s="1">
        <v>199.0</v>
      </c>
      <c r="K2449" s="1">
        <v>2009.0</v>
      </c>
      <c r="L2449" s="1">
        <v>2009.0</v>
      </c>
      <c r="M2449" s="1"/>
      <c r="N2449" s="1"/>
      <c r="O2449" s="1"/>
      <c r="P2449" s="1"/>
      <c r="Q2449" s="1"/>
      <c r="R2449" s="1"/>
      <c r="S2449" s="1"/>
      <c r="T2449" s="1"/>
      <c r="U2449" s="1"/>
      <c r="V2449" s="1"/>
      <c r="W2449" s="1"/>
      <c r="X2449" s="1" t="s">
        <v>45</v>
      </c>
      <c r="Y2449" s="1" t="s">
        <v>9383</v>
      </c>
    </row>
    <row r="2450">
      <c r="A2450" s="1">
        <v>6.0320865E7</v>
      </c>
      <c r="B2450" s="1" t="s">
        <v>9384</v>
      </c>
      <c r="C2450" s="1" t="s">
        <v>9385</v>
      </c>
      <c r="D2450" s="1" t="s">
        <v>9386</v>
      </c>
      <c r="F2450" s="2" t="str">
        <f>"1665901608"</f>
        <v>1665901608</v>
      </c>
      <c r="G2450" s="2" t="str">
        <f>"9781665901604"</f>
        <v>9781665901604</v>
      </c>
      <c r="H2450" s="1" t="s">
        <v>3030</v>
      </c>
      <c r="I2450" s="1" t="s">
        <v>31</v>
      </c>
      <c r="J2450" s="1">
        <v>200.0</v>
      </c>
      <c r="K2450" s="1">
        <v>2022.0</v>
      </c>
      <c r="M2450" s="1"/>
      <c r="N2450" s="1"/>
      <c r="O2450" s="1"/>
      <c r="P2450" s="1"/>
      <c r="Q2450" s="1"/>
      <c r="R2450" s="1"/>
      <c r="S2450" s="1"/>
      <c r="T2450" s="1"/>
      <c r="U2450" s="1"/>
      <c r="V2450" s="1"/>
      <c r="W2450" s="1"/>
      <c r="X2450" s="1" t="s">
        <v>363</v>
      </c>
      <c r="Y2450" s="1" t="s">
        <v>9387</v>
      </c>
    </row>
    <row r="2451">
      <c r="A2451" s="1">
        <v>1.2250571E7</v>
      </c>
      <c r="B2451" s="1" t="s">
        <v>9388</v>
      </c>
      <c r="C2451" s="1" t="s">
        <v>9389</v>
      </c>
      <c r="D2451" s="1" t="s">
        <v>9390</v>
      </c>
      <c r="F2451" s="2" t="str">
        <f>"0756686067"</f>
        <v>0756686067</v>
      </c>
      <c r="G2451" s="2" t="str">
        <f>"9780756686062"</f>
        <v>9780756686062</v>
      </c>
      <c r="H2451" s="1" t="s">
        <v>1116</v>
      </c>
      <c r="I2451" s="1" t="s">
        <v>31</v>
      </c>
      <c r="J2451" s="1">
        <v>200.0</v>
      </c>
      <c r="K2451" s="1">
        <v>2011.0</v>
      </c>
      <c r="L2451" s="1">
        <v>2011.0</v>
      </c>
      <c r="M2451" s="1"/>
      <c r="N2451" s="1"/>
      <c r="O2451" s="1"/>
      <c r="P2451" s="1"/>
      <c r="Q2451" s="1"/>
      <c r="R2451" s="1"/>
      <c r="S2451" s="1"/>
      <c r="T2451" s="1"/>
      <c r="U2451" s="1"/>
      <c r="V2451" s="1"/>
      <c r="W2451" s="1"/>
      <c r="X2451" s="1" t="s">
        <v>8702</v>
      </c>
      <c r="Y2451" s="1" t="s">
        <v>9391</v>
      </c>
    </row>
    <row r="2452">
      <c r="A2452" s="1">
        <v>9722933.0</v>
      </c>
      <c r="B2452" s="1" t="s">
        <v>9392</v>
      </c>
      <c r="C2452" s="1" t="s">
        <v>9393</v>
      </c>
      <c r="D2452" s="1" t="s">
        <v>9394</v>
      </c>
      <c r="E2452" s="1" t="s">
        <v>9395</v>
      </c>
      <c r="F2452" s="2" t="str">
        <f>"0811871231"</f>
        <v>0811871231</v>
      </c>
      <c r="G2452" s="2" t="str">
        <f>"9780811871235"</f>
        <v>9780811871235</v>
      </c>
      <c r="H2452" s="1" t="s">
        <v>1593</v>
      </c>
      <c r="I2452" s="1" t="s">
        <v>31</v>
      </c>
      <c r="J2452" s="1">
        <v>204.0</v>
      </c>
      <c r="K2452" s="1">
        <v>2011.0</v>
      </c>
      <c r="L2452" s="1">
        <v>2011.0</v>
      </c>
      <c r="M2452" s="1"/>
      <c r="N2452" s="1"/>
      <c r="O2452" s="1"/>
      <c r="P2452" s="1"/>
      <c r="Q2452" s="1"/>
      <c r="R2452" s="1"/>
      <c r="S2452" s="1"/>
      <c r="T2452" s="1"/>
      <c r="U2452" s="1"/>
      <c r="V2452" s="1"/>
      <c r="W2452" s="1"/>
      <c r="X2452" s="1" t="s">
        <v>45</v>
      </c>
      <c r="Y2452" s="1" t="s">
        <v>9396</v>
      </c>
    </row>
    <row r="2453">
      <c r="A2453" s="1">
        <v>4.2527866E7</v>
      </c>
      <c r="B2453" s="1" t="s">
        <v>9397</v>
      </c>
      <c r="C2453" s="1" t="s">
        <v>9398</v>
      </c>
      <c r="D2453" s="1" t="s">
        <v>9399</v>
      </c>
      <c r="E2453" s="1" t="s">
        <v>9400</v>
      </c>
      <c r="F2453" s="2" t="str">
        <f>"1603094504"</f>
        <v>1603094504</v>
      </c>
      <c r="G2453" s="2" t="str">
        <f>"9781603094504"</f>
        <v>9781603094504</v>
      </c>
      <c r="H2453" s="1" t="s">
        <v>8004</v>
      </c>
      <c r="I2453" s="1" t="s">
        <v>36</v>
      </c>
      <c r="J2453" s="1">
        <v>204.0</v>
      </c>
      <c r="K2453" s="1">
        <v>2019.0</v>
      </c>
      <c r="L2453" s="1">
        <v>2019.0</v>
      </c>
      <c r="M2453" s="1"/>
      <c r="N2453" s="1"/>
      <c r="O2453" s="1"/>
      <c r="P2453" s="1"/>
      <c r="Q2453" s="1"/>
      <c r="R2453" s="1"/>
      <c r="S2453" s="1"/>
      <c r="T2453" s="1"/>
      <c r="U2453" s="1"/>
      <c r="V2453" s="1"/>
      <c r="W2453" s="1"/>
      <c r="X2453" s="1" t="s">
        <v>1024</v>
      </c>
      <c r="Y2453" s="1" t="s">
        <v>9401</v>
      </c>
    </row>
    <row r="2454">
      <c r="A2454" s="1">
        <v>2.0690923E7</v>
      </c>
      <c r="B2454" s="1" t="s">
        <v>9402</v>
      </c>
      <c r="C2454" s="1" t="s">
        <v>9403</v>
      </c>
      <c r="D2454" s="1" t="s">
        <v>9404</v>
      </c>
      <c r="E2454" s="1" t="s">
        <v>9405</v>
      </c>
      <c r="F2454" s="2" t="str">
        <f>"1594747318"</f>
        <v>1594747318</v>
      </c>
      <c r="G2454" s="2" t="str">
        <f>"9781594747311"</f>
        <v>9781594747311</v>
      </c>
      <c r="H2454" s="1" t="s">
        <v>9406</v>
      </c>
      <c r="I2454" s="1" t="s">
        <v>31</v>
      </c>
      <c r="J2454" s="1">
        <v>206.0</v>
      </c>
      <c r="K2454" s="1">
        <v>2014.0</v>
      </c>
      <c r="L2454" s="1">
        <v>2014.0</v>
      </c>
      <c r="M2454" s="1"/>
      <c r="N2454" s="1"/>
      <c r="O2454" s="1"/>
      <c r="P2454" s="1"/>
      <c r="Q2454" s="1"/>
      <c r="R2454" s="1"/>
      <c r="S2454" s="1"/>
      <c r="T2454" s="1"/>
      <c r="U2454" s="1"/>
      <c r="V2454" s="1"/>
      <c r="W2454" s="1"/>
      <c r="X2454" s="1" t="s">
        <v>9407</v>
      </c>
      <c r="Y2454" s="1" t="s">
        <v>9408</v>
      </c>
    </row>
    <row r="2455">
      <c r="A2455" s="1">
        <v>1.1538645E7</v>
      </c>
      <c r="B2455" s="1" t="s">
        <v>9409</v>
      </c>
      <c r="C2455" s="1" t="s">
        <v>9410</v>
      </c>
      <c r="D2455" s="1" t="s">
        <v>9411</v>
      </c>
      <c r="F2455" s="2" t="str">
        <f>"1933693983"</f>
        <v>1933693983</v>
      </c>
      <c r="G2455" s="2" t="str">
        <f>"9781933693989"</f>
        <v>9781933693989</v>
      </c>
      <c r="H2455" s="1" t="s">
        <v>2515</v>
      </c>
      <c r="I2455" s="1" t="s">
        <v>36</v>
      </c>
      <c r="J2455" s="1">
        <v>207.0</v>
      </c>
      <c r="K2455" s="1">
        <v>2011.0</v>
      </c>
      <c r="L2455" s="1">
        <v>2011.0</v>
      </c>
      <c r="M2455" s="1"/>
      <c r="N2455" s="1"/>
      <c r="O2455" s="1"/>
      <c r="P2455" s="1"/>
      <c r="Q2455" s="1"/>
      <c r="R2455" s="1"/>
      <c r="S2455" s="1"/>
      <c r="T2455" s="1"/>
      <c r="U2455" s="1"/>
      <c r="V2455" s="1"/>
      <c r="W2455" s="1"/>
      <c r="X2455" s="1" t="s">
        <v>852</v>
      </c>
      <c r="Y2455" s="1" t="s">
        <v>9412</v>
      </c>
    </row>
    <row r="2456">
      <c r="A2456" s="1">
        <v>1.2527316E7</v>
      </c>
      <c r="B2456" s="1" t="s">
        <v>9413</v>
      </c>
      <c r="C2456" s="1" t="s">
        <v>9414</v>
      </c>
      <c r="D2456" s="1" t="s">
        <v>9415</v>
      </c>
      <c r="E2456" s="1" t="s">
        <v>9416</v>
      </c>
      <c r="F2456" s="2" t="str">
        <f>"1402264496"</f>
        <v>1402264496</v>
      </c>
      <c r="G2456" s="2" t="str">
        <f>"9781402264498"</f>
        <v>9781402264498</v>
      </c>
      <c r="H2456" s="1" t="s">
        <v>9417</v>
      </c>
      <c r="I2456" s="1" t="s">
        <v>36</v>
      </c>
      <c r="J2456" s="1">
        <v>208.0</v>
      </c>
      <c r="K2456" s="1">
        <v>2012.0</v>
      </c>
      <c r="L2456" s="1">
        <v>2012.0</v>
      </c>
    </row>
    <row r="2457">
      <c r="A2457" s="1">
        <v>91245.0</v>
      </c>
      <c r="B2457" s="1" t="s">
        <v>9418</v>
      </c>
      <c r="C2457" s="1" t="s">
        <v>2902</v>
      </c>
      <c r="D2457" s="1" t="s">
        <v>2903</v>
      </c>
      <c r="E2457" s="1" t="s">
        <v>8911</v>
      </c>
      <c r="F2457" s="2" t="str">
        <f>"0380732726"</f>
        <v>0380732726</v>
      </c>
      <c r="G2457" s="2" t="str">
        <f>"9780380732722"</f>
        <v>9780380732722</v>
      </c>
      <c r="H2457" s="1" t="s">
        <v>290</v>
      </c>
      <c r="I2457" s="1" t="s">
        <v>36</v>
      </c>
      <c r="J2457" s="1">
        <v>208.0</v>
      </c>
      <c r="K2457" s="1">
        <v>2001.0</v>
      </c>
      <c r="L2457" s="1">
        <v>1999.0</v>
      </c>
      <c r="M2457" s="1"/>
      <c r="N2457" s="1"/>
      <c r="O2457" s="1"/>
      <c r="P2457" s="1"/>
      <c r="Q2457" s="1"/>
      <c r="R2457" s="1"/>
      <c r="S2457" s="1"/>
      <c r="T2457" s="1"/>
      <c r="U2457" s="1"/>
      <c r="V2457" s="1"/>
      <c r="W2457" s="1"/>
      <c r="X2457" s="1" t="s">
        <v>8451</v>
      </c>
      <c r="Y2457" s="1" t="s">
        <v>9419</v>
      </c>
    </row>
    <row r="2458">
      <c r="A2458" s="1">
        <v>244338.0</v>
      </c>
      <c r="B2458" s="1" t="s">
        <v>9420</v>
      </c>
      <c r="C2458" s="1" t="s">
        <v>2902</v>
      </c>
      <c r="D2458" s="1" t="s">
        <v>2903</v>
      </c>
      <c r="E2458" s="1" t="s">
        <v>8911</v>
      </c>
      <c r="F2458" s="2" t="str">
        <f t="shared" ref="F2458:G2458" si="156">""</f>
        <v/>
      </c>
      <c r="G2458" s="2" t="str">
        <f t="shared" si="156"/>
        <v/>
      </c>
      <c r="H2458" s="1" t="s">
        <v>290</v>
      </c>
      <c r="I2458" s="1" t="s">
        <v>36</v>
      </c>
      <c r="J2458" s="1">
        <v>208.0</v>
      </c>
      <c r="K2458" s="1">
        <v>2021.0</v>
      </c>
      <c r="L2458" s="1">
        <v>1953.0</v>
      </c>
      <c r="M2458" s="1"/>
      <c r="N2458" s="1"/>
      <c r="O2458" s="1"/>
      <c r="P2458" s="1"/>
      <c r="Q2458" s="1"/>
      <c r="R2458" s="1"/>
      <c r="S2458" s="1"/>
      <c r="T2458" s="1"/>
      <c r="U2458" s="1"/>
      <c r="V2458" s="1"/>
      <c r="W2458" s="1"/>
      <c r="X2458" s="1" t="s">
        <v>8451</v>
      </c>
      <c r="Y2458" s="1" t="s">
        <v>9421</v>
      </c>
    </row>
    <row r="2459">
      <c r="A2459" s="1">
        <v>3.1246975E7</v>
      </c>
      <c r="B2459" s="1" t="s">
        <v>9422</v>
      </c>
      <c r="C2459" s="1" t="s">
        <v>9423</v>
      </c>
      <c r="D2459" s="1" t="s">
        <v>9424</v>
      </c>
      <c r="F2459" s="2" t="str">
        <f>"1524720003"</f>
        <v>1524720003</v>
      </c>
      <c r="G2459" s="2" t="str">
        <f>"9781524720001"</f>
        <v>9781524720001</v>
      </c>
      <c r="H2459" s="1" t="s">
        <v>8831</v>
      </c>
      <c r="I2459" s="1" t="s">
        <v>31</v>
      </c>
      <c r="J2459" s="1">
        <v>208.0</v>
      </c>
      <c r="K2459" s="1">
        <v>2018.0</v>
      </c>
      <c r="L2459" s="1">
        <v>2018.0</v>
      </c>
      <c r="M2459" s="1"/>
      <c r="N2459" s="1"/>
      <c r="O2459" s="1"/>
      <c r="P2459" s="1"/>
      <c r="Q2459" s="1"/>
      <c r="R2459" s="1"/>
      <c r="S2459" s="1"/>
      <c r="T2459" s="1"/>
      <c r="U2459" s="1"/>
      <c r="V2459" s="1"/>
      <c r="W2459" s="1"/>
      <c r="X2459" s="1" t="s">
        <v>285</v>
      </c>
      <c r="Y2459" s="1" t="s">
        <v>9425</v>
      </c>
    </row>
    <row r="2460">
      <c r="A2460" s="1">
        <v>5.6587993E7</v>
      </c>
      <c r="B2460" s="1" t="s">
        <v>9426</v>
      </c>
      <c r="C2460" s="1" t="s">
        <v>9427</v>
      </c>
      <c r="D2460" s="1" t="s">
        <v>9428</v>
      </c>
      <c r="E2460" s="1" t="s">
        <v>9080</v>
      </c>
      <c r="F2460" s="2" t="str">
        <f t="shared" ref="F2460:G2460" si="157">""</f>
        <v/>
      </c>
      <c r="G2460" s="2" t="str">
        <f t="shared" si="157"/>
        <v/>
      </c>
      <c r="H2460" s="1" t="s">
        <v>50</v>
      </c>
      <c r="I2460" s="1" t="s">
        <v>36</v>
      </c>
      <c r="J2460" s="1">
        <v>208.0</v>
      </c>
      <c r="K2460" s="1">
        <v>2022.0</v>
      </c>
      <c r="L2460" s="1">
        <v>2022.0</v>
      </c>
      <c r="M2460" s="1"/>
      <c r="N2460" s="1"/>
      <c r="O2460" s="1"/>
      <c r="P2460" s="1"/>
      <c r="Q2460" s="1"/>
      <c r="R2460" s="1"/>
      <c r="S2460" s="1"/>
      <c r="T2460" s="1"/>
      <c r="U2460" s="1"/>
      <c r="V2460" s="1"/>
      <c r="W2460" s="1"/>
      <c r="X2460" s="1" t="s">
        <v>291</v>
      </c>
      <c r="Y2460" s="1" t="s">
        <v>9429</v>
      </c>
    </row>
    <row r="2461">
      <c r="A2461" s="1">
        <v>5.562898E7</v>
      </c>
      <c r="B2461" s="1" t="s">
        <v>9430</v>
      </c>
      <c r="C2461" s="1" t="s">
        <v>9431</v>
      </c>
      <c r="D2461" s="1" t="s">
        <v>9432</v>
      </c>
      <c r="E2461" s="1" t="s">
        <v>9433</v>
      </c>
      <c r="F2461" s="2" t="str">
        <f>"0593179145"</f>
        <v>0593179145</v>
      </c>
      <c r="G2461" s="2" t="str">
        <f>"9780593179147"</f>
        <v>9780593179147</v>
      </c>
      <c r="H2461" s="1" t="s">
        <v>5755</v>
      </c>
      <c r="I2461" s="1" t="s">
        <v>31</v>
      </c>
      <c r="J2461" s="1">
        <v>208.0</v>
      </c>
      <c r="K2461" s="1">
        <v>2021.0</v>
      </c>
      <c r="L2461" s="1">
        <v>2021.0</v>
      </c>
      <c r="M2461" s="1"/>
      <c r="N2461" s="1"/>
      <c r="O2461" s="1"/>
      <c r="P2461" s="1"/>
      <c r="Q2461" s="1"/>
      <c r="R2461" s="1"/>
      <c r="S2461" s="1"/>
      <c r="T2461" s="1"/>
      <c r="U2461" s="1"/>
      <c r="V2461" s="1"/>
      <c r="W2461" s="1"/>
      <c r="X2461" s="1" t="s">
        <v>7614</v>
      </c>
      <c r="Y2461" s="1" t="s">
        <v>9434</v>
      </c>
    </row>
    <row r="2462">
      <c r="A2462" s="1">
        <v>2.689206E7</v>
      </c>
      <c r="B2462" s="1" t="s">
        <v>9435</v>
      </c>
      <c r="C2462" s="1" t="s">
        <v>433</v>
      </c>
      <c r="D2462" s="1" t="s">
        <v>434</v>
      </c>
      <c r="E2462" s="1" t="s">
        <v>435</v>
      </c>
      <c r="F2462" s="2" t="str">
        <f>"0545800498"</f>
        <v>0545800498</v>
      </c>
      <c r="G2462" s="2" t="str">
        <f>"9780545800495"</f>
        <v>9780545800495</v>
      </c>
      <c r="H2462" s="1" t="s">
        <v>9436</v>
      </c>
      <c r="I2462" s="1" t="s">
        <v>31</v>
      </c>
      <c r="J2462" s="1">
        <v>208.0</v>
      </c>
      <c r="K2462" s="1">
        <v>2016.0</v>
      </c>
      <c r="L2462" s="1">
        <v>2016.0</v>
      </c>
      <c r="M2462" s="1"/>
      <c r="N2462" s="1"/>
      <c r="O2462" s="1"/>
      <c r="P2462" s="1"/>
      <c r="Q2462" s="1"/>
      <c r="R2462" s="1"/>
      <c r="S2462" s="1"/>
      <c r="T2462" s="1"/>
      <c r="U2462" s="1"/>
      <c r="V2462" s="1"/>
      <c r="W2462" s="1"/>
      <c r="X2462" s="1" t="s">
        <v>291</v>
      </c>
      <c r="Y2462" s="1" t="s">
        <v>9437</v>
      </c>
    </row>
    <row r="2463">
      <c r="A2463" s="1">
        <v>3.0254933E7</v>
      </c>
      <c r="B2463" s="1" t="s">
        <v>9438</v>
      </c>
      <c r="C2463" s="1" t="s">
        <v>433</v>
      </c>
      <c r="D2463" s="1" t="s">
        <v>434</v>
      </c>
      <c r="E2463" s="1" t="s">
        <v>435</v>
      </c>
      <c r="F2463" s="2" t="str">
        <f>"0545800536"</f>
        <v>0545800536</v>
      </c>
      <c r="G2463" s="2" t="str">
        <f>"9780545800532"</f>
        <v>9780545800532</v>
      </c>
      <c r="H2463" s="1" t="s">
        <v>857</v>
      </c>
      <c r="I2463" s="1" t="s">
        <v>31</v>
      </c>
      <c r="J2463" s="1">
        <v>208.0</v>
      </c>
      <c r="K2463" s="1">
        <v>2016.0</v>
      </c>
      <c r="L2463" s="1">
        <v>2017.0</v>
      </c>
      <c r="M2463" s="1"/>
      <c r="N2463" s="1"/>
      <c r="O2463" s="1"/>
      <c r="P2463" s="1"/>
      <c r="Q2463" s="1"/>
      <c r="R2463" s="1"/>
      <c r="S2463" s="1"/>
      <c r="T2463" s="1"/>
      <c r="U2463" s="1"/>
      <c r="V2463" s="1"/>
      <c r="W2463" s="1"/>
      <c r="X2463" s="1" t="s">
        <v>436</v>
      </c>
      <c r="Y2463" s="1" t="s">
        <v>9439</v>
      </c>
    </row>
    <row r="2464">
      <c r="A2464" s="1">
        <v>2.0257153E7</v>
      </c>
      <c r="B2464" s="1" t="s">
        <v>9440</v>
      </c>
      <c r="C2464" s="1" t="s">
        <v>9441</v>
      </c>
      <c r="D2464" s="1" t="s">
        <v>9442</v>
      </c>
      <c r="F2464" s="2" t="str">
        <f>"0545563550"</f>
        <v>0545563550</v>
      </c>
      <c r="G2464" s="2" t="str">
        <f>"9780545563550"</f>
        <v>9780545563550</v>
      </c>
      <c r="H2464" s="1" t="s">
        <v>2944</v>
      </c>
      <c r="I2464" s="1" t="s">
        <v>36</v>
      </c>
      <c r="J2464" s="1">
        <v>208.0</v>
      </c>
      <c r="K2464" s="1">
        <v>2014.0</v>
      </c>
      <c r="L2464" s="1">
        <v>2014.0</v>
      </c>
      <c r="M2464" s="1"/>
      <c r="N2464" s="1"/>
      <c r="O2464" s="1"/>
      <c r="P2464" s="1"/>
      <c r="Q2464" s="1"/>
      <c r="R2464" s="1"/>
      <c r="S2464" s="1"/>
      <c r="T2464" s="1"/>
      <c r="U2464" s="1"/>
      <c r="V2464" s="1"/>
      <c r="W2464" s="1"/>
      <c r="X2464" s="1" t="s">
        <v>641</v>
      </c>
      <c r="Y2464" s="1" t="s">
        <v>9443</v>
      </c>
    </row>
    <row r="2465">
      <c r="A2465" s="1">
        <v>9206116.0</v>
      </c>
      <c r="B2465" s="1" t="s">
        <v>9444</v>
      </c>
      <c r="C2465" s="1" t="s">
        <v>9445</v>
      </c>
      <c r="D2465" s="1" t="s">
        <v>9446</v>
      </c>
      <c r="F2465" s="2" t="str">
        <f>"039925515X"</f>
        <v>039925515X</v>
      </c>
      <c r="G2465" s="2" t="str">
        <f>"9780399255151"</f>
        <v>9780399255151</v>
      </c>
      <c r="H2465" s="1" t="s">
        <v>2253</v>
      </c>
      <c r="I2465" s="1" t="s">
        <v>31</v>
      </c>
      <c r="J2465" s="1">
        <v>208.0</v>
      </c>
      <c r="K2465" s="1">
        <v>2011.0</v>
      </c>
      <c r="L2465" s="1">
        <v>2011.0</v>
      </c>
      <c r="M2465" s="1"/>
      <c r="N2465" s="1"/>
      <c r="O2465" s="1"/>
      <c r="P2465" s="1"/>
      <c r="Q2465" s="1"/>
      <c r="R2465" s="1"/>
      <c r="S2465" s="1"/>
      <c r="T2465" s="1"/>
      <c r="U2465" s="1"/>
      <c r="V2465" s="1"/>
      <c r="W2465" s="1"/>
      <c r="X2465" s="1" t="s">
        <v>458</v>
      </c>
      <c r="Y2465" s="1" t="s">
        <v>9447</v>
      </c>
    </row>
    <row r="2466">
      <c r="A2466" s="1">
        <v>2.4612623E7</v>
      </c>
      <c r="B2466" s="1" t="s">
        <v>9448</v>
      </c>
      <c r="C2466" s="1" t="s">
        <v>546</v>
      </c>
      <c r="D2466" s="1" t="s">
        <v>547</v>
      </c>
      <c r="F2466" s="2" t="str">
        <f>"0545504929"</f>
        <v>0545504929</v>
      </c>
      <c r="G2466" s="2" t="str">
        <f>"9780545504928"</f>
        <v>9780545504928</v>
      </c>
      <c r="H2466" s="1" t="s">
        <v>817</v>
      </c>
      <c r="I2466" s="1" t="s">
        <v>31</v>
      </c>
      <c r="J2466" s="1">
        <v>208.0</v>
      </c>
      <c r="K2466" s="1">
        <v>2015.0</v>
      </c>
      <c r="L2466" s="1">
        <v>2015.0</v>
      </c>
      <c r="M2466" s="1"/>
      <c r="N2466" s="1"/>
      <c r="O2466" s="1"/>
      <c r="P2466" s="1"/>
      <c r="Q2466" s="1"/>
      <c r="R2466" s="1"/>
      <c r="S2466" s="1"/>
      <c r="T2466" s="1"/>
      <c r="U2466" s="1"/>
      <c r="V2466" s="1"/>
      <c r="W2466" s="1"/>
      <c r="X2466" s="1" t="s">
        <v>553</v>
      </c>
      <c r="Y2466" s="1" t="s">
        <v>9449</v>
      </c>
    </row>
    <row r="2467">
      <c r="A2467" s="1">
        <v>3.0652362E7</v>
      </c>
      <c r="B2467" s="1" t="s">
        <v>9450</v>
      </c>
      <c r="C2467" s="1" t="s">
        <v>9451</v>
      </c>
      <c r="D2467" s="1" t="s">
        <v>9452</v>
      </c>
      <c r="F2467" s="2" t="str">
        <f>"0545918162"</f>
        <v>0545918162</v>
      </c>
      <c r="G2467" s="2" t="str">
        <f>"9780545918169"</f>
        <v>9780545918169</v>
      </c>
      <c r="H2467" s="1" t="s">
        <v>857</v>
      </c>
      <c r="I2467" s="1" t="s">
        <v>31</v>
      </c>
      <c r="J2467" s="1">
        <v>208.0</v>
      </c>
      <c r="K2467" s="1">
        <v>2017.0</v>
      </c>
      <c r="L2467" s="1">
        <v>2007.0</v>
      </c>
      <c r="M2467" s="1"/>
      <c r="N2467" s="1"/>
      <c r="O2467" s="1"/>
      <c r="P2467" s="1"/>
      <c r="Q2467" s="1"/>
      <c r="R2467" s="1"/>
      <c r="S2467" s="1"/>
      <c r="T2467" s="1"/>
      <c r="U2467" s="1"/>
      <c r="V2467" s="1"/>
      <c r="W2467" s="1"/>
      <c r="X2467" s="1" t="s">
        <v>7445</v>
      </c>
      <c r="Y2467" s="1" t="s">
        <v>9453</v>
      </c>
    </row>
    <row r="2468">
      <c r="A2468" s="1">
        <v>8679899.0</v>
      </c>
      <c r="B2468" s="1" t="s">
        <v>9454</v>
      </c>
      <c r="C2468" s="1" t="s">
        <v>1834</v>
      </c>
      <c r="D2468" s="1" t="s">
        <v>1835</v>
      </c>
      <c r="F2468" s="2" t="str">
        <f>"0547396317"</f>
        <v>0547396317</v>
      </c>
      <c r="G2468" s="2" t="str">
        <f>"9780547396316"</f>
        <v>9780547396316</v>
      </c>
      <c r="H2468" s="1" t="s">
        <v>1799</v>
      </c>
      <c r="I2468" s="1" t="s">
        <v>31</v>
      </c>
      <c r="J2468" s="1">
        <v>208.0</v>
      </c>
      <c r="K2468" s="1">
        <v>2010.0</v>
      </c>
      <c r="M2468" s="1"/>
      <c r="N2468" s="1"/>
      <c r="O2468" s="1"/>
      <c r="P2468" s="1"/>
      <c r="Q2468" s="1"/>
      <c r="R2468" s="1"/>
      <c r="S2468" s="1"/>
      <c r="T2468" s="1"/>
      <c r="U2468" s="1"/>
      <c r="V2468" s="1"/>
      <c r="W2468" s="1"/>
      <c r="X2468" s="1" t="s">
        <v>2696</v>
      </c>
      <c r="Y2468" s="1" t="s">
        <v>9455</v>
      </c>
    </row>
    <row r="2469">
      <c r="A2469" s="1">
        <v>5.776337E7</v>
      </c>
      <c r="B2469" s="1" t="s">
        <v>9456</v>
      </c>
      <c r="C2469" s="1" t="s">
        <v>9058</v>
      </c>
      <c r="D2469" s="1" t="s">
        <v>9059</v>
      </c>
      <c r="F2469" s="2" t="str">
        <f>"1338801880"</f>
        <v>1338801880</v>
      </c>
      <c r="G2469" s="2" t="str">
        <f>"9781338801880"</f>
        <v>9781338801880</v>
      </c>
      <c r="H2469" s="1" t="s">
        <v>640</v>
      </c>
      <c r="I2469" s="1" t="s">
        <v>36</v>
      </c>
      <c r="J2469" s="1">
        <v>208.0</v>
      </c>
      <c r="K2469" s="1">
        <v>2022.0</v>
      </c>
      <c r="L2469" s="1">
        <v>2014.0</v>
      </c>
      <c r="M2469" s="1"/>
      <c r="N2469" s="1"/>
      <c r="O2469" s="1"/>
      <c r="P2469" s="1"/>
      <c r="Q2469" s="1"/>
      <c r="R2469" s="1"/>
      <c r="S2469" s="1"/>
      <c r="T2469" s="1"/>
      <c r="U2469" s="1"/>
      <c r="V2469" s="1"/>
      <c r="W2469" s="1"/>
      <c r="X2469" s="1" t="s">
        <v>1024</v>
      </c>
      <c r="Y2469" s="1" t="s">
        <v>9457</v>
      </c>
    </row>
    <row r="2470">
      <c r="A2470" s="1">
        <v>1.4688339E7</v>
      </c>
      <c r="B2470" s="1" t="s">
        <v>9458</v>
      </c>
      <c r="C2470" s="1" t="s">
        <v>9459</v>
      </c>
      <c r="D2470" s="1" t="s">
        <v>9460</v>
      </c>
      <c r="E2470" s="1" t="s">
        <v>9461</v>
      </c>
      <c r="F2470" s="2" t="str">
        <f>"8424635957"</f>
        <v>8424635957</v>
      </c>
      <c r="G2470" s="2" t="str">
        <f>"9788424635954"</f>
        <v>9788424635954</v>
      </c>
      <c r="H2470" s="1" t="s">
        <v>9462</v>
      </c>
      <c r="I2470" s="1" t="s">
        <v>31</v>
      </c>
      <c r="J2470" s="1">
        <v>208.0</v>
      </c>
      <c r="K2470" s="1">
        <v>2011.0</v>
      </c>
      <c r="L2470" s="1">
        <v>2010.0</v>
      </c>
      <c r="M2470" s="1"/>
      <c r="N2470" s="1"/>
      <c r="O2470" s="1"/>
      <c r="P2470" s="1"/>
      <c r="Q2470" s="1"/>
      <c r="R2470" s="1"/>
      <c r="S2470" s="1"/>
      <c r="T2470" s="1"/>
      <c r="U2470" s="1"/>
      <c r="V2470" s="1"/>
      <c r="W2470" s="1"/>
      <c r="X2470" s="1" t="s">
        <v>92</v>
      </c>
      <c r="Y2470" s="1" t="s">
        <v>9463</v>
      </c>
    </row>
    <row r="2471">
      <c r="A2471" s="1">
        <v>24819.0</v>
      </c>
      <c r="B2471" s="1" t="s">
        <v>9464</v>
      </c>
      <c r="C2471" s="1" t="s">
        <v>8637</v>
      </c>
      <c r="D2471" s="1" t="s">
        <v>8638</v>
      </c>
      <c r="F2471" s="2" t="str">
        <f>"0751515574"</f>
        <v>0751515574</v>
      </c>
      <c r="G2471" s="2" t="str">
        <f>"9780751515572"</f>
        <v>9780751515572</v>
      </c>
      <c r="H2471" s="1" t="s">
        <v>9465</v>
      </c>
      <c r="I2471" s="1" t="s">
        <v>36</v>
      </c>
      <c r="J2471" s="1">
        <v>208.0</v>
      </c>
      <c r="K2471" s="1">
        <v>1995.0</v>
      </c>
      <c r="L2471" s="1">
        <v>1995.0</v>
      </c>
      <c r="M2471" s="1"/>
      <c r="N2471" s="1"/>
      <c r="O2471" s="1"/>
      <c r="P2471" s="1"/>
      <c r="Q2471" s="1"/>
      <c r="R2471" s="1"/>
      <c r="S2471" s="1"/>
      <c r="T2471" s="1"/>
      <c r="U2471" s="1"/>
      <c r="V2471" s="1"/>
      <c r="W2471" s="1"/>
      <c r="X2471" s="1" t="s">
        <v>452</v>
      </c>
      <c r="Y2471" s="1" t="s">
        <v>9466</v>
      </c>
    </row>
    <row r="2472">
      <c r="A2472" s="1">
        <v>3.6601888E7</v>
      </c>
      <c r="B2472" s="1" t="s">
        <v>9467</v>
      </c>
      <c r="C2472" s="1" t="s">
        <v>9468</v>
      </c>
      <c r="D2472" s="1" t="s">
        <v>9469</v>
      </c>
      <c r="E2472" s="1" t="s">
        <v>9470</v>
      </c>
      <c r="F2472" s="2" t="str">
        <f>"0997895829"</f>
        <v>0997895829</v>
      </c>
      <c r="G2472" s="2" t="str">
        <f>"9780997895827"</f>
        <v>9780997895827</v>
      </c>
      <c r="H2472" s="1" t="s">
        <v>9471</v>
      </c>
      <c r="I2472" s="1" t="s">
        <v>31</v>
      </c>
      <c r="J2472" s="1">
        <v>212.0</v>
      </c>
      <c r="K2472" s="1">
        <v>2017.0</v>
      </c>
      <c r="L2472" s="1">
        <v>2017.0</v>
      </c>
      <c r="M2472" s="1"/>
      <c r="N2472" s="1"/>
      <c r="O2472" s="1"/>
      <c r="P2472" s="1"/>
      <c r="Q2472" s="1"/>
      <c r="R2472" s="1"/>
      <c r="S2472" s="1"/>
      <c r="T2472" s="1"/>
      <c r="U2472" s="1"/>
      <c r="V2472" s="1"/>
      <c r="W2472" s="1"/>
      <c r="X2472" s="1" t="s">
        <v>1195</v>
      </c>
      <c r="Y2472" s="1" t="s">
        <v>9472</v>
      </c>
    </row>
    <row r="2473">
      <c r="A2473" s="1">
        <v>3.3016249E7</v>
      </c>
      <c r="B2473" s="1" t="s">
        <v>9473</v>
      </c>
      <c r="C2473" s="1" t="s">
        <v>9468</v>
      </c>
      <c r="D2473" s="1" t="s">
        <v>9469</v>
      </c>
      <c r="E2473" s="1" t="s">
        <v>9470</v>
      </c>
      <c r="F2473" s="2" t="str">
        <f>"0997895810"</f>
        <v>0997895810</v>
      </c>
      <c r="G2473" s="2" t="str">
        <f>"9780997895810"</f>
        <v>9780997895810</v>
      </c>
      <c r="H2473" s="1" t="s">
        <v>9474</v>
      </c>
      <c r="I2473" s="1" t="s">
        <v>31</v>
      </c>
      <c r="J2473" s="1">
        <v>212.0</v>
      </c>
      <c r="K2473" s="1">
        <v>2016.0</v>
      </c>
      <c r="L2473" s="1">
        <v>2016.0</v>
      </c>
      <c r="M2473" s="1"/>
      <c r="N2473" s="1"/>
      <c r="O2473" s="1"/>
      <c r="P2473" s="1"/>
      <c r="Q2473" s="1"/>
      <c r="R2473" s="1"/>
      <c r="S2473" s="1"/>
      <c r="T2473" s="1"/>
      <c r="U2473" s="1"/>
      <c r="V2473" s="1"/>
      <c r="W2473" s="1"/>
      <c r="X2473" s="1" t="s">
        <v>1195</v>
      </c>
      <c r="Y2473" s="1" t="s">
        <v>9475</v>
      </c>
    </row>
    <row r="2474">
      <c r="A2474" s="1">
        <v>9.8346623E7</v>
      </c>
      <c r="B2474" s="1" t="s">
        <v>9476</v>
      </c>
      <c r="C2474" s="1" t="s">
        <v>9477</v>
      </c>
      <c r="D2474" s="1" t="s">
        <v>9478</v>
      </c>
      <c r="F2474" s="2" t="str">
        <f>"7534287219"</f>
        <v>7534287219</v>
      </c>
      <c r="G2474" s="2" t="str">
        <f>"9787534287213"</f>
        <v>9787534287213</v>
      </c>
      <c r="H2474" s="1" t="s">
        <v>9479</v>
      </c>
      <c r="I2474" s="1" t="s">
        <v>36</v>
      </c>
      <c r="J2474" s="1">
        <v>212.0</v>
      </c>
      <c r="K2474" s="1">
        <v>2015.0</v>
      </c>
    </row>
    <row r="2475">
      <c r="A2475" s="1">
        <v>22628.0</v>
      </c>
      <c r="B2475" s="1" t="s">
        <v>9480</v>
      </c>
      <c r="C2475" s="1" t="s">
        <v>9481</v>
      </c>
      <c r="D2475" s="1" t="s">
        <v>9482</v>
      </c>
      <c r="F2475" s="2" t="str">
        <f t="shared" ref="F2475:G2475" si="158">""</f>
        <v/>
      </c>
      <c r="G2475" s="2" t="str">
        <f t="shared" si="158"/>
        <v/>
      </c>
      <c r="H2475" s="1" t="s">
        <v>9483</v>
      </c>
      <c r="I2475" s="1" t="s">
        <v>31</v>
      </c>
      <c r="J2475" s="1">
        <v>213.0</v>
      </c>
      <c r="K2475" s="1">
        <v>1999.0</v>
      </c>
      <c r="L2475" s="1">
        <v>1999.0</v>
      </c>
      <c r="M2475" s="1"/>
      <c r="N2475" s="1"/>
      <c r="O2475" s="1"/>
      <c r="P2475" s="1"/>
      <c r="Q2475" s="1"/>
      <c r="R2475" s="1"/>
      <c r="S2475" s="1"/>
      <c r="T2475" s="1"/>
      <c r="U2475" s="1"/>
      <c r="V2475" s="1"/>
      <c r="W2475" s="1"/>
      <c r="X2475" s="1" t="s">
        <v>363</v>
      </c>
      <c r="Y2475" s="1" t="s">
        <v>9484</v>
      </c>
    </row>
    <row r="2476">
      <c r="A2476" s="1">
        <v>7906105.0</v>
      </c>
      <c r="B2476" s="1" t="s">
        <v>9485</v>
      </c>
      <c r="C2476" s="1" t="s">
        <v>9486</v>
      </c>
      <c r="D2476" s="1" t="s">
        <v>9487</v>
      </c>
      <c r="F2476" s="2" t="str">
        <f>"0805090053"</f>
        <v>0805090053</v>
      </c>
      <c r="G2476" s="2" t="str">
        <f>"9780805090055"</f>
        <v>9780805090055</v>
      </c>
      <c r="H2476" s="1" t="s">
        <v>3033</v>
      </c>
      <c r="I2476" s="1" t="s">
        <v>31</v>
      </c>
      <c r="J2476" s="1">
        <v>213.0</v>
      </c>
      <c r="K2476" s="1">
        <v>2010.0</v>
      </c>
      <c r="L2476" s="1">
        <v>2010.0</v>
      </c>
      <c r="M2476" s="1"/>
      <c r="N2476" s="1"/>
      <c r="O2476" s="1"/>
      <c r="P2476" s="1"/>
      <c r="Q2476" s="1"/>
      <c r="R2476" s="1"/>
      <c r="S2476" s="1"/>
      <c r="T2476" s="1"/>
      <c r="U2476" s="1"/>
      <c r="V2476" s="1"/>
      <c r="W2476" s="1"/>
      <c r="X2476" s="1" t="s">
        <v>609</v>
      </c>
      <c r="Y2476" s="1" t="s">
        <v>9488</v>
      </c>
    </row>
    <row r="2477">
      <c r="A2477" s="1">
        <v>1.1810126E7</v>
      </c>
      <c r="B2477" s="1" t="s">
        <v>9489</v>
      </c>
      <c r="C2477" s="1" t="s">
        <v>9490</v>
      </c>
      <c r="D2477" s="1" t="s">
        <v>9491</v>
      </c>
      <c r="F2477" s="2" t="str">
        <f>"0062086944"</f>
        <v>0062086944</v>
      </c>
      <c r="G2477" s="2" t="str">
        <f>"9780062086945"</f>
        <v>9780062086945</v>
      </c>
      <c r="H2477" s="1" t="s">
        <v>290</v>
      </c>
      <c r="I2477" s="1" t="s">
        <v>36</v>
      </c>
      <c r="J2477" s="1">
        <v>214.0</v>
      </c>
      <c r="K2477" s="1">
        <v>2012.0</v>
      </c>
      <c r="L2477" s="1">
        <v>2012.0</v>
      </c>
      <c r="M2477" s="1"/>
      <c r="N2477" s="1"/>
      <c r="O2477" s="1"/>
      <c r="P2477" s="1"/>
      <c r="Q2477" s="1"/>
      <c r="R2477" s="1"/>
      <c r="S2477" s="1"/>
      <c r="T2477" s="1"/>
      <c r="U2477" s="1"/>
      <c r="V2477" s="1"/>
      <c r="W2477" s="1"/>
      <c r="X2477" s="1" t="s">
        <v>7609</v>
      </c>
      <c r="Y2477" s="1" t="s">
        <v>9492</v>
      </c>
    </row>
    <row r="2478">
      <c r="A2478" s="1">
        <v>6817038.0</v>
      </c>
      <c r="B2478" s="1" t="s">
        <v>9493</v>
      </c>
      <c r="C2478" s="1" t="s">
        <v>8055</v>
      </c>
      <c r="D2478" s="1" t="s">
        <v>8056</v>
      </c>
      <c r="F2478" s="2" t="str">
        <f>"0545160936"</f>
        <v>0545160936</v>
      </c>
      <c r="G2478" s="2" t="str">
        <f>"9780545160933"</f>
        <v>9780545160933</v>
      </c>
      <c r="H2478" s="1" t="s">
        <v>817</v>
      </c>
      <c r="I2478" s="1" t="s">
        <v>31</v>
      </c>
      <c r="J2478" s="1">
        <v>215.0</v>
      </c>
      <c r="K2478" s="1">
        <v>2010.0</v>
      </c>
      <c r="L2478" s="1">
        <v>2010.0</v>
      </c>
      <c r="M2478" s="1"/>
      <c r="N2478" s="1"/>
      <c r="O2478" s="1"/>
      <c r="P2478" s="1"/>
      <c r="Q2478" s="1"/>
      <c r="R2478" s="1"/>
      <c r="S2478" s="1"/>
      <c r="T2478" s="1"/>
      <c r="U2478" s="1"/>
      <c r="V2478" s="1"/>
      <c r="W2478" s="1"/>
      <c r="X2478" s="1" t="s">
        <v>180</v>
      </c>
      <c r="Y2478" s="1" t="s">
        <v>9494</v>
      </c>
    </row>
    <row r="2479">
      <c r="A2479" s="1">
        <v>4.2097226E7</v>
      </c>
      <c r="B2479" s="1" t="s">
        <v>9495</v>
      </c>
      <c r="C2479" s="1" t="s">
        <v>9058</v>
      </c>
      <c r="D2479" s="1" t="s">
        <v>9059</v>
      </c>
      <c r="F2479" s="2" t="str">
        <f>"054585251X"</f>
        <v>054585251X</v>
      </c>
      <c r="G2479" s="2" t="str">
        <f>"9780545852517"</f>
        <v>9780545852517</v>
      </c>
      <c r="H2479" s="1" t="s">
        <v>640</v>
      </c>
      <c r="I2479" s="1" t="s">
        <v>31</v>
      </c>
      <c r="J2479" s="1">
        <v>215.0</v>
      </c>
      <c r="K2479" s="1">
        <v>2019.0</v>
      </c>
      <c r="L2479" s="1">
        <v>2019.0</v>
      </c>
      <c r="M2479" s="1"/>
      <c r="N2479" s="1"/>
      <c r="O2479" s="1"/>
      <c r="P2479" s="1"/>
      <c r="Q2479" s="1"/>
      <c r="R2479" s="1"/>
      <c r="S2479" s="1"/>
      <c r="T2479" s="1"/>
      <c r="U2479" s="1"/>
      <c r="V2479" s="1"/>
      <c r="W2479" s="1"/>
      <c r="X2479" s="1" t="s">
        <v>1024</v>
      </c>
      <c r="Y2479" s="1" t="s">
        <v>9496</v>
      </c>
    </row>
    <row r="2480">
      <c r="A2480" s="1">
        <v>3.7509635E7</v>
      </c>
      <c r="B2480" s="1" t="s">
        <v>9497</v>
      </c>
      <c r="C2480" s="1" t="s">
        <v>1490</v>
      </c>
      <c r="D2480" s="1" t="s">
        <v>9498</v>
      </c>
      <c r="F2480" s="2" t="str">
        <f>"1426331878"</f>
        <v>1426331878</v>
      </c>
      <c r="G2480" s="2" t="str">
        <f>"9781426331879"</f>
        <v>9781426331879</v>
      </c>
      <c r="H2480" s="1" t="s">
        <v>1490</v>
      </c>
      <c r="I2480" s="1" t="s">
        <v>36</v>
      </c>
      <c r="J2480" s="1">
        <v>216.0</v>
      </c>
      <c r="K2480" s="1">
        <v>2018.0</v>
      </c>
    </row>
    <row r="2481">
      <c r="A2481" s="1">
        <v>820010.0</v>
      </c>
      <c r="B2481" s="1" t="s">
        <v>9499</v>
      </c>
      <c r="C2481" s="1" t="s">
        <v>9500</v>
      </c>
      <c r="D2481" s="1" t="s">
        <v>9501</v>
      </c>
      <c r="F2481" s="2" t="str">
        <f>"0761532633"</f>
        <v>0761532633</v>
      </c>
      <c r="G2481" s="2" t="str">
        <f>"9780761532637"</f>
        <v>9780761532637</v>
      </c>
      <c r="H2481" s="1" t="s">
        <v>9502</v>
      </c>
      <c r="I2481" s="1" t="s">
        <v>36</v>
      </c>
      <c r="J2481" s="1">
        <v>216.0</v>
      </c>
      <c r="K2481" s="1">
        <v>2001.0</v>
      </c>
      <c r="L2481" s="1">
        <v>2001.0</v>
      </c>
      <c r="M2481" s="1"/>
      <c r="N2481" s="1"/>
      <c r="O2481" s="1"/>
      <c r="P2481" s="1"/>
      <c r="Q2481" s="1"/>
      <c r="R2481" s="1"/>
      <c r="S2481" s="1"/>
      <c r="T2481" s="1"/>
      <c r="U2481" s="1"/>
      <c r="V2481" s="1"/>
      <c r="W2481" s="1"/>
      <c r="X2481" s="1" t="s">
        <v>1024</v>
      </c>
      <c r="Y2481" s="1" t="s">
        <v>9503</v>
      </c>
    </row>
    <row r="2482">
      <c r="A2482" s="1">
        <v>5.92281E7</v>
      </c>
      <c r="B2482" s="1" t="s">
        <v>9504</v>
      </c>
      <c r="C2482" s="1" t="s">
        <v>8726</v>
      </c>
      <c r="D2482" s="1" t="s">
        <v>8727</v>
      </c>
      <c r="E2482" s="1" t="s">
        <v>9505</v>
      </c>
      <c r="F2482" s="2" t="str">
        <f>"1368067107"</f>
        <v>1368067107</v>
      </c>
      <c r="G2482" s="2" t="str">
        <f>"9781368067102"</f>
        <v>9781368067102</v>
      </c>
      <c r="H2482" s="1" t="s">
        <v>5575</v>
      </c>
      <c r="I2482" s="1" t="s">
        <v>31</v>
      </c>
      <c r="J2482" s="1">
        <v>217.0</v>
      </c>
      <c r="K2482" s="1">
        <v>2022.0</v>
      </c>
      <c r="L2482" s="1">
        <v>2022.0</v>
      </c>
      <c r="M2482" s="1"/>
      <c r="N2482" s="1"/>
      <c r="O2482" s="1"/>
      <c r="P2482" s="1"/>
      <c r="Q2482" s="1"/>
      <c r="R2482" s="1"/>
      <c r="S2482" s="1"/>
      <c r="T2482" s="1"/>
      <c r="U2482" s="1"/>
      <c r="V2482" s="1"/>
      <c r="W2482" s="1"/>
      <c r="X2482" s="1" t="s">
        <v>161</v>
      </c>
      <c r="Y2482" s="1" t="s">
        <v>9506</v>
      </c>
    </row>
    <row r="2483">
      <c r="A2483" s="1">
        <v>1.7733898E7</v>
      </c>
      <c r="B2483" s="1" t="s">
        <v>9507</v>
      </c>
      <c r="C2483" s="1" t="s">
        <v>332</v>
      </c>
      <c r="D2483" s="1" t="s">
        <v>333</v>
      </c>
      <c r="F2483" s="2" t="str">
        <f>"1419711326"</f>
        <v>1419711326</v>
      </c>
      <c r="G2483" s="2" t="str">
        <f>"9781419711329"</f>
        <v>9781419711329</v>
      </c>
      <c r="H2483" s="1" t="s">
        <v>145</v>
      </c>
      <c r="I2483" s="1" t="s">
        <v>31</v>
      </c>
      <c r="J2483" s="1">
        <v>217.0</v>
      </c>
      <c r="K2483" s="1">
        <v>2013.0</v>
      </c>
      <c r="L2483" s="1">
        <v>2013.0</v>
      </c>
      <c r="M2483" s="1"/>
      <c r="N2483" s="1"/>
      <c r="O2483" s="1"/>
      <c r="P2483" s="1"/>
      <c r="Q2483" s="1"/>
      <c r="R2483" s="1"/>
      <c r="S2483" s="1"/>
      <c r="T2483" s="1"/>
      <c r="U2483" s="1"/>
      <c r="V2483" s="1"/>
      <c r="W2483" s="1"/>
      <c r="X2483" s="1" t="s">
        <v>1397</v>
      </c>
      <c r="Y2483" s="1" t="s">
        <v>9508</v>
      </c>
    </row>
    <row r="2484">
      <c r="A2484" s="1">
        <v>2.1535019E7</v>
      </c>
      <c r="B2484" s="1" t="s">
        <v>9509</v>
      </c>
      <c r="C2484" s="1" t="s">
        <v>332</v>
      </c>
      <c r="D2484" s="1" t="s">
        <v>333</v>
      </c>
      <c r="F2484" s="2" t="str">
        <f>"141971189X"</f>
        <v>141971189X</v>
      </c>
      <c r="G2484" s="2" t="str">
        <f>"9781419711893"</f>
        <v>9781419711893</v>
      </c>
      <c r="H2484" s="1" t="s">
        <v>9510</v>
      </c>
      <c r="I2484" s="1" t="s">
        <v>31</v>
      </c>
      <c r="J2484" s="1">
        <v>217.0</v>
      </c>
      <c r="K2484" s="1">
        <v>2014.0</v>
      </c>
      <c r="L2484" s="1">
        <v>2014.0</v>
      </c>
      <c r="M2484" s="1"/>
      <c r="N2484" s="1"/>
      <c r="O2484" s="1"/>
      <c r="P2484" s="1"/>
      <c r="Q2484" s="1"/>
      <c r="R2484" s="1"/>
      <c r="S2484" s="1"/>
      <c r="T2484" s="1"/>
      <c r="U2484" s="1"/>
      <c r="V2484" s="1"/>
      <c r="W2484" s="1"/>
      <c r="X2484" s="1" t="s">
        <v>9511</v>
      </c>
      <c r="Y2484" s="1" t="s">
        <v>9512</v>
      </c>
    </row>
    <row r="2485">
      <c r="A2485" s="1">
        <v>7823678.0</v>
      </c>
      <c r="B2485" s="1" t="s">
        <v>9513</v>
      </c>
      <c r="C2485" s="1" t="s">
        <v>332</v>
      </c>
      <c r="D2485" s="1" t="s">
        <v>333</v>
      </c>
      <c r="F2485" s="2" t="str">
        <f>"0810984911"</f>
        <v>0810984911</v>
      </c>
      <c r="G2485" s="2" t="str">
        <f>"9780810984912"</f>
        <v>9780810984912</v>
      </c>
      <c r="H2485" s="1" t="s">
        <v>9514</v>
      </c>
      <c r="I2485" s="1" t="s">
        <v>31</v>
      </c>
      <c r="J2485" s="1">
        <v>217.0</v>
      </c>
      <c r="K2485" s="1">
        <v>2010.0</v>
      </c>
      <c r="L2485" s="1">
        <v>2010.0</v>
      </c>
      <c r="M2485" s="1"/>
      <c r="N2485" s="1"/>
      <c r="O2485" s="1"/>
      <c r="P2485" s="1"/>
      <c r="Q2485" s="1"/>
      <c r="R2485" s="1"/>
      <c r="S2485" s="1"/>
      <c r="T2485" s="1"/>
      <c r="U2485" s="1"/>
      <c r="V2485" s="1"/>
      <c r="W2485" s="1"/>
      <c r="X2485" s="1" t="s">
        <v>9511</v>
      </c>
      <c r="Y2485" s="1" t="s">
        <v>9515</v>
      </c>
    </row>
    <row r="2486">
      <c r="A2486" s="1">
        <v>3.0051627E7</v>
      </c>
      <c r="B2486" s="1" t="s">
        <v>9516</v>
      </c>
      <c r="C2486" s="1" t="s">
        <v>332</v>
      </c>
      <c r="D2486" s="1" t="s">
        <v>333</v>
      </c>
      <c r="F2486" s="2" t="str">
        <f t="shared" ref="F2486:G2486" si="159">""</f>
        <v/>
      </c>
      <c r="G2486" s="2" t="str">
        <f t="shared" si="159"/>
        <v/>
      </c>
      <c r="H2486" s="1" t="s">
        <v>9510</v>
      </c>
      <c r="I2486" s="1" t="s">
        <v>31</v>
      </c>
      <c r="J2486" s="1">
        <v>217.0</v>
      </c>
      <c r="K2486" s="1">
        <v>2016.0</v>
      </c>
      <c r="L2486" s="1">
        <v>2016.0</v>
      </c>
      <c r="M2486" s="1"/>
      <c r="N2486" s="1"/>
      <c r="O2486" s="1"/>
      <c r="P2486" s="1"/>
      <c r="Q2486" s="1"/>
      <c r="R2486" s="1"/>
      <c r="S2486" s="1"/>
      <c r="T2486" s="1"/>
      <c r="U2486" s="1"/>
      <c r="V2486" s="1"/>
      <c r="W2486" s="1"/>
      <c r="X2486" s="1" t="s">
        <v>9511</v>
      </c>
      <c r="Y2486" s="1" t="s">
        <v>9517</v>
      </c>
    </row>
    <row r="2487">
      <c r="A2487" s="1">
        <v>6.0484391E7</v>
      </c>
      <c r="B2487" s="1" t="s">
        <v>9518</v>
      </c>
      <c r="C2487" s="1" t="s">
        <v>332</v>
      </c>
      <c r="D2487" s="1" t="s">
        <v>333</v>
      </c>
      <c r="F2487" s="2" t="str">
        <f>"024158308X"</f>
        <v>024158308X</v>
      </c>
      <c r="G2487" s="2" t="str">
        <f>"9780241583081"</f>
        <v>9780241583081</v>
      </c>
      <c r="H2487" s="1" t="s">
        <v>8904</v>
      </c>
      <c r="I2487" s="1" t="s">
        <v>31</v>
      </c>
      <c r="J2487" s="1">
        <v>217.0</v>
      </c>
      <c r="K2487" s="1">
        <v>2022.0</v>
      </c>
      <c r="L2487" s="1">
        <v>2022.0</v>
      </c>
      <c r="M2487" s="1"/>
      <c r="N2487" s="1"/>
      <c r="O2487" s="1"/>
      <c r="P2487" s="1"/>
      <c r="Q2487" s="1"/>
      <c r="R2487" s="1"/>
      <c r="S2487" s="1"/>
      <c r="T2487" s="1"/>
      <c r="U2487" s="1"/>
      <c r="V2487" s="1"/>
      <c r="W2487" s="1"/>
      <c r="X2487" s="1" t="s">
        <v>161</v>
      </c>
      <c r="Y2487" s="1" t="s">
        <v>9519</v>
      </c>
    </row>
    <row r="2488">
      <c r="A2488" s="1">
        <v>3293821.0</v>
      </c>
      <c r="B2488" s="1" t="s">
        <v>9520</v>
      </c>
      <c r="C2488" s="1" t="s">
        <v>332</v>
      </c>
      <c r="D2488" s="1" t="s">
        <v>333</v>
      </c>
      <c r="F2488" s="2" t="str">
        <f>"0810970686"</f>
        <v>0810970686</v>
      </c>
      <c r="G2488" s="2" t="str">
        <f>"9780810970687"</f>
        <v>9780810970687</v>
      </c>
      <c r="H2488" s="1" t="s">
        <v>9510</v>
      </c>
      <c r="I2488" s="1" t="s">
        <v>31</v>
      </c>
      <c r="J2488" s="1">
        <v>218.0</v>
      </c>
      <c r="K2488" s="1">
        <v>2014.0</v>
      </c>
      <c r="L2488" s="1">
        <v>2009.0</v>
      </c>
      <c r="M2488" s="1"/>
      <c r="N2488" s="1"/>
      <c r="O2488" s="1"/>
      <c r="P2488" s="1"/>
      <c r="Q2488" s="1"/>
      <c r="R2488" s="1"/>
      <c r="S2488" s="1"/>
      <c r="T2488" s="1"/>
      <c r="U2488" s="1"/>
      <c r="V2488" s="1"/>
      <c r="W2488" s="1"/>
      <c r="X2488" s="1" t="s">
        <v>9511</v>
      </c>
      <c r="Y2488" s="1" t="s">
        <v>9521</v>
      </c>
    </row>
    <row r="2489">
      <c r="A2489" s="1">
        <v>6578293.0</v>
      </c>
      <c r="B2489" s="1" t="s">
        <v>9522</v>
      </c>
      <c r="C2489" s="1" t="s">
        <v>332</v>
      </c>
      <c r="D2489" s="1" t="s">
        <v>333</v>
      </c>
      <c r="F2489" s="2" t="str">
        <f>"0810983915"</f>
        <v>0810983915</v>
      </c>
      <c r="G2489" s="2" t="str">
        <f>"9780810983915"</f>
        <v>9780810983915</v>
      </c>
      <c r="H2489" s="1" t="s">
        <v>9510</v>
      </c>
      <c r="I2489" s="1" t="s">
        <v>36</v>
      </c>
      <c r="J2489" s="1">
        <v>218.0</v>
      </c>
      <c r="K2489" s="1">
        <v>2009.0</v>
      </c>
      <c r="L2489" s="1">
        <v>2009.0</v>
      </c>
      <c r="M2489" s="1"/>
      <c r="N2489" s="1"/>
      <c r="O2489" s="1"/>
      <c r="P2489" s="1"/>
      <c r="Q2489" s="1"/>
      <c r="R2489" s="1"/>
      <c r="S2489" s="1"/>
      <c r="T2489" s="1"/>
      <c r="U2489" s="1"/>
      <c r="V2489" s="1"/>
      <c r="W2489" s="1"/>
      <c r="X2489" s="1" t="s">
        <v>1397</v>
      </c>
      <c r="Y2489" s="1" t="s">
        <v>9523</v>
      </c>
    </row>
    <row r="2490">
      <c r="A2490" s="1">
        <v>87220.0</v>
      </c>
      <c r="B2490" s="1" t="s">
        <v>9524</v>
      </c>
      <c r="C2490" s="1" t="s">
        <v>8329</v>
      </c>
      <c r="D2490" s="1" t="s">
        <v>8330</v>
      </c>
      <c r="F2490" s="2" t="str">
        <f>"0060540745"</f>
        <v>0060540745</v>
      </c>
      <c r="G2490" s="2" t="str">
        <f>"9780060540746"</f>
        <v>9780060540746</v>
      </c>
      <c r="H2490" s="1" t="s">
        <v>290</v>
      </c>
      <c r="I2490" s="1" t="s">
        <v>400</v>
      </c>
      <c r="J2490" s="1">
        <v>218.0</v>
      </c>
      <c r="K2490" s="1">
        <v>2002.0</v>
      </c>
      <c r="L2490" s="1">
        <v>2002.0</v>
      </c>
      <c r="M2490" s="1"/>
      <c r="N2490" s="1"/>
      <c r="O2490" s="1"/>
      <c r="P2490" s="1"/>
      <c r="Q2490" s="1"/>
      <c r="R2490" s="1"/>
      <c r="S2490" s="1"/>
      <c r="T2490" s="1"/>
      <c r="U2490" s="1"/>
      <c r="V2490" s="1"/>
      <c r="W2490" s="1"/>
      <c r="X2490" s="1" t="s">
        <v>9221</v>
      </c>
      <c r="Y2490" s="1" t="s">
        <v>9525</v>
      </c>
    </row>
    <row r="2491">
      <c r="A2491" s="1">
        <v>2.271014E7</v>
      </c>
      <c r="B2491" s="1" t="s">
        <v>9526</v>
      </c>
      <c r="C2491" s="1" t="s">
        <v>9527</v>
      </c>
      <c r="D2491" s="1" t="s">
        <v>9528</v>
      </c>
      <c r="F2491" s="2" t="str">
        <f>"1449446205"</f>
        <v>1449446205</v>
      </c>
      <c r="G2491" s="2" t="str">
        <f>"9781449446208"</f>
        <v>9781449446208</v>
      </c>
      <c r="H2491" s="1" t="s">
        <v>2052</v>
      </c>
      <c r="I2491" s="1" t="s">
        <v>36</v>
      </c>
      <c r="J2491" s="1">
        <v>222.0</v>
      </c>
      <c r="K2491" s="1">
        <v>2014.0</v>
      </c>
      <c r="M2491" s="1"/>
      <c r="N2491" s="1"/>
      <c r="O2491" s="1"/>
      <c r="P2491" s="1"/>
      <c r="Q2491" s="1"/>
      <c r="R2491" s="1"/>
      <c r="S2491" s="1"/>
      <c r="T2491" s="1"/>
      <c r="U2491" s="1"/>
      <c r="V2491" s="1"/>
      <c r="W2491" s="1"/>
      <c r="X2491" s="1" t="s">
        <v>161</v>
      </c>
      <c r="Y2491" s="1" t="s">
        <v>9529</v>
      </c>
    </row>
    <row r="2492">
      <c r="A2492" s="1">
        <v>4.8693778E7</v>
      </c>
      <c r="B2492" s="1" t="s">
        <v>9530</v>
      </c>
      <c r="C2492" s="1" t="s">
        <v>1262</v>
      </c>
      <c r="D2492" s="1" t="s">
        <v>1263</v>
      </c>
      <c r="F2492" s="2" t="str">
        <f>"1338575783"</f>
        <v>1338575783</v>
      </c>
      <c r="G2492" s="2" t="str">
        <f>"9781338575781"</f>
        <v>9781338575781</v>
      </c>
      <c r="H2492" s="1" t="s">
        <v>2476</v>
      </c>
      <c r="I2492" s="1" t="s">
        <v>36</v>
      </c>
      <c r="J2492" s="1">
        <v>224.0</v>
      </c>
      <c r="K2492" s="1">
        <v>2020.0</v>
      </c>
      <c r="L2492" s="1">
        <v>2020.0</v>
      </c>
      <c r="M2492" s="1"/>
      <c r="N2492" s="1"/>
      <c r="O2492" s="1"/>
      <c r="P2492" s="1"/>
      <c r="Q2492" s="1"/>
      <c r="R2492" s="1"/>
      <c r="S2492" s="1"/>
      <c r="T2492" s="1"/>
      <c r="U2492" s="1"/>
      <c r="V2492" s="1"/>
      <c r="W2492" s="1"/>
      <c r="X2492" s="1" t="s">
        <v>45</v>
      </c>
      <c r="Y2492" s="1" t="s">
        <v>9531</v>
      </c>
    </row>
    <row r="2493">
      <c r="A2493" s="1">
        <v>1754286.0</v>
      </c>
      <c r="B2493" s="1" t="s">
        <v>9532</v>
      </c>
      <c r="C2493" s="1" t="s">
        <v>9533</v>
      </c>
      <c r="D2493" s="1" t="s">
        <v>9534</v>
      </c>
      <c r="E2493" s="1" t="s">
        <v>9535</v>
      </c>
      <c r="F2493" s="2" t="str">
        <f t="shared" ref="F2493:G2493" si="160">""</f>
        <v/>
      </c>
      <c r="G2493" s="2" t="str">
        <f t="shared" si="160"/>
        <v/>
      </c>
      <c r="H2493" s="1" t="s">
        <v>9536</v>
      </c>
      <c r="I2493" s="1" t="s">
        <v>36</v>
      </c>
      <c r="J2493" s="1">
        <v>224.0</v>
      </c>
      <c r="K2493" s="1">
        <v>2007.0</v>
      </c>
      <c r="L2493" s="1">
        <v>2006.0</v>
      </c>
      <c r="M2493" s="1"/>
      <c r="N2493" s="1"/>
      <c r="O2493" s="1"/>
      <c r="P2493" s="1"/>
      <c r="Q2493" s="1"/>
      <c r="R2493" s="1"/>
      <c r="S2493" s="1"/>
      <c r="T2493" s="1"/>
      <c r="U2493" s="1"/>
      <c r="V2493" s="1"/>
      <c r="W2493" s="1"/>
      <c r="X2493" s="1" t="s">
        <v>458</v>
      </c>
      <c r="Y2493" s="1" t="s">
        <v>9537</v>
      </c>
    </row>
    <row r="2494">
      <c r="A2494" s="1">
        <v>5.5977885E7</v>
      </c>
      <c r="B2494" s="1" t="s">
        <v>9538</v>
      </c>
      <c r="C2494" s="1" t="s">
        <v>9539</v>
      </c>
      <c r="D2494" s="1" t="s">
        <v>9540</v>
      </c>
      <c r="F2494" s="2" t="str">
        <f>"1338678884"</f>
        <v>1338678884</v>
      </c>
      <c r="G2494" s="2" t="str">
        <f>"9781338678888"</f>
        <v>9781338678888</v>
      </c>
      <c r="H2494" s="1" t="s">
        <v>857</v>
      </c>
      <c r="I2494" s="1" t="s">
        <v>31</v>
      </c>
      <c r="J2494" s="1">
        <v>224.0</v>
      </c>
      <c r="K2494" s="1">
        <v>2022.0</v>
      </c>
      <c r="L2494" s="1">
        <v>2022.0</v>
      </c>
      <c r="M2494" s="1"/>
      <c r="N2494" s="1"/>
      <c r="O2494" s="1"/>
      <c r="P2494" s="1"/>
      <c r="Q2494" s="1"/>
      <c r="R2494" s="1"/>
      <c r="S2494" s="1"/>
      <c r="T2494" s="1"/>
      <c r="U2494" s="1"/>
      <c r="V2494" s="1"/>
      <c r="W2494" s="1"/>
      <c r="X2494" s="1" t="s">
        <v>8068</v>
      </c>
      <c r="Y2494" s="1" t="s">
        <v>9541</v>
      </c>
    </row>
    <row r="2495">
      <c r="A2495" s="1">
        <v>5.2381066E7</v>
      </c>
      <c r="B2495" s="1" t="s">
        <v>9542</v>
      </c>
      <c r="C2495" s="1" t="s">
        <v>8419</v>
      </c>
      <c r="D2495" s="1" t="s">
        <v>8420</v>
      </c>
      <c r="F2495" s="2" t="str">
        <f>"1250212766"</f>
        <v>1250212766</v>
      </c>
      <c r="G2495" s="2" t="str">
        <f>"9781250212764"</f>
        <v>9781250212764</v>
      </c>
      <c r="H2495" s="1" t="s">
        <v>399</v>
      </c>
      <c r="I2495" s="1" t="s">
        <v>31</v>
      </c>
      <c r="J2495" s="1">
        <v>224.0</v>
      </c>
      <c r="K2495" s="1">
        <v>2020.0</v>
      </c>
      <c r="L2495" s="1">
        <v>2020.0</v>
      </c>
      <c r="M2495" s="1"/>
      <c r="N2495" s="1"/>
      <c r="O2495" s="1"/>
      <c r="P2495" s="1"/>
      <c r="Q2495" s="1"/>
      <c r="R2495" s="1"/>
      <c r="S2495" s="1"/>
      <c r="T2495" s="1"/>
      <c r="U2495" s="1"/>
      <c r="V2495" s="1"/>
      <c r="W2495" s="1"/>
      <c r="X2495" s="1" t="s">
        <v>45</v>
      </c>
      <c r="Y2495" s="1" t="s">
        <v>9543</v>
      </c>
    </row>
    <row r="2496">
      <c r="A2496" s="1">
        <v>89551.0</v>
      </c>
      <c r="B2496" s="1" t="s">
        <v>9544</v>
      </c>
      <c r="C2496" s="1" t="s">
        <v>2902</v>
      </c>
      <c r="D2496" s="1" t="s">
        <v>2903</v>
      </c>
      <c r="F2496" s="2" t="str">
        <f t="shared" ref="F2496:G2496" si="161">""</f>
        <v/>
      </c>
      <c r="G2496" s="2" t="str">
        <f t="shared" si="161"/>
        <v/>
      </c>
      <c r="H2496" s="1" t="s">
        <v>290</v>
      </c>
      <c r="I2496" s="1" t="s">
        <v>36</v>
      </c>
      <c r="J2496" s="1">
        <v>224.0</v>
      </c>
      <c r="K2496" s="1">
        <v>2013.0</v>
      </c>
      <c r="L2496" s="1">
        <v>1979.0</v>
      </c>
      <c r="M2496" s="1"/>
      <c r="N2496" s="1"/>
      <c r="O2496" s="1"/>
      <c r="P2496" s="1"/>
      <c r="Q2496" s="1"/>
      <c r="R2496" s="1"/>
      <c r="S2496" s="1"/>
      <c r="T2496" s="1"/>
      <c r="U2496" s="1"/>
      <c r="V2496" s="1"/>
      <c r="W2496" s="1"/>
      <c r="X2496" s="1" t="s">
        <v>8451</v>
      </c>
      <c r="Y2496" s="1" t="s">
        <v>9545</v>
      </c>
    </row>
    <row r="2497">
      <c r="A2497" s="1">
        <v>235117.0</v>
      </c>
      <c r="B2497" s="1" t="s">
        <v>9546</v>
      </c>
      <c r="C2497" s="1" t="s">
        <v>9547</v>
      </c>
      <c r="D2497" s="1" t="s">
        <v>9548</v>
      </c>
      <c r="F2497" s="2" t="str">
        <f>"0689851863"</f>
        <v>0689851863</v>
      </c>
      <c r="G2497" s="2" t="str">
        <f>"9780689851865"</f>
        <v>9780689851865</v>
      </c>
      <c r="H2497" s="1" t="s">
        <v>2537</v>
      </c>
      <c r="I2497" s="1" t="s">
        <v>36</v>
      </c>
      <c r="J2497" s="1">
        <v>224.0</v>
      </c>
      <c r="K2497" s="1">
        <v>2002.0</v>
      </c>
      <c r="L2497" s="1">
        <v>2001.0</v>
      </c>
      <c r="M2497" s="1"/>
      <c r="N2497" s="1"/>
      <c r="O2497" s="1"/>
      <c r="P2497" s="1"/>
      <c r="Q2497" s="1"/>
      <c r="R2497" s="1"/>
      <c r="S2497" s="1"/>
      <c r="T2497" s="1"/>
      <c r="U2497" s="1"/>
      <c r="V2497" s="1"/>
      <c r="W2497" s="1"/>
      <c r="X2497" s="1" t="s">
        <v>45</v>
      </c>
      <c r="Y2497" s="1" t="s">
        <v>9549</v>
      </c>
    </row>
    <row r="2498">
      <c r="A2498" s="1">
        <v>5.0550344E7</v>
      </c>
      <c r="B2498" s="1" t="s">
        <v>9550</v>
      </c>
      <c r="C2498" s="1" t="s">
        <v>8858</v>
      </c>
      <c r="D2498" s="1" t="s">
        <v>8859</v>
      </c>
      <c r="F2498" s="2" t="str">
        <f>"1416983163"</f>
        <v>1416983163</v>
      </c>
      <c r="G2498" s="2" t="str">
        <f>"9781416983163"</f>
        <v>9781416983163</v>
      </c>
      <c r="H2498" s="1" t="s">
        <v>3030</v>
      </c>
      <c r="I2498" s="1" t="s">
        <v>31</v>
      </c>
      <c r="J2498" s="1">
        <v>224.0</v>
      </c>
      <c r="K2498" s="1">
        <v>2020.0</v>
      </c>
      <c r="L2498" s="1">
        <v>2020.0</v>
      </c>
      <c r="M2498" s="1"/>
      <c r="N2498" s="1"/>
      <c r="O2498" s="1"/>
      <c r="P2498" s="1"/>
      <c r="Q2498" s="1"/>
      <c r="R2498" s="1"/>
      <c r="S2498" s="1"/>
      <c r="T2498" s="1"/>
      <c r="U2498" s="1"/>
      <c r="V2498" s="1"/>
      <c r="W2498" s="1"/>
      <c r="X2498" s="1" t="s">
        <v>8877</v>
      </c>
      <c r="Y2498" s="1" t="s">
        <v>9551</v>
      </c>
    </row>
    <row r="2499">
      <c r="A2499" s="1">
        <v>394920.0</v>
      </c>
      <c r="B2499" s="1" t="s">
        <v>9552</v>
      </c>
      <c r="C2499" s="1" t="s">
        <v>9553</v>
      </c>
      <c r="D2499" s="1" t="s">
        <v>9554</v>
      </c>
      <c r="E2499" s="1" t="s">
        <v>2739</v>
      </c>
      <c r="F2499" s="2" t="str">
        <f>"0689821727"</f>
        <v>0689821727</v>
      </c>
      <c r="G2499" s="2" t="str">
        <f>"9780689821721"</f>
        <v>9780689821721</v>
      </c>
      <c r="H2499" s="1" t="s">
        <v>2496</v>
      </c>
      <c r="I2499" s="1" t="s">
        <v>36</v>
      </c>
      <c r="J2499" s="1">
        <v>224.0</v>
      </c>
      <c r="K2499" s="1">
        <v>1998.0</v>
      </c>
      <c r="L2499" s="1">
        <v>1995.0</v>
      </c>
      <c r="M2499" s="1"/>
      <c r="N2499" s="1"/>
      <c r="O2499" s="1"/>
      <c r="P2499" s="1"/>
      <c r="Q2499" s="1"/>
      <c r="R2499" s="1"/>
      <c r="S2499" s="1"/>
      <c r="T2499" s="1"/>
      <c r="U2499" s="1"/>
      <c r="V2499" s="1"/>
      <c r="W2499" s="1"/>
      <c r="X2499" s="1" t="s">
        <v>458</v>
      </c>
      <c r="Y2499" s="1" t="s">
        <v>9555</v>
      </c>
    </row>
    <row r="2500">
      <c r="A2500" s="1">
        <v>1.6057381E7</v>
      </c>
      <c r="B2500" s="1" t="s">
        <v>9556</v>
      </c>
      <c r="C2500" s="1" t="s">
        <v>9410</v>
      </c>
      <c r="D2500" s="1" t="s">
        <v>9411</v>
      </c>
      <c r="F2500" s="2" t="str">
        <f>"1935955462"</f>
        <v>1935955462</v>
      </c>
      <c r="G2500" s="2" t="str">
        <f>"9781935955467"</f>
        <v>9781935955467</v>
      </c>
      <c r="H2500" s="1" t="s">
        <v>2515</v>
      </c>
      <c r="I2500" s="1" t="s">
        <v>36</v>
      </c>
      <c r="J2500" s="1">
        <v>224.0</v>
      </c>
      <c r="K2500" s="1">
        <v>2013.0</v>
      </c>
      <c r="L2500" s="1">
        <v>2013.0</v>
      </c>
      <c r="M2500" s="1"/>
      <c r="N2500" s="1"/>
      <c r="O2500" s="1"/>
      <c r="P2500" s="1"/>
      <c r="Q2500" s="1"/>
      <c r="R2500" s="1"/>
      <c r="S2500" s="1"/>
      <c r="T2500" s="1"/>
      <c r="U2500" s="1"/>
      <c r="V2500" s="1"/>
      <c r="W2500" s="1"/>
      <c r="X2500" s="1" t="s">
        <v>852</v>
      </c>
      <c r="Y2500" s="1" t="s">
        <v>9557</v>
      </c>
    </row>
    <row r="2501">
      <c r="A2501" s="1">
        <v>1.3170037E7</v>
      </c>
      <c r="B2501" s="1" t="s">
        <v>9558</v>
      </c>
      <c r="C2501" s="1" t="s">
        <v>9559</v>
      </c>
      <c r="D2501" s="1" t="s">
        <v>9560</v>
      </c>
      <c r="F2501" s="2" t="str">
        <f>"1596438061"</f>
        <v>1596438061</v>
      </c>
      <c r="G2501" s="2" t="str">
        <f>"9781596438064"</f>
        <v>9781596438064</v>
      </c>
      <c r="H2501" s="1" t="s">
        <v>340</v>
      </c>
      <c r="I2501" s="1" t="s">
        <v>31</v>
      </c>
      <c r="J2501" s="1">
        <v>224.0</v>
      </c>
      <c r="K2501" s="1">
        <v>2012.0</v>
      </c>
      <c r="L2501" s="1">
        <v>2012.0</v>
      </c>
      <c r="M2501" s="1"/>
      <c r="N2501" s="1"/>
      <c r="O2501" s="1"/>
      <c r="P2501" s="1"/>
      <c r="Q2501" s="1"/>
      <c r="R2501" s="1"/>
      <c r="S2501" s="1"/>
      <c r="T2501" s="1"/>
      <c r="U2501" s="1"/>
      <c r="V2501" s="1"/>
      <c r="W2501" s="1"/>
      <c r="X2501" s="1" t="s">
        <v>7953</v>
      </c>
      <c r="Y2501" s="1" t="s">
        <v>9561</v>
      </c>
    </row>
    <row r="2502">
      <c r="A2502" s="1">
        <v>5.5977793E7</v>
      </c>
      <c r="B2502" s="1" t="s">
        <v>9562</v>
      </c>
      <c r="C2502" s="1" t="s">
        <v>7919</v>
      </c>
      <c r="D2502" s="1" t="s">
        <v>7920</v>
      </c>
      <c r="E2502" s="1" t="s">
        <v>7921</v>
      </c>
      <c r="F2502" s="2" t="str">
        <f>"1338233181"</f>
        <v>1338233181</v>
      </c>
      <c r="G2502" s="2" t="str">
        <f>"9781338233186"</f>
        <v>9781338233186</v>
      </c>
      <c r="H2502" s="1" t="s">
        <v>640</v>
      </c>
      <c r="I2502" s="1" t="s">
        <v>31</v>
      </c>
      <c r="J2502" s="1">
        <v>224.0</v>
      </c>
      <c r="K2502" s="1">
        <v>2021.0</v>
      </c>
      <c r="L2502" s="1">
        <v>2021.0</v>
      </c>
      <c r="M2502" s="1"/>
      <c r="N2502" s="1"/>
      <c r="O2502" s="1"/>
      <c r="P2502" s="1"/>
      <c r="Q2502" s="1"/>
      <c r="R2502" s="1"/>
      <c r="S2502" s="1"/>
      <c r="T2502" s="1"/>
      <c r="U2502" s="1"/>
      <c r="V2502" s="1"/>
      <c r="W2502" s="1"/>
      <c r="X2502" s="1" t="s">
        <v>161</v>
      </c>
      <c r="Y2502" s="1" t="s">
        <v>9563</v>
      </c>
    </row>
    <row r="2503">
      <c r="A2503" s="1">
        <v>5.8719121E7</v>
      </c>
      <c r="B2503" s="1" t="s">
        <v>9564</v>
      </c>
      <c r="C2503" s="1" t="s">
        <v>6033</v>
      </c>
      <c r="D2503" s="1" t="s">
        <v>6034</v>
      </c>
      <c r="F2503" s="2" t="str">
        <f>"133836023X"</f>
        <v>133836023X</v>
      </c>
      <c r="G2503" s="2" t="str">
        <f>"9781338360233"</f>
        <v>9781338360233</v>
      </c>
      <c r="H2503" s="1" t="s">
        <v>9565</v>
      </c>
      <c r="I2503" s="1" t="s">
        <v>91</v>
      </c>
      <c r="J2503" s="1">
        <v>224.0</v>
      </c>
      <c r="K2503" s="1">
        <v>2022.0</v>
      </c>
      <c r="M2503" s="1"/>
      <c r="N2503" s="1"/>
      <c r="O2503" s="1"/>
      <c r="P2503" s="1"/>
      <c r="Q2503" s="1"/>
      <c r="R2503" s="1"/>
      <c r="S2503" s="1"/>
      <c r="T2503" s="1"/>
      <c r="U2503" s="1"/>
      <c r="V2503" s="1"/>
      <c r="W2503" s="1"/>
      <c r="X2503" s="1" t="s">
        <v>609</v>
      </c>
      <c r="Y2503" s="1" t="s">
        <v>9566</v>
      </c>
    </row>
    <row r="2504">
      <c r="A2504" s="1">
        <v>5.5977817E7</v>
      </c>
      <c r="B2504" s="1" t="s">
        <v>9567</v>
      </c>
      <c r="C2504" s="1" t="s">
        <v>6033</v>
      </c>
      <c r="D2504" s="1" t="s">
        <v>6034</v>
      </c>
      <c r="F2504" s="2" t="str">
        <f>"1338360221"</f>
        <v>1338360221</v>
      </c>
      <c r="G2504" s="2" t="str">
        <f>"9781338360226"</f>
        <v>9781338360226</v>
      </c>
      <c r="H2504" s="1" t="s">
        <v>9565</v>
      </c>
      <c r="I2504" s="1" t="s">
        <v>36</v>
      </c>
      <c r="J2504" s="1">
        <v>224.0</v>
      </c>
      <c r="K2504" s="1">
        <v>2021.0</v>
      </c>
      <c r="M2504" s="1"/>
      <c r="N2504" s="1"/>
      <c r="O2504" s="1"/>
      <c r="P2504" s="1"/>
      <c r="Q2504" s="1"/>
      <c r="R2504" s="1"/>
      <c r="S2504" s="1"/>
      <c r="T2504" s="1"/>
      <c r="U2504" s="1"/>
      <c r="V2504" s="1"/>
      <c r="W2504" s="1"/>
      <c r="X2504" s="1" t="s">
        <v>609</v>
      </c>
      <c r="Y2504" s="1" t="s">
        <v>9568</v>
      </c>
    </row>
    <row r="2505">
      <c r="A2505" s="1">
        <v>2.924131E7</v>
      </c>
      <c r="B2505" s="1" t="s">
        <v>9569</v>
      </c>
      <c r="C2505" s="1" t="s">
        <v>9570</v>
      </c>
      <c r="D2505" s="1" t="s">
        <v>9571</v>
      </c>
      <c r="F2505" s="2" t="str">
        <f>"0545924049"</f>
        <v>0545924049</v>
      </c>
      <c r="G2505" s="2" t="str">
        <f>"9780545924047"</f>
        <v>9780545924047</v>
      </c>
      <c r="H2505" s="1" t="s">
        <v>857</v>
      </c>
      <c r="I2505" s="1" t="s">
        <v>31</v>
      </c>
      <c r="J2505" s="1">
        <v>224.0</v>
      </c>
      <c r="K2505" s="1">
        <v>2016.0</v>
      </c>
      <c r="L2505" s="1">
        <v>2016.0</v>
      </c>
      <c r="M2505" s="1"/>
      <c r="N2505" s="1"/>
      <c r="O2505" s="1"/>
      <c r="P2505" s="1"/>
      <c r="Q2505" s="1"/>
      <c r="R2505" s="1"/>
      <c r="S2505" s="1"/>
      <c r="T2505" s="1"/>
      <c r="U2505" s="1"/>
      <c r="V2505" s="1"/>
      <c r="W2505" s="1"/>
      <c r="X2505" s="1" t="s">
        <v>609</v>
      </c>
      <c r="Y2505" s="1" t="s">
        <v>9572</v>
      </c>
    </row>
    <row r="2506">
      <c r="A2506" s="1">
        <v>4.3120234E7</v>
      </c>
      <c r="B2506" s="1" t="s">
        <v>9573</v>
      </c>
      <c r="C2506" s="1" t="s">
        <v>332</v>
      </c>
      <c r="D2506" s="1" t="s">
        <v>333</v>
      </c>
      <c r="F2506" s="2" t="str">
        <f>"141974027X"</f>
        <v>141974027X</v>
      </c>
      <c r="G2506" s="2" t="str">
        <f>"9781419740275"</f>
        <v>9781419740275</v>
      </c>
      <c r="H2506" s="1" t="s">
        <v>9510</v>
      </c>
      <c r="I2506" s="1" t="s">
        <v>31</v>
      </c>
      <c r="J2506" s="1">
        <v>224.0</v>
      </c>
      <c r="K2506" s="1">
        <v>2019.0</v>
      </c>
      <c r="L2506" s="1">
        <v>2019.0</v>
      </c>
      <c r="M2506" s="1"/>
      <c r="N2506" s="1"/>
      <c r="O2506" s="1"/>
      <c r="P2506" s="1"/>
      <c r="Q2506" s="1"/>
      <c r="R2506" s="1"/>
      <c r="S2506" s="1"/>
      <c r="T2506" s="1"/>
      <c r="U2506" s="1"/>
      <c r="V2506" s="1"/>
      <c r="W2506" s="1"/>
      <c r="X2506" s="1" t="s">
        <v>9511</v>
      </c>
      <c r="Y2506" s="1" t="s">
        <v>9574</v>
      </c>
    </row>
    <row r="2507">
      <c r="A2507" s="1">
        <v>3157876.0</v>
      </c>
      <c r="B2507" s="1" t="s">
        <v>9575</v>
      </c>
      <c r="C2507" s="1" t="s">
        <v>332</v>
      </c>
      <c r="D2507" s="1" t="s">
        <v>333</v>
      </c>
      <c r="F2507" s="2" t="str">
        <f>"0810979772"</f>
        <v>0810979772</v>
      </c>
      <c r="G2507" s="2" t="str">
        <f>"9780810979772"</f>
        <v>9780810979772</v>
      </c>
      <c r="H2507" s="1" t="s">
        <v>9510</v>
      </c>
      <c r="I2507" s="1" t="s">
        <v>31</v>
      </c>
      <c r="J2507" s="1">
        <v>224.0</v>
      </c>
      <c r="K2507" s="1">
        <v>2008.0</v>
      </c>
      <c r="L2507" s="1">
        <v>2008.0</v>
      </c>
      <c r="M2507" s="1"/>
      <c r="N2507" s="1"/>
      <c r="O2507" s="1"/>
      <c r="P2507" s="1"/>
      <c r="Q2507" s="1"/>
      <c r="R2507" s="1"/>
      <c r="S2507" s="1"/>
      <c r="T2507" s="1"/>
      <c r="U2507" s="1"/>
      <c r="V2507" s="1"/>
      <c r="W2507" s="1"/>
      <c r="X2507" s="1" t="s">
        <v>9511</v>
      </c>
      <c r="Y2507" s="1" t="s">
        <v>9576</v>
      </c>
    </row>
    <row r="2508">
      <c r="A2508" s="1">
        <v>1.125425E7</v>
      </c>
      <c r="B2508" s="1" t="s">
        <v>9577</v>
      </c>
      <c r="C2508" s="1" t="s">
        <v>332</v>
      </c>
      <c r="D2508" s="1" t="s">
        <v>333</v>
      </c>
      <c r="F2508" s="2" t="str">
        <f>"1419702238"</f>
        <v>1419702238</v>
      </c>
      <c r="G2508" s="2" t="str">
        <f>"9781419702235"</f>
        <v>9781419702235</v>
      </c>
      <c r="H2508" s="1" t="s">
        <v>9510</v>
      </c>
      <c r="I2508" s="1" t="s">
        <v>31</v>
      </c>
      <c r="J2508" s="1">
        <v>224.0</v>
      </c>
      <c r="K2508" s="1">
        <v>2011.0</v>
      </c>
      <c r="L2508" s="1">
        <v>2011.0</v>
      </c>
      <c r="M2508" s="1"/>
      <c r="N2508" s="1"/>
      <c r="O2508" s="1"/>
      <c r="P2508" s="1"/>
      <c r="Q2508" s="1"/>
      <c r="R2508" s="1"/>
      <c r="S2508" s="1"/>
      <c r="T2508" s="1"/>
      <c r="U2508" s="1"/>
      <c r="V2508" s="1"/>
      <c r="W2508" s="1"/>
      <c r="X2508" s="1" t="s">
        <v>9511</v>
      </c>
      <c r="Y2508" s="1" t="s">
        <v>9578</v>
      </c>
    </row>
    <row r="2509">
      <c r="A2509" s="1">
        <v>1.3563669E7</v>
      </c>
      <c r="B2509" s="1" t="s">
        <v>9579</v>
      </c>
      <c r="C2509" s="1" t="s">
        <v>332</v>
      </c>
      <c r="D2509" s="1" t="s">
        <v>333</v>
      </c>
      <c r="F2509" s="2" t="str">
        <f>"1419705849"</f>
        <v>1419705849</v>
      </c>
      <c r="G2509" s="2" t="str">
        <f>"9781419705847"</f>
        <v>9781419705847</v>
      </c>
      <c r="H2509" s="1" t="s">
        <v>9510</v>
      </c>
      <c r="I2509" s="1" t="s">
        <v>31</v>
      </c>
      <c r="J2509" s="1">
        <v>224.0</v>
      </c>
      <c r="K2509" s="1">
        <v>2012.0</v>
      </c>
      <c r="L2509" s="1">
        <v>2012.0</v>
      </c>
      <c r="M2509" s="1"/>
      <c r="N2509" s="1"/>
      <c r="O2509" s="1"/>
      <c r="P2509" s="1"/>
      <c r="Q2509" s="1"/>
      <c r="R2509" s="1"/>
      <c r="S2509" s="1"/>
      <c r="T2509" s="1"/>
      <c r="U2509" s="1"/>
      <c r="V2509" s="1"/>
      <c r="W2509" s="1"/>
      <c r="X2509" s="1" t="s">
        <v>9511</v>
      </c>
      <c r="Y2509" s="1" t="s">
        <v>9580</v>
      </c>
    </row>
    <row r="2510">
      <c r="A2510" s="1">
        <v>5.6488376E7</v>
      </c>
      <c r="B2510" s="1" t="s">
        <v>9581</v>
      </c>
      <c r="C2510" s="1" t="s">
        <v>332</v>
      </c>
      <c r="D2510" s="1" t="s">
        <v>333</v>
      </c>
      <c r="F2510" s="2" t="str">
        <f>"1647004160"</f>
        <v>1647004160</v>
      </c>
      <c r="G2510" s="2" t="str">
        <f>"9781647004163"</f>
        <v>9781647004163</v>
      </c>
      <c r="H2510" s="1" t="s">
        <v>9510</v>
      </c>
      <c r="I2510" s="1" t="s">
        <v>238</v>
      </c>
      <c r="J2510" s="1">
        <v>224.0</v>
      </c>
      <c r="K2510" s="1">
        <v>2021.0</v>
      </c>
      <c r="L2510" s="1">
        <v>2021.0</v>
      </c>
      <c r="M2510" s="1"/>
      <c r="N2510" s="1"/>
      <c r="O2510" s="1"/>
      <c r="P2510" s="1"/>
      <c r="Q2510" s="1"/>
      <c r="R2510" s="1"/>
      <c r="S2510" s="1"/>
      <c r="T2510" s="1"/>
      <c r="U2510" s="1"/>
      <c r="V2510" s="1"/>
      <c r="W2510" s="1"/>
      <c r="X2510" s="1" t="s">
        <v>1254</v>
      </c>
      <c r="Y2510" s="1" t="s">
        <v>9582</v>
      </c>
    </row>
    <row r="2511">
      <c r="A2511" s="1">
        <v>3.5887167E7</v>
      </c>
      <c r="B2511" s="1" t="s">
        <v>9583</v>
      </c>
      <c r="C2511" s="1" t="s">
        <v>9584</v>
      </c>
      <c r="D2511" s="1" t="s">
        <v>9585</v>
      </c>
      <c r="F2511" s="2" t="str">
        <f>"0062484966"</f>
        <v>0062484966</v>
      </c>
      <c r="G2511" s="2" t="str">
        <f>"9780062484963"</f>
        <v>9780062484963</v>
      </c>
      <c r="H2511" s="1" t="s">
        <v>9586</v>
      </c>
      <c r="I2511" s="1" t="s">
        <v>36</v>
      </c>
      <c r="J2511" s="1">
        <v>224.0</v>
      </c>
      <c r="K2511" s="1">
        <v>2018.0</v>
      </c>
      <c r="L2511" s="1">
        <v>2018.0</v>
      </c>
      <c r="M2511" s="1"/>
      <c r="N2511" s="1"/>
      <c r="O2511" s="1"/>
      <c r="P2511" s="1"/>
      <c r="Q2511" s="1"/>
      <c r="R2511" s="1"/>
      <c r="S2511" s="1"/>
      <c r="T2511" s="1"/>
      <c r="U2511" s="1"/>
      <c r="V2511" s="1"/>
      <c r="W2511" s="1"/>
      <c r="X2511" s="1" t="s">
        <v>458</v>
      </c>
      <c r="Y2511" s="1" t="s">
        <v>9587</v>
      </c>
    </row>
    <row r="2512">
      <c r="A2512" s="1">
        <v>4.0410345E7</v>
      </c>
      <c r="B2512" s="1" t="s">
        <v>9588</v>
      </c>
      <c r="C2512" s="1" t="s">
        <v>9589</v>
      </c>
      <c r="D2512" s="1" t="s">
        <v>9590</v>
      </c>
      <c r="E2512" s="1" t="s">
        <v>9591</v>
      </c>
      <c r="F2512" s="2" t="str">
        <f>"1524787205"</f>
        <v>1524787205</v>
      </c>
      <c r="G2512" s="2" t="str">
        <f>"9781524787202"</f>
        <v>9781524787202</v>
      </c>
      <c r="H2512" s="1" t="s">
        <v>7281</v>
      </c>
      <c r="I2512" s="1" t="s">
        <v>31</v>
      </c>
      <c r="J2512" s="1">
        <v>224.0</v>
      </c>
      <c r="K2512" s="1">
        <v>2019.0</v>
      </c>
      <c r="L2512" s="1">
        <v>2019.0</v>
      </c>
      <c r="M2512" s="1"/>
      <c r="N2512" s="1"/>
      <c r="O2512" s="1"/>
      <c r="P2512" s="1"/>
      <c r="Q2512" s="1"/>
      <c r="R2512" s="1"/>
      <c r="S2512" s="1"/>
      <c r="T2512" s="1"/>
      <c r="U2512" s="1"/>
      <c r="V2512" s="1"/>
      <c r="W2512" s="1"/>
      <c r="X2512" s="1" t="s">
        <v>2167</v>
      </c>
      <c r="Y2512" s="1" t="s">
        <v>9592</v>
      </c>
    </row>
    <row r="2513">
      <c r="A2513" s="1">
        <v>4.9822915E7</v>
      </c>
      <c r="B2513" s="1" t="s">
        <v>9593</v>
      </c>
      <c r="C2513" s="1" t="s">
        <v>9441</v>
      </c>
      <c r="D2513" s="1" t="s">
        <v>9442</v>
      </c>
      <c r="F2513" s="2" t="str">
        <f>"1338587668"</f>
        <v>1338587668</v>
      </c>
      <c r="G2513" s="2" t="str">
        <f>"9781338587661"</f>
        <v>9781338587661</v>
      </c>
      <c r="H2513" s="1" t="s">
        <v>817</v>
      </c>
      <c r="I2513" s="1" t="s">
        <v>36</v>
      </c>
      <c r="J2513" s="1">
        <v>224.0</v>
      </c>
      <c r="K2513" s="1">
        <v>2020.0</v>
      </c>
      <c r="M2513" s="1"/>
      <c r="N2513" s="1"/>
      <c r="O2513" s="1"/>
      <c r="P2513" s="1"/>
      <c r="Q2513" s="1"/>
      <c r="R2513" s="1"/>
      <c r="S2513" s="1"/>
      <c r="T2513" s="1"/>
      <c r="U2513" s="1"/>
      <c r="V2513" s="1"/>
      <c r="W2513" s="1"/>
      <c r="X2513" s="1" t="s">
        <v>9221</v>
      </c>
      <c r="Y2513" s="1" t="s">
        <v>9594</v>
      </c>
    </row>
    <row r="2514">
      <c r="A2514" s="1">
        <v>800701.0</v>
      </c>
      <c r="B2514" s="1" t="s">
        <v>9595</v>
      </c>
      <c r="C2514" s="1" t="s">
        <v>9596</v>
      </c>
      <c r="D2514" s="1" t="s">
        <v>9597</v>
      </c>
      <c r="E2514" s="1" t="s">
        <v>9598</v>
      </c>
      <c r="F2514" s="2" t="str">
        <f>"0590477013"</f>
        <v>0590477013</v>
      </c>
      <c r="G2514" s="2" t="str">
        <f>"9780590477017"</f>
        <v>9780590477017</v>
      </c>
      <c r="H2514" s="1" t="s">
        <v>857</v>
      </c>
      <c r="I2514" s="1" t="s">
        <v>400</v>
      </c>
      <c r="J2514" s="1">
        <v>224.0</v>
      </c>
      <c r="K2514" s="1">
        <v>2003.0</v>
      </c>
      <c r="L2514" s="1">
        <v>1992.0</v>
      </c>
      <c r="M2514" s="1"/>
      <c r="N2514" s="1"/>
      <c r="O2514" s="1"/>
      <c r="P2514" s="1"/>
      <c r="Q2514" s="1"/>
      <c r="R2514" s="1"/>
      <c r="S2514" s="1"/>
      <c r="T2514" s="1"/>
      <c r="U2514" s="1"/>
      <c r="V2514" s="1"/>
      <c r="W2514" s="1"/>
      <c r="X2514" s="1" t="s">
        <v>8702</v>
      </c>
      <c r="Y2514" s="1" t="s">
        <v>9599</v>
      </c>
    </row>
    <row r="2515">
      <c r="A2515" s="1">
        <v>2.6154245E7</v>
      </c>
      <c r="B2515" s="1" t="s">
        <v>9600</v>
      </c>
      <c r="C2515" s="1" t="s">
        <v>6234</v>
      </c>
      <c r="D2515" s="1" t="s">
        <v>6235</v>
      </c>
      <c r="E2515" s="1" t="s">
        <v>9601</v>
      </c>
      <c r="F2515" s="2" t="str">
        <f>"0545094682"</f>
        <v>0545094682</v>
      </c>
      <c r="G2515" s="2" t="str">
        <f>"9780545094689"</f>
        <v>9780545094689</v>
      </c>
      <c r="H2515" s="1" t="s">
        <v>857</v>
      </c>
      <c r="I2515" s="1" t="s">
        <v>31</v>
      </c>
      <c r="J2515" s="1">
        <v>224.0</v>
      </c>
      <c r="K2515" s="1">
        <v>2016.0</v>
      </c>
      <c r="L2515" s="1">
        <v>2016.0</v>
      </c>
      <c r="M2515" s="1"/>
      <c r="N2515" s="1"/>
      <c r="O2515" s="1"/>
      <c r="P2515" s="1"/>
      <c r="Q2515" s="1"/>
      <c r="R2515" s="1"/>
      <c r="S2515" s="1"/>
      <c r="T2515" s="1"/>
      <c r="U2515" s="1"/>
      <c r="V2515" s="1"/>
      <c r="W2515" s="1"/>
      <c r="X2515" s="1" t="s">
        <v>609</v>
      </c>
      <c r="Y2515" s="1" t="s">
        <v>9602</v>
      </c>
    </row>
    <row r="2516">
      <c r="A2516" s="1">
        <v>6.1371839E7</v>
      </c>
      <c r="B2516" s="1" t="s">
        <v>9603</v>
      </c>
      <c r="C2516" s="1" t="s">
        <v>9490</v>
      </c>
      <c r="D2516" s="1" t="s">
        <v>9491</v>
      </c>
      <c r="F2516" s="2" t="str">
        <f>"1524881449"</f>
        <v>1524881449</v>
      </c>
      <c r="G2516" s="2" t="str">
        <f>"9781524881443"</f>
        <v>9781524881443</v>
      </c>
      <c r="H2516" s="1" t="s">
        <v>2052</v>
      </c>
      <c r="I2516" s="1" t="s">
        <v>238</v>
      </c>
      <c r="J2516" s="1">
        <v>224.0</v>
      </c>
      <c r="K2516" s="1">
        <v>2022.0</v>
      </c>
      <c r="M2516" s="1"/>
      <c r="N2516" s="1"/>
      <c r="O2516" s="1"/>
      <c r="P2516" s="1"/>
      <c r="Q2516" s="1"/>
      <c r="R2516" s="1"/>
      <c r="S2516" s="1"/>
      <c r="T2516" s="1"/>
      <c r="U2516" s="1"/>
      <c r="V2516" s="1"/>
      <c r="W2516" s="1"/>
      <c r="X2516" s="1" t="s">
        <v>7609</v>
      </c>
      <c r="Y2516" s="1" t="s">
        <v>9604</v>
      </c>
    </row>
    <row r="2517">
      <c r="A2517" s="1">
        <v>1.3573593E7</v>
      </c>
      <c r="B2517" s="1" t="s">
        <v>9605</v>
      </c>
      <c r="C2517" s="1" t="s">
        <v>9490</v>
      </c>
      <c r="D2517" s="1" t="s">
        <v>9491</v>
      </c>
      <c r="F2517" s="2" t="str">
        <f>"1449425666"</f>
        <v>1449425666</v>
      </c>
      <c r="G2517" s="2" t="str">
        <f>"9781449425661"</f>
        <v>9781449425661</v>
      </c>
      <c r="H2517" s="1" t="s">
        <v>2052</v>
      </c>
      <c r="I2517" s="1" t="s">
        <v>36</v>
      </c>
      <c r="J2517" s="1">
        <v>224.0</v>
      </c>
      <c r="K2517" s="1">
        <v>2012.0</v>
      </c>
      <c r="L2517" s="1">
        <v>2012.0</v>
      </c>
      <c r="M2517" s="1"/>
      <c r="N2517" s="1"/>
      <c r="O2517" s="1"/>
      <c r="P2517" s="1"/>
      <c r="Q2517" s="1"/>
      <c r="R2517" s="1"/>
      <c r="S2517" s="1"/>
      <c r="T2517" s="1"/>
      <c r="U2517" s="1"/>
      <c r="V2517" s="1"/>
      <c r="W2517" s="1"/>
      <c r="X2517" s="1" t="s">
        <v>7953</v>
      </c>
      <c r="Y2517" s="1" t="s">
        <v>9606</v>
      </c>
    </row>
    <row r="2518">
      <c r="A2518" s="1">
        <v>5.9806088E7</v>
      </c>
      <c r="B2518" s="1" t="s">
        <v>9607</v>
      </c>
      <c r="C2518" s="1" t="s">
        <v>546</v>
      </c>
      <c r="D2518" s="1" t="s">
        <v>547</v>
      </c>
      <c r="F2518" s="2" t="str">
        <f>"1338798235"</f>
        <v>1338798235</v>
      </c>
      <c r="G2518" s="2" t="str">
        <f>"9781338798234"</f>
        <v>9781338798234</v>
      </c>
      <c r="H2518" s="1" t="s">
        <v>1575</v>
      </c>
      <c r="I2518" s="1" t="s">
        <v>31</v>
      </c>
      <c r="J2518" s="1">
        <v>224.0</v>
      </c>
      <c r="K2518" s="1">
        <v>2022.0</v>
      </c>
      <c r="L2518" s="1">
        <v>2021.0</v>
      </c>
      <c r="M2518" s="1"/>
      <c r="N2518" s="1"/>
      <c r="O2518" s="1"/>
      <c r="P2518" s="1"/>
      <c r="Q2518" s="1"/>
      <c r="R2518" s="1"/>
      <c r="S2518" s="1"/>
      <c r="T2518" s="1"/>
      <c r="U2518" s="1"/>
      <c r="V2518" s="1"/>
      <c r="W2518" s="1"/>
      <c r="X2518" s="1" t="s">
        <v>549</v>
      </c>
      <c r="Y2518" s="1" t="s">
        <v>9608</v>
      </c>
    </row>
    <row r="2519">
      <c r="A2519" s="1">
        <v>5.9245867E7</v>
      </c>
      <c r="B2519" s="1" t="s">
        <v>9609</v>
      </c>
      <c r="C2519" s="1" t="s">
        <v>546</v>
      </c>
      <c r="D2519" s="1" t="s">
        <v>547</v>
      </c>
      <c r="F2519" s="2" t="str">
        <f>"1338801945"</f>
        <v>1338801945</v>
      </c>
      <c r="G2519" s="2" t="str">
        <f>"9781338801941"</f>
        <v>9781338801941</v>
      </c>
      <c r="H2519" s="1" t="s">
        <v>640</v>
      </c>
      <c r="I2519" s="1" t="s">
        <v>31</v>
      </c>
      <c r="J2519" s="1">
        <v>224.0</v>
      </c>
      <c r="K2519" s="1">
        <v>2022.0</v>
      </c>
      <c r="L2519" s="1">
        <v>2022.0</v>
      </c>
      <c r="M2519" s="1"/>
      <c r="N2519" s="1"/>
      <c r="O2519" s="1"/>
      <c r="P2519" s="1"/>
      <c r="Q2519" s="1"/>
      <c r="R2519" s="1"/>
      <c r="S2519" s="1"/>
      <c r="T2519" s="1"/>
      <c r="U2519" s="1"/>
      <c r="V2519" s="1"/>
      <c r="W2519" s="1"/>
      <c r="X2519" s="1" t="s">
        <v>549</v>
      </c>
      <c r="Y2519" s="1" t="s">
        <v>9610</v>
      </c>
    </row>
    <row r="2520">
      <c r="A2520" s="1">
        <v>3.9983554E7</v>
      </c>
      <c r="B2520" s="1" t="s">
        <v>9611</v>
      </c>
      <c r="C2520" s="1" t="s">
        <v>546</v>
      </c>
      <c r="D2520" s="1" t="s">
        <v>547</v>
      </c>
      <c r="F2520" s="2" t="str">
        <f>"1338236571"</f>
        <v>1338236571</v>
      </c>
      <c r="G2520" s="2" t="str">
        <f>"9781338236576"</f>
        <v>9781338236576</v>
      </c>
      <c r="H2520" s="1" t="s">
        <v>640</v>
      </c>
      <c r="I2520" s="1" t="s">
        <v>31</v>
      </c>
      <c r="J2520" s="1">
        <v>224.0</v>
      </c>
      <c r="K2520" s="1">
        <v>2018.0</v>
      </c>
      <c r="L2520" s="1">
        <v>2018.0</v>
      </c>
      <c r="M2520" s="1"/>
      <c r="N2520" s="1"/>
      <c r="O2520" s="1"/>
      <c r="P2520" s="1"/>
      <c r="Q2520" s="1"/>
      <c r="R2520" s="1"/>
      <c r="S2520" s="1"/>
      <c r="T2520" s="1"/>
      <c r="U2520" s="1"/>
      <c r="V2520" s="1"/>
      <c r="W2520" s="1"/>
      <c r="X2520" s="1" t="s">
        <v>549</v>
      </c>
      <c r="Y2520" s="1" t="s">
        <v>9612</v>
      </c>
    </row>
    <row r="2521">
      <c r="A2521" s="1">
        <v>3.1825554E7</v>
      </c>
      <c r="B2521" s="1" t="s">
        <v>9613</v>
      </c>
      <c r="C2521" s="1" t="s">
        <v>546</v>
      </c>
      <c r="D2521" s="1" t="s">
        <v>547</v>
      </c>
      <c r="F2521" s="2" t="str">
        <f>"0545935431"</f>
        <v>0545935431</v>
      </c>
      <c r="G2521" s="2" t="str">
        <f>"9780545935432"</f>
        <v>9780545935432</v>
      </c>
      <c r="H2521" s="1" t="s">
        <v>640</v>
      </c>
      <c r="I2521" s="1" t="s">
        <v>238</v>
      </c>
      <c r="J2521" s="1">
        <v>224.0</v>
      </c>
      <c r="K2521" s="1">
        <v>2016.0</v>
      </c>
      <c r="L2521" s="1">
        <v>2016.0</v>
      </c>
      <c r="M2521" s="1"/>
      <c r="N2521" s="1"/>
      <c r="O2521" s="1"/>
      <c r="P2521" s="1"/>
      <c r="Q2521" s="1"/>
      <c r="R2521" s="1"/>
      <c r="S2521" s="1"/>
      <c r="T2521" s="1"/>
      <c r="U2521" s="1"/>
      <c r="V2521" s="1"/>
      <c r="W2521" s="1"/>
      <c r="X2521" s="1" t="s">
        <v>549</v>
      </c>
      <c r="Y2521" s="1" t="s">
        <v>9614</v>
      </c>
    </row>
    <row r="2522">
      <c r="A2522" s="1">
        <v>2.232364E7</v>
      </c>
      <c r="B2522" s="1" t="s">
        <v>9615</v>
      </c>
      <c r="C2522" s="1" t="s">
        <v>546</v>
      </c>
      <c r="D2522" s="1" t="s">
        <v>547</v>
      </c>
      <c r="F2522" s="2" t="str">
        <f>"0545770343"</f>
        <v>0545770343</v>
      </c>
      <c r="G2522" s="2" t="str">
        <f>"9780545770347"</f>
        <v>9780545770347</v>
      </c>
      <c r="H2522" s="1" t="s">
        <v>1575</v>
      </c>
      <c r="I2522" s="1" t="s">
        <v>36</v>
      </c>
      <c r="J2522" s="1">
        <v>224.0</v>
      </c>
      <c r="K2522" s="1">
        <v>2014.0</v>
      </c>
      <c r="L2522" s="1">
        <v>2014.0</v>
      </c>
      <c r="M2522" s="1"/>
      <c r="N2522" s="1"/>
      <c r="O2522" s="1"/>
      <c r="P2522" s="1"/>
      <c r="Q2522" s="1"/>
      <c r="R2522" s="1"/>
      <c r="S2522" s="1"/>
      <c r="T2522" s="1"/>
      <c r="U2522" s="1"/>
      <c r="V2522" s="1"/>
      <c r="W2522" s="1"/>
      <c r="X2522" s="1" t="s">
        <v>9616</v>
      </c>
      <c r="Y2522" s="1" t="s">
        <v>9617</v>
      </c>
    </row>
    <row r="2523">
      <c r="A2523" s="1">
        <v>1.7265227E7</v>
      </c>
      <c r="B2523" s="1" t="s">
        <v>9618</v>
      </c>
      <c r="C2523" s="1" t="s">
        <v>546</v>
      </c>
      <c r="D2523" s="1" t="s">
        <v>547</v>
      </c>
      <c r="F2523" s="2" t="str">
        <f>"0545544564"</f>
        <v>0545544564</v>
      </c>
      <c r="G2523" s="2" t="str">
        <f>"9780545544566"</f>
        <v>9780545544566</v>
      </c>
      <c r="H2523" s="1" t="s">
        <v>1575</v>
      </c>
      <c r="I2523" s="1" t="s">
        <v>36</v>
      </c>
      <c r="J2523" s="1">
        <v>224.0</v>
      </c>
      <c r="K2523" s="1">
        <v>2013.0</v>
      </c>
      <c r="L2523" s="1">
        <v>2013.0</v>
      </c>
      <c r="M2523" s="1"/>
      <c r="N2523" s="1"/>
      <c r="O2523" s="1"/>
      <c r="P2523" s="1"/>
      <c r="Q2523" s="1"/>
      <c r="R2523" s="1"/>
      <c r="S2523" s="1"/>
      <c r="T2523" s="1"/>
      <c r="U2523" s="1"/>
      <c r="V2523" s="1"/>
      <c r="W2523" s="1"/>
      <c r="X2523" s="1" t="s">
        <v>9619</v>
      </c>
      <c r="Y2523" s="1" t="s">
        <v>9620</v>
      </c>
    </row>
    <row r="2524">
      <c r="A2524" s="1">
        <v>6.0097867E7</v>
      </c>
      <c r="B2524" s="1" t="s">
        <v>9621</v>
      </c>
      <c r="C2524" s="1" t="s">
        <v>1114</v>
      </c>
      <c r="D2524" s="1" t="s">
        <v>1115</v>
      </c>
      <c r="F2524" s="2" t="str">
        <f>"0744065232"</f>
        <v>0744065232</v>
      </c>
      <c r="G2524" s="2" t="str">
        <f>"9780744065237"</f>
        <v>9780744065237</v>
      </c>
      <c r="H2524" s="1" t="s">
        <v>1089</v>
      </c>
      <c r="I2524" s="1" t="s">
        <v>31</v>
      </c>
      <c r="J2524" s="1">
        <v>224.0</v>
      </c>
      <c r="K2524" s="1">
        <v>2022.0</v>
      </c>
      <c r="M2524" s="1"/>
      <c r="N2524" s="1"/>
      <c r="O2524" s="1"/>
      <c r="P2524" s="1"/>
      <c r="Q2524" s="1"/>
      <c r="R2524" s="1"/>
      <c r="S2524" s="1"/>
      <c r="T2524" s="1"/>
      <c r="U2524" s="1"/>
      <c r="V2524" s="1"/>
      <c r="W2524" s="1"/>
      <c r="X2524" s="1" t="s">
        <v>1024</v>
      </c>
      <c r="Y2524" s="1" t="s">
        <v>9622</v>
      </c>
    </row>
    <row r="2525">
      <c r="A2525" s="1">
        <v>2.7738085E7</v>
      </c>
      <c r="B2525" s="1" t="s">
        <v>9623</v>
      </c>
      <c r="C2525" s="1" t="s">
        <v>9624</v>
      </c>
      <c r="D2525" s="1" t="s">
        <v>9625</v>
      </c>
      <c r="F2525" s="2" t="str">
        <f>"1588658120"</f>
        <v>1588658120</v>
      </c>
      <c r="G2525" s="2" t="str">
        <f>"9781588658128"</f>
        <v>9781588658128</v>
      </c>
      <c r="H2525" s="1" t="s">
        <v>9624</v>
      </c>
      <c r="I2525" s="1" t="s">
        <v>36</v>
      </c>
      <c r="J2525" s="1">
        <v>224.0</v>
      </c>
      <c r="K2525" s="1">
        <v>2014.0</v>
      </c>
      <c r="L2525" s="1">
        <v>2002.0</v>
      </c>
      <c r="M2525" s="1"/>
      <c r="N2525" s="1"/>
      <c r="O2525" s="1"/>
      <c r="P2525" s="1"/>
      <c r="Q2525" s="1"/>
      <c r="R2525" s="1"/>
      <c r="S2525" s="1"/>
      <c r="T2525" s="1"/>
      <c r="U2525" s="1"/>
      <c r="V2525" s="1"/>
      <c r="W2525" s="1"/>
      <c r="X2525" s="1" t="s">
        <v>452</v>
      </c>
      <c r="Y2525" s="1" t="s">
        <v>9626</v>
      </c>
    </row>
    <row r="2526">
      <c r="A2526" s="1">
        <v>5.3354382E7</v>
      </c>
      <c r="B2526" s="1" t="s">
        <v>9627</v>
      </c>
      <c r="C2526" s="1" t="s">
        <v>9628</v>
      </c>
      <c r="D2526" s="1" t="s">
        <v>9629</v>
      </c>
      <c r="E2526" s="1" t="s">
        <v>9630</v>
      </c>
      <c r="F2526" s="2" t="str">
        <f>"1338647237"</f>
        <v>1338647237</v>
      </c>
      <c r="G2526" s="2" t="str">
        <f>"9781338647235"</f>
        <v>9781338647235</v>
      </c>
      <c r="H2526" s="1" t="s">
        <v>857</v>
      </c>
      <c r="I2526" s="1" t="s">
        <v>31</v>
      </c>
      <c r="J2526" s="1">
        <v>224.0</v>
      </c>
      <c r="K2526" s="1">
        <v>2021.0</v>
      </c>
      <c r="M2526" s="1"/>
      <c r="N2526" s="1"/>
      <c r="O2526" s="1"/>
      <c r="P2526" s="1"/>
      <c r="Q2526" s="1"/>
      <c r="R2526" s="1"/>
      <c r="S2526" s="1"/>
      <c r="T2526" s="1"/>
      <c r="U2526" s="1"/>
      <c r="V2526" s="1"/>
      <c r="W2526" s="1"/>
      <c r="X2526" s="1" t="s">
        <v>45</v>
      </c>
      <c r="Y2526" s="1" t="s">
        <v>9631</v>
      </c>
    </row>
    <row r="2527">
      <c r="A2527" s="1">
        <v>6.0059296E7</v>
      </c>
      <c r="B2527" s="1" t="s">
        <v>9632</v>
      </c>
      <c r="C2527" s="1" t="s">
        <v>9633</v>
      </c>
      <c r="D2527" s="1" t="s">
        <v>9634</v>
      </c>
      <c r="E2527" s="1" t="s">
        <v>9635</v>
      </c>
      <c r="F2527" s="2" t="str">
        <f>"1683693019"</f>
        <v>1683693019</v>
      </c>
      <c r="G2527" s="2" t="str">
        <f>"9781683693017"</f>
        <v>9781683693017</v>
      </c>
      <c r="H2527" s="1" t="s">
        <v>9406</v>
      </c>
      <c r="I2527" s="1" t="s">
        <v>31</v>
      </c>
      <c r="J2527" s="1">
        <v>224.0</v>
      </c>
      <c r="K2527" s="1">
        <v>2022.0</v>
      </c>
      <c r="M2527" s="1"/>
      <c r="N2527" s="1"/>
      <c r="O2527" s="1"/>
      <c r="P2527" s="1"/>
      <c r="Q2527" s="1"/>
      <c r="R2527" s="1"/>
      <c r="S2527" s="1"/>
      <c r="T2527" s="1"/>
      <c r="U2527" s="1"/>
      <c r="V2527" s="1"/>
      <c r="W2527" s="1"/>
      <c r="X2527" s="1" t="s">
        <v>641</v>
      </c>
      <c r="Y2527" s="1" t="s">
        <v>9636</v>
      </c>
    </row>
    <row r="2528">
      <c r="A2528" s="1">
        <v>5.418832E7</v>
      </c>
      <c r="B2528" s="1" t="s">
        <v>9637</v>
      </c>
      <c r="C2528" s="1" t="s">
        <v>9058</v>
      </c>
      <c r="D2528" s="1" t="s">
        <v>9059</v>
      </c>
      <c r="F2528" s="2" t="str">
        <f>"1338740261"</f>
        <v>1338740261</v>
      </c>
      <c r="G2528" s="2" t="str">
        <f>"9781338740264"</f>
        <v>9781338740264</v>
      </c>
      <c r="H2528" s="1" t="s">
        <v>640</v>
      </c>
      <c r="I2528" s="1" t="s">
        <v>36</v>
      </c>
      <c r="J2528" s="1">
        <v>224.0</v>
      </c>
      <c r="K2528" s="1">
        <v>2020.0</v>
      </c>
      <c r="L2528" s="1">
        <v>2009.0</v>
      </c>
      <c r="M2528" s="1"/>
      <c r="N2528" s="1"/>
      <c r="O2528" s="1"/>
      <c r="P2528" s="1"/>
      <c r="Q2528" s="1"/>
      <c r="R2528" s="1"/>
      <c r="S2528" s="1"/>
      <c r="T2528" s="1"/>
      <c r="U2528" s="1"/>
      <c r="V2528" s="1"/>
      <c r="W2528" s="1"/>
      <c r="X2528" s="1" t="s">
        <v>1024</v>
      </c>
      <c r="Y2528" s="1" t="s">
        <v>9638</v>
      </c>
    </row>
    <row r="2529">
      <c r="A2529" s="1">
        <v>44254.0</v>
      </c>
      <c r="B2529" s="1" t="s">
        <v>9639</v>
      </c>
      <c r="C2529" s="1" t="s">
        <v>9640</v>
      </c>
      <c r="D2529" s="1" t="s">
        <v>9641</v>
      </c>
      <c r="E2529" s="1" t="s">
        <v>9642</v>
      </c>
      <c r="F2529" s="2" t="str">
        <f>"006075740X"</f>
        <v>006075740X</v>
      </c>
      <c r="G2529" s="2" t="str">
        <f>"9780060757403"</f>
        <v>9780060757403</v>
      </c>
      <c r="H2529" s="1" t="s">
        <v>2736</v>
      </c>
      <c r="I2529" s="1" t="s">
        <v>36</v>
      </c>
      <c r="J2529" s="1">
        <v>224.0</v>
      </c>
      <c r="K2529" s="1">
        <v>2005.0</v>
      </c>
      <c r="L2529" s="1">
        <v>1952.0</v>
      </c>
      <c r="M2529" s="1"/>
      <c r="N2529" s="1"/>
      <c r="O2529" s="1"/>
      <c r="P2529" s="1"/>
      <c r="Q2529" s="1"/>
      <c r="R2529" s="1"/>
      <c r="S2529" s="1"/>
      <c r="T2529" s="1"/>
      <c r="U2529" s="1"/>
      <c r="V2529" s="1"/>
      <c r="W2529" s="1"/>
      <c r="X2529" s="1" t="s">
        <v>458</v>
      </c>
      <c r="Y2529" s="1" t="s">
        <v>9643</v>
      </c>
    </row>
    <row r="2530">
      <c r="A2530" s="1">
        <v>5.7296511E7</v>
      </c>
      <c r="B2530" s="1" t="s">
        <v>9644</v>
      </c>
      <c r="C2530" s="1" t="s">
        <v>332</v>
      </c>
      <c r="D2530" s="1" t="s">
        <v>333</v>
      </c>
      <c r="F2530" s="2" t="str">
        <f>"1419749153"</f>
        <v>1419749153</v>
      </c>
      <c r="G2530" s="2" t="str">
        <f>"9781419749155"</f>
        <v>9781419749155</v>
      </c>
      <c r="H2530" s="1" t="s">
        <v>145</v>
      </c>
      <c r="I2530" s="1" t="s">
        <v>31</v>
      </c>
      <c r="J2530" s="1">
        <v>226.0</v>
      </c>
      <c r="K2530" s="1">
        <v>2021.0</v>
      </c>
      <c r="L2530" s="1">
        <v>2021.0</v>
      </c>
      <c r="M2530" s="1"/>
      <c r="N2530" s="1"/>
      <c r="O2530" s="1"/>
      <c r="P2530" s="1"/>
      <c r="Q2530" s="1"/>
      <c r="R2530" s="1"/>
      <c r="S2530" s="1"/>
      <c r="T2530" s="1"/>
      <c r="U2530" s="1"/>
      <c r="V2530" s="1"/>
      <c r="W2530" s="1"/>
      <c r="X2530" s="1" t="s">
        <v>9511</v>
      </c>
      <c r="Y2530" s="1" t="s">
        <v>9645</v>
      </c>
    </row>
    <row r="2531">
      <c r="A2531" s="1">
        <v>1809465.0</v>
      </c>
      <c r="B2531" s="1" t="s">
        <v>9646</v>
      </c>
      <c r="C2531" s="1" t="s">
        <v>332</v>
      </c>
      <c r="D2531" s="1" t="s">
        <v>333</v>
      </c>
      <c r="F2531" s="2" t="str">
        <f>"0810994739"</f>
        <v>0810994739</v>
      </c>
      <c r="G2531" s="2" t="str">
        <f>"9780810994737"</f>
        <v>9780810994737</v>
      </c>
      <c r="H2531" s="1" t="s">
        <v>9510</v>
      </c>
      <c r="I2531" s="1" t="s">
        <v>31</v>
      </c>
      <c r="J2531" s="1">
        <v>226.0</v>
      </c>
      <c r="K2531" s="1">
        <v>2008.0</v>
      </c>
      <c r="L2531" s="1">
        <v>2008.0</v>
      </c>
      <c r="M2531" s="1"/>
      <c r="N2531" s="1"/>
      <c r="O2531" s="1"/>
      <c r="P2531" s="1"/>
      <c r="Q2531" s="1"/>
      <c r="R2531" s="1"/>
      <c r="S2531" s="1"/>
      <c r="T2531" s="1"/>
      <c r="U2531" s="1"/>
      <c r="V2531" s="1"/>
      <c r="W2531" s="1"/>
      <c r="X2531" s="1" t="s">
        <v>9511</v>
      </c>
      <c r="Y2531" s="1" t="s">
        <v>9647</v>
      </c>
    </row>
    <row r="2532">
      <c r="A2532" s="1">
        <v>1.0886703E7</v>
      </c>
      <c r="B2532" s="1" t="s">
        <v>9648</v>
      </c>
      <c r="C2532" s="1" t="s">
        <v>6781</v>
      </c>
      <c r="D2532" s="1" t="s">
        <v>6782</v>
      </c>
      <c r="E2532" s="1" t="s">
        <v>9649</v>
      </c>
      <c r="F2532" s="2" t="str">
        <f>"1442430486"</f>
        <v>1442430486</v>
      </c>
      <c r="G2532" s="2" t="str">
        <f>"9781442430488"</f>
        <v>9781442430488</v>
      </c>
      <c r="H2532" s="1" t="s">
        <v>2537</v>
      </c>
      <c r="I2532" s="1" t="s">
        <v>31</v>
      </c>
      <c r="J2532" s="1">
        <v>228.0</v>
      </c>
      <c r="K2532" s="1">
        <v>2011.0</v>
      </c>
      <c r="L2532" s="1">
        <v>2011.0</v>
      </c>
      <c r="M2532" s="1"/>
      <c r="N2532" s="1"/>
      <c r="O2532" s="1"/>
      <c r="P2532" s="1"/>
      <c r="Q2532" s="1"/>
      <c r="R2532" s="1"/>
      <c r="S2532" s="1"/>
      <c r="T2532" s="1"/>
      <c r="U2532" s="1"/>
      <c r="V2532" s="1"/>
      <c r="W2532" s="1"/>
      <c r="X2532" s="1" t="s">
        <v>458</v>
      </c>
      <c r="Y2532" s="1" t="s">
        <v>9650</v>
      </c>
    </row>
    <row r="2533">
      <c r="A2533" s="1">
        <v>4.2853333E7</v>
      </c>
      <c r="B2533" s="1" t="s">
        <v>9651</v>
      </c>
      <c r="C2533" s="1" t="s">
        <v>9652</v>
      </c>
      <c r="D2533" s="1" t="s">
        <v>9653</v>
      </c>
      <c r="F2533" s="2" t="str">
        <f t="shared" ref="F2533:G2533" si="162">""</f>
        <v/>
      </c>
      <c r="G2533" s="2" t="str">
        <f t="shared" si="162"/>
        <v/>
      </c>
      <c r="H2533" s="1" t="s">
        <v>817</v>
      </c>
      <c r="I2533" s="1" t="s">
        <v>36</v>
      </c>
      <c r="J2533" s="1">
        <v>230.0</v>
      </c>
      <c r="K2533" s="1">
        <v>2018.0</v>
      </c>
      <c r="L2533" s="1">
        <v>2010.0</v>
      </c>
      <c r="M2533" s="1"/>
      <c r="N2533" s="1"/>
      <c r="O2533" s="1"/>
      <c r="P2533" s="1"/>
      <c r="Q2533" s="1"/>
      <c r="R2533" s="1"/>
      <c r="S2533" s="1"/>
      <c r="T2533" s="1"/>
      <c r="U2533" s="1"/>
      <c r="V2533" s="1"/>
      <c r="W2533" s="1"/>
      <c r="X2533" s="1" t="s">
        <v>8702</v>
      </c>
      <c r="Y2533" s="1" t="s">
        <v>9654</v>
      </c>
    </row>
    <row r="2534">
      <c r="A2534" s="1">
        <v>2.8691896E7</v>
      </c>
      <c r="B2534" s="1" t="s">
        <v>9655</v>
      </c>
      <c r="C2534" s="1" t="s">
        <v>546</v>
      </c>
      <c r="D2534" s="1" t="s">
        <v>547</v>
      </c>
      <c r="F2534" s="2" t="str">
        <f>"0545581605"</f>
        <v>0545581605</v>
      </c>
      <c r="G2534" s="2" t="str">
        <f>"9780545581608"</f>
        <v>9780545581608</v>
      </c>
      <c r="H2534" s="1" t="s">
        <v>640</v>
      </c>
      <c r="I2534" s="1" t="s">
        <v>31</v>
      </c>
      <c r="J2534" s="1">
        <v>231.0</v>
      </c>
      <c r="K2534" s="1">
        <v>2016.0</v>
      </c>
      <c r="M2534" s="1"/>
      <c r="N2534" s="1"/>
      <c r="O2534" s="1"/>
      <c r="P2534" s="1"/>
      <c r="Q2534" s="1"/>
      <c r="R2534" s="1"/>
      <c r="S2534" s="1"/>
      <c r="T2534" s="1"/>
      <c r="U2534" s="1"/>
      <c r="V2534" s="1"/>
      <c r="W2534" s="1"/>
      <c r="X2534" s="1" t="s">
        <v>549</v>
      </c>
      <c r="Y2534" s="1" t="s">
        <v>9656</v>
      </c>
    </row>
    <row r="2535">
      <c r="A2535" s="1">
        <v>310146.0</v>
      </c>
      <c r="B2535" s="1" t="s">
        <v>9657</v>
      </c>
      <c r="C2535" s="1" t="s">
        <v>8920</v>
      </c>
      <c r="D2535" s="1" t="s">
        <v>8921</v>
      </c>
      <c r="F2535" s="2" t="str">
        <f>"0380714752"</f>
        <v>0380714752</v>
      </c>
      <c r="G2535" s="2" t="str">
        <f>"9780380714759"</f>
        <v>9780380714759</v>
      </c>
      <c r="H2535" s="1" t="s">
        <v>263</v>
      </c>
      <c r="I2535" s="1" t="s">
        <v>400</v>
      </c>
      <c r="J2535" s="1">
        <v>232.0</v>
      </c>
      <c r="K2535" s="1">
        <v>1992.0</v>
      </c>
      <c r="L2535" s="1">
        <v>1990.0</v>
      </c>
      <c r="M2535" s="1"/>
      <c r="N2535" s="1"/>
      <c r="O2535" s="1"/>
      <c r="P2535" s="1"/>
      <c r="Q2535" s="1"/>
      <c r="R2535" s="1"/>
      <c r="S2535" s="1"/>
      <c r="T2535" s="1"/>
      <c r="U2535" s="1"/>
      <c r="V2535" s="1"/>
      <c r="W2535" s="1"/>
      <c r="X2535" s="1" t="s">
        <v>458</v>
      </c>
      <c r="Y2535" s="1" t="s">
        <v>9658</v>
      </c>
    </row>
    <row r="2536">
      <c r="A2536" s="1">
        <v>2.7135532E7</v>
      </c>
      <c r="B2536" s="1" t="s">
        <v>9659</v>
      </c>
      <c r="C2536" s="1" t="s">
        <v>9410</v>
      </c>
      <c r="D2536" s="1" t="s">
        <v>9411</v>
      </c>
      <c r="F2536" s="2" t="str">
        <f>"1941026400"</f>
        <v>1941026400</v>
      </c>
      <c r="G2536" s="2" t="str">
        <f>"9781941026403"</f>
        <v>9781941026403</v>
      </c>
      <c r="H2536" s="1" t="s">
        <v>4874</v>
      </c>
      <c r="I2536" s="1" t="s">
        <v>31</v>
      </c>
      <c r="J2536" s="1">
        <v>235.0</v>
      </c>
      <c r="K2536" s="1">
        <v>2016.0</v>
      </c>
      <c r="L2536" s="1">
        <v>2016.0</v>
      </c>
      <c r="M2536" s="1"/>
      <c r="N2536" s="1"/>
      <c r="O2536" s="1"/>
      <c r="P2536" s="1"/>
      <c r="Q2536" s="1"/>
      <c r="R2536" s="1"/>
      <c r="S2536" s="1"/>
      <c r="T2536" s="1"/>
      <c r="U2536" s="1"/>
      <c r="V2536" s="1"/>
      <c r="W2536" s="1"/>
      <c r="X2536" s="1" t="s">
        <v>363</v>
      </c>
      <c r="Y2536" s="1" t="s">
        <v>9660</v>
      </c>
    </row>
    <row r="2537">
      <c r="A2537" s="1">
        <v>2.3742836E7</v>
      </c>
      <c r="B2537" s="1" t="s">
        <v>9661</v>
      </c>
      <c r="C2537" s="1" t="s">
        <v>9662</v>
      </c>
      <c r="D2537" s="1" t="s">
        <v>9663</v>
      </c>
      <c r="F2537" s="2" t="str">
        <f>"0385348436"</f>
        <v>0385348436</v>
      </c>
      <c r="G2537" s="2" t="str">
        <f>"9780385348430"</f>
        <v>9780385348430</v>
      </c>
      <c r="H2537" s="1" t="s">
        <v>9502</v>
      </c>
      <c r="I2537" s="1" t="s">
        <v>36</v>
      </c>
      <c r="J2537" s="1">
        <v>240.0</v>
      </c>
      <c r="K2537" s="1">
        <v>2015.0</v>
      </c>
      <c r="L2537" s="1">
        <v>2015.0</v>
      </c>
      <c r="M2537" s="1"/>
      <c r="N2537" s="1"/>
      <c r="O2537" s="1"/>
      <c r="P2537" s="1"/>
      <c r="Q2537" s="1"/>
      <c r="R2537" s="1"/>
      <c r="S2537" s="1"/>
      <c r="T2537" s="1"/>
      <c r="U2537" s="1"/>
      <c r="V2537" s="1"/>
      <c r="W2537" s="1"/>
      <c r="X2537" s="1" t="s">
        <v>609</v>
      </c>
      <c r="Y2537" s="1" t="s">
        <v>9664</v>
      </c>
    </row>
    <row r="2538">
      <c r="A2538" s="1">
        <v>1.8038295E7</v>
      </c>
      <c r="B2538" s="1" t="s">
        <v>9665</v>
      </c>
      <c r="C2538" s="1" t="s">
        <v>9666</v>
      </c>
      <c r="D2538" s="1" t="s">
        <v>9667</v>
      </c>
      <c r="F2538" s="2" t="str">
        <f>"0316247626"</f>
        <v>0316247626</v>
      </c>
      <c r="G2538" s="2" t="str">
        <f>"9780316247627"</f>
        <v>9780316247627</v>
      </c>
      <c r="H2538" s="1" t="s">
        <v>112</v>
      </c>
      <c r="I2538" s="1" t="s">
        <v>31</v>
      </c>
      <c r="J2538" s="1">
        <v>240.0</v>
      </c>
      <c r="K2538" s="1">
        <v>2013.0</v>
      </c>
      <c r="L2538" s="1">
        <v>2013.0</v>
      </c>
      <c r="M2538" s="1"/>
      <c r="N2538" s="1"/>
      <c r="O2538" s="1"/>
      <c r="P2538" s="1"/>
      <c r="Q2538" s="1"/>
      <c r="R2538" s="1"/>
      <c r="S2538" s="1"/>
      <c r="T2538" s="1"/>
      <c r="U2538" s="1"/>
      <c r="V2538" s="1"/>
      <c r="W2538" s="1"/>
      <c r="X2538" s="1" t="s">
        <v>291</v>
      </c>
      <c r="Y2538" s="1" t="s">
        <v>9668</v>
      </c>
    </row>
    <row r="2539">
      <c r="A2539" s="1">
        <v>80672.0</v>
      </c>
      <c r="B2539" s="1" t="s">
        <v>9669</v>
      </c>
      <c r="C2539" s="1" t="s">
        <v>2639</v>
      </c>
      <c r="D2539" s="1" t="s">
        <v>2640</v>
      </c>
      <c r="F2539" s="2" t="str">
        <f>"0142408786"</f>
        <v>0142408786</v>
      </c>
      <c r="G2539" s="2" t="str">
        <f>"9780142408780"</f>
        <v>9780142408780</v>
      </c>
      <c r="H2539" s="1" t="s">
        <v>753</v>
      </c>
      <c r="I2539" s="1" t="s">
        <v>36</v>
      </c>
      <c r="J2539" s="1">
        <v>240.0</v>
      </c>
      <c r="K2539" s="1">
        <v>2007.0</v>
      </c>
      <c r="L2539" s="1">
        <v>2002.0</v>
      </c>
      <c r="M2539" s="1"/>
      <c r="N2539" s="1"/>
      <c r="O2539" s="1"/>
      <c r="P2539" s="1"/>
      <c r="Q2539" s="1"/>
      <c r="R2539" s="1"/>
      <c r="S2539" s="1"/>
      <c r="T2539" s="1"/>
      <c r="U2539" s="1"/>
      <c r="V2539" s="1"/>
      <c r="W2539" s="1"/>
      <c r="X2539" s="1" t="s">
        <v>8949</v>
      </c>
      <c r="Y2539" s="1" t="s">
        <v>9670</v>
      </c>
    </row>
    <row r="2540">
      <c r="A2540" s="1">
        <v>3.6127465E7</v>
      </c>
      <c r="B2540" s="1" t="s">
        <v>9671</v>
      </c>
      <c r="C2540" s="1" t="s">
        <v>9672</v>
      </c>
      <c r="D2540" s="1" t="s">
        <v>9673</v>
      </c>
      <c r="F2540" s="2" t="str">
        <f>"1338269070"</f>
        <v>1338269070</v>
      </c>
      <c r="G2540" s="2" t="str">
        <f>"9781338269079"</f>
        <v>9781338269079</v>
      </c>
      <c r="H2540" s="1" t="s">
        <v>1575</v>
      </c>
      <c r="I2540" s="1" t="s">
        <v>36</v>
      </c>
      <c r="J2540" s="1">
        <v>240.0</v>
      </c>
      <c r="K2540" s="1">
        <v>2018.0</v>
      </c>
      <c r="L2540" s="1">
        <v>2018.0</v>
      </c>
    </row>
    <row r="2541">
      <c r="A2541" s="1">
        <v>1.0134889E7</v>
      </c>
      <c r="B2541" s="1" t="s">
        <v>9674</v>
      </c>
      <c r="C2541" s="1" t="s">
        <v>9675</v>
      </c>
      <c r="D2541" s="1" t="s">
        <v>9676</v>
      </c>
      <c r="F2541" s="2" t="str">
        <f>"0061835439"</f>
        <v>0061835439</v>
      </c>
      <c r="G2541" s="2" t="str">
        <f>"9780061835438"</f>
        <v>9780061835438</v>
      </c>
      <c r="H2541" s="1" t="s">
        <v>9677</v>
      </c>
      <c r="I2541" s="1" t="s">
        <v>1278</v>
      </c>
      <c r="J2541" s="1">
        <v>240.0</v>
      </c>
      <c r="K2541" s="1">
        <v>2009.0</v>
      </c>
      <c r="L2541" s="1">
        <v>1998.0</v>
      </c>
    </row>
    <row r="2542">
      <c r="A2542" s="1">
        <v>122756.0</v>
      </c>
      <c r="B2542" s="1" t="s">
        <v>9678</v>
      </c>
      <c r="C2542" s="1" t="s">
        <v>9679</v>
      </c>
      <c r="D2542" s="1" t="s">
        <v>9680</v>
      </c>
      <c r="E2542" s="1" t="s">
        <v>9681</v>
      </c>
      <c r="F2542" s="2" t="str">
        <f t="shared" ref="F2542:G2542" si="163">""</f>
        <v/>
      </c>
      <c r="G2542" s="2" t="str">
        <f t="shared" si="163"/>
        <v/>
      </c>
      <c r="H2542" s="1" t="s">
        <v>2944</v>
      </c>
      <c r="I2542" s="1" t="s">
        <v>36</v>
      </c>
      <c r="J2542" s="1">
        <v>240.0</v>
      </c>
      <c r="K2542" s="1">
        <v>2005.0</v>
      </c>
      <c r="L2542" s="1">
        <v>1974.0</v>
      </c>
      <c r="M2542" s="1"/>
      <c r="N2542" s="1"/>
      <c r="O2542" s="1"/>
      <c r="P2542" s="1"/>
      <c r="Q2542" s="1"/>
      <c r="R2542" s="1"/>
      <c r="S2542" s="1"/>
      <c r="T2542" s="1"/>
      <c r="U2542" s="1"/>
      <c r="V2542" s="1"/>
      <c r="W2542" s="1"/>
      <c r="X2542" s="1" t="s">
        <v>609</v>
      </c>
      <c r="Y2542" s="1" t="s">
        <v>9682</v>
      </c>
    </row>
    <row r="2543">
      <c r="A2543" s="1">
        <v>5.2664751E7</v>
      </c>
      <c r="B2543" s="1" t="s">
        <v>9683</v>
      </c>
      <c r="C2543" s="1" t="s">
        <v>9684</v>
      </c>
      <c r="D2543" s="1" t="s">
        <v>9685</v>
      </c>
      <c r="E2543" s="1" t="s">
        <v>9686</v>
      </c>
      <c r="F2543" s="2" t="str">
        <f>"1338568906"</f>
        <v>1338568906</v>
      </c>
      <c r="G2543" s="2" t="str">
        <f>"9781338568905"</f>
        <v>9781338568905</v>
      </c>
      <c r="H2543" s="1" t="s">
        <v>640</v>
      </c>
      <c r="I2543" s="1" t="s">
        <v>36</v>
      </c>
      <c r="J2543" s="1">
        <v>240.0</v>
      </c>
      <c r="K2543" s="1">
        <v>2021.0</v>
      </c>
      <c r="L2543" s="1">
        <v>2021.0</v>
      </c>
      <c r="M2543" s="1"/>
      <c r="N2543" s="1"/>
      <c r="O2543" s="1"/>
      <c r="P2543" s="1"/>
      <c r="Q2543" s="1"/>
      <c r="R2543" s="1"/>
      <c r="S2543" s="1"/>
      <c r="T2543" s="1"/>
      <c r="U2543" s="1"/>
      <c r="V2543" s="1"/>
      <c r="W2543" s="1"/>
      <c r="X2543" s="1" t="s">
        <v>1024</v>
      </c>
      <c r="Y2543" s="1" t="s">
        <v>9687</v>
      </c>
    </row>
    <row r="2544">
      <c r="A2544" s="1">
        <v>3.1867526E7</v>
      </c>
      <c r="B2544" s="1" t="s">
        <v>9688</v>
      </c>
      <c r="C2544" s="1" t="s">
        <v>9689</v>
      </c>
      <c r="D2544" s="1" t="s">
        <v>9690</v>
      </c>
      <c r="F2544" s="2" t="str">
        <f>"0062665928"</f>
        <v>0062665928</v>
      </c>
      <c r="G2544" s="2" t="str">
        <f>"9780062665928"</f>
        <v>9780062665928</v>
      </c>
      <c r="H2544" s="1" t="s">
        <v>9691</v>
      </c>
      <c r="I2544" s="1" t="s">
        <v>31</v>
      </c>
      <c r="J2544" s="1">
        <v>240.0</v>
      </c>
      <c r="K2544" s="1">
        <v>2017.0</v>
      </c>
      <c r="L2544" s="1">
        <v>2017.0</v>
      </c>
      <c r="M2544" s="1"/>
      <c r="N2544" s="1"/>
      <c r="O2544" s="1"/>
      <c r="P2544" s="1"/>
      <c r="Q2544" s="1"/>
      <c r="R2544" s="1"/>
      <c r="S2544" s="1"/>
      <c r="T2544" s="1"/>
      <c r="U2544" s="1"/>
      <c r="V2544" s="1"/>
      <c r="W2544" s="1"/>
      <c r="X2544" s="1" t="s">
        <v>1024</v>
      </c>
      <c r="Y2544" s="1" t="s">
        <v>9692</v>
      </c>
    </row>
    <row r="2545">
      <c r="A2545" s="1">
        <v>5.746872E7</v>
      </c>
      <c r="B2545" s="1" t="s">
        <v>9693</v>
      </c>
      <c r="C2545" s="1" t="s">
        <v>9694</v>
      </c>
      <c r="D2545" s="1" t="s">
        <v>9695</v>
      </c>
      <c r="E2545" s="1" t="s">
        <v>9696</v>
      </c>
      <c r="F2545" s="2" t="str">
        <f>"133874061X"</f>
        <v>133874061X</v>
      </c>
      <c r="G2545" s="2" t="str">
        <f>"9781338740615"</f>
        <v>9781338740615</v>
      </c>
      <c r="H2545" s="1" t="s">
        <v>857</v>
      </c>
      <c r="I2545" s="1" t="s">
        <v>31</v>
      </c>
      <c r="J2545" s="1">
        <v>240.0</v>
      </c>
      <c r="K2545" s="1">
        <v>2022.0</v>
      </c>
      <c r="M2545" s="1"/>
      <c r="N2545" s="1"/>
      <c r="O2545" s="1"/>
      <c r="P2545" s="1"/>
      <c r="Q2545" s="1"/>
      <c r="R2545" s="1"/>
      <c r="S2545" s="1"/>
      <c r="T2545" s="1"/>
      <c r="U2545" s="1"/>
      <c r="V2545" s="1"/>
      <c r="W2545" s="1"/>
      <c r="X2545" s="1" t="s">
        <v>458</v>
      </c>
      <c r="Y2545" s="1" t="s">
        <v>9697</v>
      </c>
    </row>
    <row r="2546">
      <c r="A2546" s="1">
        <v>5.988291E7</v>
      </c>
      <c r="B2546" s="1" t="s">
        <v>9698</v>
      </c>
      <c r="C2546" s="1" t="s">
        <v>9699</v>
      </c>
      <c r="D2546" s="1" t="s">
        <v>9700</v>
      </c>
      <c r="F2546" s="2" t="str">
        <f>"0062499696"</f>
        <v>0062499696</v>
      </c>
      <c r="G2546" s="2" t="str">
        <f>"9780062499691"</f>
        <v>9780062499691</v>
      </c>
      <c r="H2546" s="1" t="s">
        <v>1570</v>
      </c>
      <c r="I2546" s="1" t="s">
        <v>31</v>
      </c>
      <c r="J2546" s="1">
        <v>240.0</v>
      </c>
      <c r="K2546" s="1">
        <v>2022.0</v>
      </c>
      <c r="M2546" s="1"/>
      <c r="N2546" s="1"/>
      <c r="O2546" s="1"/>
      <c r="P2546" s="1"/>
      <c r="Q2546" s="1"/>
      <c r="R2546" s="1"/>
      <c r="S2546" s="1"/>
      <c r="T2546" s="1"/>
      <c r="U2546" s="1"/>
      <c r="V2546" s="1"/>
      <c r="W2546" s="1"/>
      <c r="X2546" s="1" t="s">
        <v>3263</v>
      </c>
      <c r="Y2546" s="1" t="s">
        <v>9701</v>
      </c>
    </row>
    <row r="2547">
      <c r="A2547" s="1">
        <v>4.3201782E7</v>
      </c>
      <c r="B2547" s="1" t="s">
        <v>9702</v>
      </c>
      <c r="C2547" s="1" t="s">
        <v>546</v>
      </c>
      <c r="D2547" s="1" t="s">
        <v>547</v>
      </c>
      <c r="F2547" s="2" t="str">
        <f>"133823661X"</f>
        <v>133823661X</v>
      </c>
      <c r="G2547" s="2" t="str">
        <f>"9781338236613"</f>
        <v>9781338236613</v>
      </c>
      <c r="H2547" s="1" t="s">
        <v>640</v>
      </c>
      <c r="I2547" s="1" t="s">
        <v>238</v>
      </c>
      <c r="J2547" s="1">
        <v>240.0</v>
      </c>
      <c r="K2547" s="1">
        <v>2019.0</v>
      </c>
      <c r="L2547" s="1">
        <v>2019.0</v>
      </c>
      <c r="M2547" s="1"/>
      <c r="N2547" s="1"/>
      <c r="O2547" s="1"/>
      <c r="P2547" s="1"/>
      <c r="Q2547" s="1"/>
      <c r="R2547" s="1"/>
      <c r="S2547" s="1"/>
      <c r="T2547" s="1"/>
      <c r="U2547" s="1"/>
      <c r="V2547" s="1"/>
      <c r="W2547" s="1"/>
      <c r="X2547" s="1" t="s">
        <v>549</v>
      </c>
      <c r="Y2547" s="1" t="s">
        <v>9703</v>
      </c>
    </row>
    <row r="2548">
      <c r="A2548" s="1">
        <v>4.9090957E7</v>
      </c>
      <c r="B2548" s="1" t="s">
        <v>9704</v>
      </c>
      <c r="C2548" s="1" t="s">
        <v>546</v>
      </c>
      <c r="D2548" s="1" t="s">
        <v>547</v>
      </c>
      <c r="F2548" s="2" t="str">
        <f>"1338535633"</f>
        <v>1338535633</v>
      </c>
      <c r="G2548" s="2" t="str">
        <f>"9781338535631"</f>
        <v>9781338535631</v>
      </c>
      <c r="H2548" s="1" t="s">
        <v>640</v>
      </c>
      <c r="I2548" s="1" t="s">
        <v>91</v>
      </c>
      <c r="J2548" s="1">
        <v>240.0</v>
      </c>
      <c r="K2548" s="1">
        <v>2020.0</v>
      </c>
      <c r="L2548" s="1">
        <v>2020.0</v>
      </c>
      <c r="M2548" s="1"/>
      <c r="N2548" s="1"/>
      <c r="O2548" s="1"/>
      <c r="P2548" s="1"/>
      <c r="Q2548" s="1"/>
      <c r="R2548" s="1"/>
      <c r="S2548" s="1"/>
      <c r="T2548" s="1"/>
      <c r="U2548" s="1"/>
      <c r="V2548" s="1"/>
      <c r="W2548" s="1"/>
      <c r="X2548" s="1" t="s">
        <v>549</v>
      </c>
      <c r="Y2548" s="1" t="s">
        <v>9705</v>
      </c>
    </row>
    <row r="2549">
      <c r="A2549" s="1">
        <v>4.4442951E7</v>
      </c>
      <c r="B2549" s="1" t="s">
        <v>9706</v>
      </c>
      <c r="C2549" s="1" t="s">
        <v>546</v>
      </c>
      <c r="D2549" s="1" t="s">
        <v>547</v>
      </c>
      <c r="F2549" s="2" t="str">
        <f>"1338323229"</f>
        <v>1338323229</v>
      </c>
      <c r="G2549" s="2" t="str">
        <f>"9781338323221"</f>
        <v>9781338323221</v>
      </c>
      <c r="H2549" s="1" t="s">
        <v>640</v>
      </c>
      <c r="I2549" s="1" t="s">
        <v>91</v>
      </c>
      <c r="J2549" s="1">
        <v>240.0</v>
      </c>
      <c r="K2549" s="1">
        <v>2019.0</v>
      </c>
      <c r="L2549" s="1">
        <v>2019.0</v>
      </c>
      <c r="M2549" s="1"/>
      <c r="N2549" s="1"/>
      <c r="O2549" s="1"/>
      <c r="P2549" s="1"/>
      <c r="Q2549" s="1"/>
      <c r="R2549" s="1"/>
      <c r="S2549" s="1"/>
      <c r="T2549" s="1"/>
      <c r="U2549" s="1"/>
      <c r="V2549" s="1"/>
      <c r="W2549" s="1"/>
      <c r="X2549" s="1" t="s">
        <v>549</v>
      </c>
      <c r="Y2549" s="1" t="s">
        <v>9707</v>
      </c>
    </row>
    <row r="2550">
      <c r="A2550" s="1">
        <v>5.8265392E7</v>
      </c>
      <c r="B2550" s="1" t="s">
        <v>9708</v>
      </c>
      <c r="C2550" s="1" t="s">
        <v>9709</v>
      </c>
      <c r="D2550" s="1" t="s">
        <v>9710</v>
      </c>
      <c r="F2550" s="2" t="str">
        <f t="shared" ref="F2550:G2550" si="164">""</f>
        <v/>
      </c>
      <c r="G2550" s="2" t="str">
        <f t="shared" si="164"/>
        <v/>
      </c>
      <c r="H2550" s="1" t="s">
        <v>50</v>
      </c>
      <c r="I2550" s="1" t="s">
        <v>36</v>
      </c>
      <c r="J2550" s="1">
        <v>240.0</v>
      </c>
      <c r="M2550" s="1"/>
      <c r="N2550" s="1"/>
      <c r="O2550" s="1"/>
      <c r="P2550" s="1"/>
      <c r="Q2550" s="1"/>
      <c r="R2550" s="1"/>
      <c r="S2550" s="1"/>
      <c r="T2550" s="1"/>
      <c r="U2550" s="1"/>
      <c r="V2550" s="1"/>
      <c r="W2550" s="1"/>
      <c r="X2550" s="1" t="s">
        <v>8702</v>
      </c>
      <c r="Y2550" s="1" t="s">
        <v>9711</v>
      </c>
    </row>
    <row r="2551">
      <c r="A2551" s="1">
        <v>3.7539708E7</v>
      </c>
      <c r="B2551" s="1" t="s">
        <v>9712</v>
      </c>
      <c r="C2551" s="1" t="s">
        <v>9713</v>
      </c>
      <c r="D2551" s="1" t="s">
        <v>9714</v>
      </c>
      <c r="F2551" s="2" t="str">
        <f t="shared" ref="F2551:G2551" si="165">""</f>
        <v/>
      </c>
      <c r="G2551" s="2" t="str">
        <f t="shared" si="165"/>
        <v/>
      </c>
      <c r="H2551" s="1" t="s">
        <v>4705</v>
      </c>
      <c r="I2551" s="1" t="s">
        <v>31</v>
      </c>
      <c r="J2551" s="1">
        <v>240.0</v>
      </c>
      <c r="K2551" s="1">
        <v>2019.0</v>
      </c>
      <c r="L2551" s="1">
        <v>2019.0</v>
      </c>
      <c r="M2551" s="1"/>
      <c r="N2551" s="1"/>
      <c r="O2551" s="1"/>
      <c r="P2551" s="1"/>
      <c r="Q2551" s="1"/>
      <c r="R2551" s="1"/>
      <c r="S2551" s="1"/>
      <c r="T2551" s="1"/>
      <c r="U2551" s="1"/>
      <c r="V2551" s="1"/>
      <c r="W2551" s="1"/>
      <c r="X2551" s="1" t="s">
        <v>8702</v>
      </c>
      <c r="Y2551" s="1" t="s">
        <v>9715</v>
      </c>
    </row>
    <row r="2552">
      <c r="A2552" s="1">
        <v>3.084037E7</v>
      </c>
      <c r="B2552" s="1" t="s">
        <v>9716</v>
      </c>
      <c r="C2552" s="1" t="s">
        <v>9717</v>
      </c>
      <c r="D2552" s="1" t="s">
        <v>9718</v>
      </c>
      <c r="F2552" s="2" t="str">
        <f>"0062662376"</f>
        <v>0062662376</v>
      </c>
      <c r="G2552" s="2" t="str">
        <f>"9780062662378"</f>
        <v>9780062662378</v>
      </c>
      <c r="H2552" s="1" t="s">
        <v>290</v>
      </c>
      <c r="I2552" s="1" t="s">
        <v>36</v>
      </c>
      <c r="J2552" s="1">
        <v>240.0</v>
      </c>
      <c r="K2552" s="1">
        <v>2016.0</v>
      </c>
      <c r="L2552" s="1">
        <v>2016.0</v>
      </c>
      <c r="M2552" s="1"/>
      <c r="N2552" s="1"/>
      <c r="O2552" s="1"/>
      <c r="P2552" s="1"/>
      <c r="Q2552" s="1"/>
      <c r="R2552" s="1"/>
      <c r="S2552" s="1"/>
      <c r="T2552" s="1"/>
      <c r="U2552" s="1"/>
      <c r="V2552" s="1"/>
      <c r="W2552" s="1"/>
      <c r="X2552" s="1" t="s">
        <v>609</v>
      </c>
      <c r="Y2552" s="1" t="s">
        <v>9719</v>
      </c>
    </row>
    <row r="2553">
      <c r="A2553" s="1">
        <v>5.7763371E7</v>
      </c>
      <c r="B2553" s="1" t="s">
        <v>9720</v>
      </c>
      <c r="C2553" s="1" t="s">
        <v>9058</v>
      </c>
      <c r="D2553" s="1" t="s">
        <v>9059</v>
      </c>
      <c r="F2553" s="2" t="str">
        <f>"1338801899"</f>
        <v>1338801899</v>
      </c>
      <c r="G2553" s="2" t="str">
        <f>"9781338801897"</f>
        <v>9781338801897</v>
      </c>
      <c r="H2553" s="1" t="s">
        <v>640</v>
      </c>
      <c r="I2553" s="1" t="s">
        <v>36</v>
      </c>
      <c r="J2553" s="1">
        <v>240.0</v>
      </c>
      <c r="K2553" s="1">
        <v>2021.0</v>
      </c>
      <c r="L2553" s="1">
        <v>2012.0</v>
      </c>
      <c r="M2553" s="1"/>
      <c r="N2553" s="1"/>
      <c r="O2553" s="1"/>
      <c r="P2553" s="1"/>
      <c r="Q2553" s="1"/>
      <c r="R2553" s="1"/>
      <c r="S2553" s="1"/>
      <c r="T2553" s="1"/>
      <c r="U2553" s="1"/>
      <c r="V2553" s="1"/>
      <c r="W2553" s="1"/>
      <c r="X2553" s="1" t="s">
        <v>1024</v>
      </c>
      <c r="Y2553" s="1" t="s">
        <v>9721</v>
      </c>
    </row>
    <row r="2554">
      <c r="A2554" s="1">
        <v>5.7468678E7</v>
      </c>
      <c r="B2554" s="1" t="s">
        <v>9722</v>
      </c>
      <c r="C2554" s="1" t="s">
        <v>9723</v>
      </c>
      <c r="D2554" s="1" t="s">
        <v>9724</v>
      </c>
      <c r="F2554" s="2" t="str">
        <f>"1338167081"</f>
        <v>1338167081</v>
      </c>
      <c r="G2554" s="2" t="str">
        <f>"9781338167085"</f>
        <v>9781338167085</v>
      </c>
      <c r="H2554" s="1" t="s">
        <v>640</v>
      </c>
      <c r="I2554" s="1" t="s">
        <v>36</v>
      </c>
      <c r="J2554" s="1">
        <v>240.0</v>
      </c>
      <c r="K2554" s="1">
        <v>2022.0</v>
      </c>
      <c r="L2554" s="1">
        <v>2022.0</v>
      </c>
      <c r="M2554" s="1"/>
      <c r="N2554" s="1"/>
      <c r="O2554" s="1"/>
      <c r="P2554" s="1"/>
      <c r="Q2554" s="1"/>
      <c r="R2554" s="1"/>
      <c r="S2554" s="1"/>
      <c r="T2554" s="1"/>
      <c r="U2554" s="1"/>
      <c r="V2554" s="1"/>
      <c r="W2554" s="1"/>
      <c r="X2554" s="1" t="s">
        <v>7609</v>
      </c>
      <c r="Y2554" s="1" t="s">
        <v>9725</v>
      </c>
    </row>
    <row r="2555">
      <c r="A2555" s="1">
        <v>2.2478441E7</v>
      </c>
      <c r="B2555" s="1" t="s">
        <v>9726</v>
      </c>
      <c r="C2555" s="1" t="s">
        <v>9727</v>
      </c>
      <c r="D2555" s="1" t="s">
        <v>9728</v>
      </c>
      <c r="E2555" s="1" t="s">
        <v>9729</v>
      </c>
      <c r="F2555" s="2" t="str">
        <f>"0606361480"</f>
        <v>0606361480</v>
      </c>
      <c r="G2555" s="2" t="str">
        <f>"9780606361484"</f>
        <v>9780606361484</v>
      </c>
      <c r="H2555" s="1" t="s">
        <v>2319</v>
      </c>
      <c r="I2555" s="1" t="s">
        <v>91</v>
      </c>
      <c r="J2555" s="1">
        <v>242.0</v>
      </c>
      <c r="K2555" s="1">
        <v>2014.0</v>
      </c>
      <c r="L2555" s="1">
        <v>2014.0</v>
      </c>
      <c r="M2555" s="1"/>
      <c r="N2555" s="1"/>
      <c r="O2555" s="1"/>
      <c r="P2555" s="1"/>
      <c r="Q2555" s="1"/>
      <c r="R2555" s="1"/>
      <c r="S2555" s="1"/>
      <c r="T2555" s="1"/>
      <c r="U2555" s="1"/>
      <c r="V2555" s="1"/>
      <c r="W2555" s="1"/>
      <c r="X2555" s="1" t="s">
        <v>1024</v>
      </c>
      <c r="Y2555" s="1" t="s">
        <v>9730</v>
      </c>
    </row>
    <row r="2556">
      <c r="A2556" s="1">
        <v>361487.0</v>
      </c>
      <c r="B2556" s="1" t="s">
        <v>9731</v>
      </c>
      <c r="C2556" s="1" t="s">
        <v>9732</v>
      </c>
      <c r="D2556" s="1" t="s">
        <v>9733</v>
      </c>
      <c r="F2556" s="2" t="str">
        <f>"0439269970"</f>
        <v>0439269970</v>
      </c>
      <c r="G2556" s="2" t="str">
        <f>"9780439269971"</f>
        <v>9780439269971</v>
      </c>
      <c r="H2556" s="1" t="s">
        <v>2944</v>
      </c>
      <c r="I2556" s="1" t="s">
        <v>36</v>
      </c>
      <c r="J2556" s="1">
        <v>246.0</v>
      </c>
      <c r="K2556" s="1">
        <v>2005.0</v>
      </c>
      <c r="L2556" s="1">
        <v>2004.0</v>
      </c>
      <c r="M2556" s="1"/>
      <c r="N2556" s="1"/>
      <c r="O2556" s="1"/>
      <c r="P2556" s="1"/>
      <c r="Q2556" s="1"/>
      <c r="R2556" s="1"/>
      <c r="S2556" s="1"/>
      <c r="T2556" s="1"/>
      <c r="U2556" s="1"/>
      <c r="V2556" s="1"/>
      <c r="W2556" s="1"/>
      <c r="X2556" s="1" t="s">
        <v>285</v>
      </c>
      <c r="Y2556" s="1" t="s">
        <v>9734</v>
      </c>
    </row>
    <row r="2557">
      <c r="A2557" s="1">
        <v>36944.0</v>
      </c>
      <c r="B2557" s="1" t="s">
        <v>9735</v>
      </c>
      <c r="C2557" s="1" t="s">
        <v>6887</v>
      </c>
      <c r="D2557" s="1" t="s">
        <v>6888</v>
      </c>
      <c r="E2557" s="1" t="s">
        <v>383</v>
      </c>
      <c r="F2557" s="2" t="str">
        <f t="shared" ref="F2557:G2557" si="166">""</f>
        <v/>
      </c>
      <c r="G2557" s="2" t="str">
        <f t="shared" si="166"/>
        <v/>
      </c>
      <c r="H2557" s="1" t="s">
        <v>1072</v>
      </c>
      <c r="I2557" s="1" t="s">
        <v>31</v>
      </c>
      <c r="J2557" s="1">
        <v>248.0</v>
      </c>
      <c r="K2557" s="1">
        <v>1983.0</v>
      </c>
      <c r="L2557" s="1">
        <v>1983.0</v>
      </c>
      <c r="M2557" s="1"/>
      <c r="N2557" s="1"/>
      <c r="O2557" s="1"/>
      <c r="P2557" s="1"/>
      <c r="Q2557" s="1"/>
      <c r="R2557" s="1"/>
      <c r="S2557" s="1"/>
      <c r="T2557" s="1"/>
      <c r="U2557" s="1"/>
      <c r="V2557" s="1"/>
      <c r="W2557" s="1"/>
      <c r="X2557" s="1" t="s">
        <v>68</v>
      </c>
      <c r="Y2557" s="1" t="s">
        <v>9736</v>
      </c>
    </row>
    <row r="2558">
      <c r="A2558" s="1">
        <v>4.0110093E7</v>
      </c>
      <c r="B2558" s="1" t="s">
        <v>9737</v>
      </c>
      <c r="C2558" s="1" t="s">
        <v>9539</v>
      </c>
      <c r="D2558" s="1" t="s">
        <v>9540</v>
      </c>
      <c r="F2558" s="2" t="str">
        <f t="shared" ref="F2558:G2558" si="167">""</f>
        <v/>
      </c>
      <c r="G2558" s="2" t="str">
        <f t="shared" si="167"/>
        <v/>
      </c>
      <c r="H2558" s="1" t="s">
        <v>50</v>
      </c>
      <c r="I2558" s="1" t="s">
        <v>108</v>
      </c>
      <c r="J2558" s="1">
        <v>250.0</v>
      </c>
      <c r="K2558" s="1">
        <v>2019.0</v>
      </c>
      <c r="L2558" s="1">
        <v>2019.0</v>
      </c>
      <c r="M2558" s="1"/>
      <c r="N2558" s="1"/>
      <c r="O2558" s="1"/>
      <c r="P2558" s="1"/>
      <c r="Q2558" s="1"/>
      <c r="R2558" s="1"/>
      <c r="S2558" s="1"/>
      <c r="T2558" s="1"/>
      <c r="U2558" s="1"/>
      <c r="V2558" s="1"/>
      <c r="W2558" s="1"/>
      <c r="X2558" s="1" t="s">
        <v>8068</v>
      </c>
      <c r="Y2558" s="1" t="s">
        <v>9738</v>
      </c>
    </row>
    <row r="2559">
      <c r="A2559" s="1">
        <v>2.3281892E7</v>
      </c>
      <c r="B2559" s="1" t="s">
        <v>9739</v>
      </c>
      <c r="C2559" s="1" t="s">
        <v>9459</v>
      </c>
      <c r="D2559" s="1" t="s">
        <v>9460</v>
      </c>
      <c r="F2559" s="2" t="str">
        <f>"0803739834"</f>
        <v>0803739834</v>
      </c>
      <c r="G2559" s="2" t="str">
        <f>"9780803739833"</f>
        <v>9780803739833</v>
      </c>
      <c r="H2559" s="1" t="s">
        <v>2600</v>
      </c>
      <c r="I2559" s="1" t="s">
        <v>31</v>
      </c>
      <c r="J2559" s="1">
        <v>250.0</v>
      </c>
      <c r="K2559" s="1">
        <v>2015.0</v>
      </c>
      <c r="L2559" s="1">
        <v>2015.0</v>
      </c>
      <c r="M2559" s="1"/>
      <c r="N2559" s="1"/>
      <c r="O2559" s="1"/>
      <c r="P2559" s="1"/>
      <c r="Q2559" s="1"/>
      <c r="R2559" s="1"/>
      <c r="S2559" s="1"/>
      <c r="T2559" s="1"/>
      <c r="U2559" s="1"/>
      <c r="V2559" s="1"/>
      <c r="W2559" s="1"/>
      <c r="X2559" s="1" t="s">
        <v>4534</v>
      </c>
      <c r="Y2559" s="1" t="s">
        <v>9740</v>
      </c>
    </row>
    <row r="2560">
      <c r="A2560" s="1">
        <v>3.5068544E7</v>
      </c>
      <c r="B2560" s="1" t="s">
        <v>9741</v>
      </c>
      <c r="C2560" s="1" t="s">
        <v>9742</v>
      </c>
      <c r="D2560" s="1" t="s">
        <v>9743</v>
      </c>
      <c r="F2560" s="2" t="str">
        <f>"0062427792"</f>
        <v>0062427792</v>
      </c>
      <c r="G2560" s="2" t="str">
        <f>"9780062427793"</f>
        <v>9780062427793</v>
      </c>
      <c r="H2560" s="1" t="s">
        <v>290</v>
      </c>
      <c r="I2560" s="1" t="s">
        <v>238</v>
      </c>
      <c r="J2560" s="1">
        <v>254.0</v>
      </c>
      <c r="K2560" s="1">
        <v>2018.0</v>
      </c>
      <c r="L2560" s="1">
        <v>2018.0</v>
      </c>
      <c r="M2560" s="1"/>
      <c r="N2560" s="1"/>
      <c r="O2560" s="1"/>
      <c r="P2560" s="1"/>
      <c r="Q2560" s="1"/>
      <c r="R2560" s="1"/>
      <c r="S2560" s="1"/>
      <c r="T2560" s="1"/>
      <c r="U2560" s="1"/>
      <c r="V2560" s="1"/>
      <c r="W2560" s="1"/>
      <c r="X2560" s="1" t="s">
        <v>7614</v>
      </c>
      <c r="Y2560" s="1" t="s">
        <v>9744</v>
      </c>
    </row>
    <row r="2561">
      <c r="A2561" s="1">
        <v>252284.0</v>
      </c>
      <c r="B2561" s="1" t="s">
        <v>9745</v>
      </c>
      <c r="C2561" s="1" t="s">
        <v>1182</v>
      </c>
      <c r="D2561" s="1" t="s">
        <v>1183</v>
      </c>
      <c r="E2561" s="1" t="s">
        <v>9746</v>
      </c>
      <c r="F2561" s="2" t="str">
        <f>"0679889078"</f>
        <v>0679889078</v>
      </c>
      <c r="G2561" s="2" t="str">
        <f>"9780679889076"</f>
        <v>9780679889076</v>
      </c>
      <c r="H2561" s="1" t="s">
        <v>1072</v>
      </c>
      <c r="I2561" s="1" t="s">
        <v>31</v>
      </c>
      <c r="J2561" s="1">
        <v>254.0</v>
      </c>
      <c r="K2561" s="1">
        <v>1997.0</v>
      </c>
      <c r="L2561" s="1">
        <v>1997.0</v>
      </c>
      <c r="M2561" s="1"/>
      <c r="N2561" s="1"/>
      <c r="O2561" s="1"/>
      <c r="P2561" s="1"/>
      <c r="Q2561" s="1"/>
      <c r="R2561" s="1"/>
      <c r="S2561" s="1"/>
      <c r="T2561" s="1"/>
      <c r="U2561" s="1"/>
      <c r="V2561" s="1"/>
      <c r="W2561" s="1"/>
      <c r="X2561" s="1" t="s">
        <v>6982</v>
      </c>
      <c r="Y2561" s="1" t="s">
        <v>9747</v>
      </c>
    </row>
    <row r="2562">
      <c r="A2562" s="1">
        <v>4.32611E7</v>
      </c>
      <c r="B2562" s="1" t="s">
        <v>9748</v>
      </c>
      <c r="C2562" s="1" t="s">
        <v>7065</v>
      </c>
      <c r="D2562" s="1" t="s">
        <v>7066</v>
      </c>
      <c r="E2562" s="1" t="s">
        <v>9749</v>
      </c>
      <c r="F2562" s="2" t="str">
        <f>"0358064724"</f>
        <v>0358064724</v>
      </c>
      <c r="G2562" s="2" t="str">
        <f>"9780358064725"</f>
        <v>9780358064725</v>
      </c>
      <c r="H2562" s="1" t="s">
        <v>1799</v>
      </c>
      <c r="I2562" s="1" t="s">
        <v>31</v>
      </c>
      <c r="J2562" s="1">
        <v>256.0</v>
      </c>
      <c r="K2562" s="1">
        <v>2019.0</v>
      </c>
      <c r="L2562" s="1">
        <v>2014.0</v>
      </c>
      <c r="M2562" s="1"/>
      <c r="N2562" s="1"/>
      <c r="O2562" s="1"/>
      <c r="P2562" s="1"/>
      <c r="Q2562" s="1"/>
      <c r="R2562" s="1"/>
      <c r="S2562" s="1"/>
      <c r="T2562" s="1"/>
      <c r="U2562" s="1"/>
      <c r="V2562" s="1"/>
      <c r="W2562" s="1"/>
      <c r="X2562" s="1" t="s">
        <v>8702</v>
      </c>
      <c r="Y2562" s="1" t="s">
        <v>9750</v>
      </c>
    </row>
    <row r="2563">
      <c r="A2563" s="1">
        <v>1721423.0</v>
      </c>
      <c r="B2563" s="1" t="s">
        <v>9751</v>
      </c>
      <c r="C2563" s="1" t="s">
        <v>9752</v>
      </c>
      <c r="D2563" s="1" t="s">
        <v>9753</v>
      </c>
      <c r="F2563" s="2" t="str">
        <f>"0399234756"</f>
        <v>0399234756</v>
      </c>
      <c r="G2563" s="2" t="str">
        <f>"9780399234750"</f>
        <v>9780399234750</v>
      </c>
      <c r="H2563" s="1" t="s">
        <v>2525</v>
      </c>
      <c r="I2563" s="1" t="s">
        <v>31</v>
      </c>
      <c r="J2563" s="1">
        <v>256.0</v>
      </c>
      <c r="K2563" s="1">
        <v>2008.0</v>
      </c>
      <c r="L2563" s="1">
        <v>2008.0</v>
      </c>
      <c r="M2563" s="1"/>
      <c r="N2563" s="1"/>
      <c r="O2563" s="1"/>
      <c r="P2563" s="1"/>
      <c r="Q2563" s="1"/>
      <c r="R2563" s="1"/>
      <c r="S2563" s="1"/>
      <c r="T2563" s="1"/>
      <c r="U2563" s="1"/>
      <c r="V2563" s="1"/>
      <c r="W2563" s="1"/>
      <c r="X2563" s="1" t="s">
        <v>458</v>
      </c>
      <c r="Y2563" s="1" t="s">
        <v>9754</v>
      </c>
    </row>
    <row r="2564">
      <c r="A2564" s="1">
        <v>2.4611765E7</v>
      </c>
      <c r="B2564" s="1" t="s">
        <v>9755</v>
      </c>
      <c r="C2564" s="1" t="s">
        <v>9756</v>
      </c>
      <c r="D2564" s="1" t="s">
        <v>9757</v>
      </c>
      <c r="E2564" s="1" t="s">
        <v>9758</v>
      </c>
      <c r="F2564" s="2" t="str">
        <f>"0670016616"</f>
        <v>0670016616</v>
      </c>
      <c r="G2564" s="2" t="str">
        <f>"9780670016617"</f>
        <v>9780670016617</v>
      </c>
      <c r="H2564" s="1" t="s">
        <v>2746</v>
      </c>
      <c r="I2564" s="1" t="s">
        <v>31</v>
      </c>
      <c r="J2564" s="1">
        <v>256.0</v>
      </c>
      <c r="K2564" s="1">
        <v>2015.0</v>
      </c>
      <c r="L2564" s="1">
        <v>2015.0</v>
      </c>
      <c r="M2564" s="1"/>
      <c r="N2564" s="1"/>
      <c r="O2564" s="1"/>
      <c r="P2564" s="1"/>
      <c r="Q2564" s="1"/>
      <c r="R2564" s="1"/>
      <c r="S2564" s="1"/>
      <c r="T2564" s="1"/>
      <c r="U2564" s="1"/>
      <c r="V2564" s="1"/>
      <c r="W2564" s="1"/>
      <c r="X2564" s="1" t="s">
        <v>9759</v>
      </c>
      <c r="Y2564" s="1" t="s">
        <v>9760</v>
      </c>
    </row>
    <row r="2565">
      <c r="A2565" s="1">
        <v>5.7468726E7</v>
      </c>
      <c r="B2565" s="1" t="s">
        <v>9761</v>
      </c>
      <c r="C2565" s="1" t="s">
        <v>9762</v>
      </c>
      <c r="D2565" s="1" t="s">
        <v>9763</v>
      </c>
      <c r="F2565" s="2" t="str">
        <f>"1338743244"</f>
        <v>1338743244</v>
      </c>
      <c r="G2565" s="2" t="str">
        <f>"9781338743241"</f>
        <v>9781338743241</v>
      </c>
      <c r="H2565" s="1" t="s">
        <v>857</v>
      </c>
      <c r="I2565" s="1" t="s">
        <v>31</v>
      </c>
      <c r="J2565" s="1">
        <v>256.0</v>
      </c>
      <c r="K2565" s="1">
        <v>2022.0</v>
      </c>
      <c r="L2565" s="1">
        <v>2022.0</v>
      </c>
      <c r="M2565" s="1"/>
      <c r="N2565" s="1"/>
      <c r="O2565" s="1"/>
      <c r="P2565" s="1"/>
      <c r="Q2565" s="1"/>
      <c r="R2565" s="1"/>
      <c r="S2565" s="1"/>
      <c r="T2565" s="1"/>
      <c r="U2565" s="1"/>
      <c r="V2565" s="1"/>
      <c r="W2565" s="1"/>
      <c r="X2565" s="1" t="s">
        <v>45</v>
      </c>
      <c r="Y2565" s="1" t="s">
        <v>9764</v>
      </c>
    </row>
    <row r="2566">
      <c r="A2566" s="1">
        <v>1.1327573E7</v>
      </c>
      <c r="B2566" s="1" t="s">
        <v>9765</v>
      </c>
      <c r="C2566" s="1" t="s">
        <v>7576</v>
      </c>
      <c r="D2566" s="1" t="s">
        <v>7577</v>
      </c>
      <c r="F2566" s="2" t="str">
        <f>"0528965425"</f>
        <v>0528965425</v>
      </c>
      <c r="G2566" s="2" t="str">
        <f>"9780528965425"</f>
        <v>9780528965425</v>
      </c>
      <c r="H2566" s="1" t="s">
        <v>7654</v>
      </c>
      <c r="I2566" s="1" t="s">
        <v>36</v>
      </c>
      <c r="J2566" s="1">
        <v>256.0</v>
      </c>
      <c r="K2566" s="1">
        <v>2003.0</v>
      </c>
    </row>
    <row r="2567">
      <c r="A2567" s="1">
        <v>4.0864655E7</v>
      </c>
      <c r="B2567" s="1" t="s">
        <v>9766</v>
      </c>
      <c r="C2567" s="1" t="s">
        <v>9767</v>
      </c>
      <c r="D2567" s="1" t="s">
        <v>9768</v>
      </c>
      <c r="F2567" s="2" t="str">
        <f>"9351034216"</f>
        <v>9351034216</v>
      </c>
      <c r="G2567" s="2" t="str">
        <f>"9789351034216"</f>
        <v>9789351034216</v>
      </c>
      <c r="H2567" s="1" t="s">
        <v>9769</v>
      </c>
      <c r="I2567" s="1" t="s">
        <v>36</v>
      </c>
      <c r="J2567" s="1">
        <v>256.0</v>
      </c>
      <c r="K2567" s="1">
        <v>2016.0</v>
      </c>
      <c r="L2567" s="1">
        <v>2015.0</v>
      </c>
      <c r="M2567" s="1"/>
      <c r="N2567" s="1"/>
      <c r="O2567" s="1"/>
      <c r="P2567" s="1"/>
      <c r="Q2567" s="1"/>
      <c r="R2567" s="1"/>
      <c r="S2567" s="1"/>
      <c r="T2567" s="1"/>
      <c r="U2567" s="1"/>
      <c r="V2567" s="1"/>
      <c r="W2567" s="1"/>
      <c r="X2567" s="1" t="s">
        <v>83</v>
      </c>
      <c r="Y2567" s="1" t="s">
        <v>9770</v>
      </c>
    </row>
    <row r="2568">
      <c r="A2568" s="1">
        <v>5.9806072E7</v>
      </c>
      <c r="B2568" s="1" t="s">
        <v>9771</v>
      </c>
      <c r="C2568" s="1" t="s">
        <v>7879</v>
      </c>
      <c r="D2568" s="1" t="s">
        <v>7880</v>
      </c>
      <c r="F2568" s="2" t="str">
        <f>"1338776029"</f>
        <v>1338776029</v>
      </c>
      <c r="G2568" s="2" t="str">
        <f>"9781338776027"</f>
        <v>9781338776027</v>
      </c>
      <c r="H2568" s="1" t="s">
        <v>857</v>
      </c>
      <c r="I2568" s="1" t="s">
        <v>91</v>
      </c>
      <c r="J2568" s="1">
        <v>256.0</v>
      </c>
      <c r="K2568" s="1">
        <v>2022.0</v>
      </c>
      <c r="M2568" s="1"/>
      <c r="N2568" s="1"/>
      <c r="O2568" s="1"/>
      <c r="P2568" s="1"/>
      <c r="Q2568" s="1"/>
      <c r="R2568" s="1"/>
      <c r="S2568" s="1"/>
      <c r="T2568" s="1"/>
      <c r="U2568" s="1"/>
      <c r="V2568" s="1"/>
      <c r="W2568" s="1"/>
      <c r="X2568" s="1" t="s">
        <v>609</v>
      </c>
      <c r="Y2568" s="1" t="s">
        <v>9772</v>
      </c>
    </row>
    <row r="2569">
      <c r="A2569" s="1">
        <v>5.9806182E7</v>
      </c>
      <c r="B2569" s="1" t="s">
        <v>9773</v>
      </c>
      <c r="C2569" s="1" t="s">
        <v>9774</v>
      </c>
      <c r="D2569" s="1" t="s">
        <v>9775</v>
      </c>
      <c r="F2569" s="2" t="str">
        <f>"1338846663"</f>
        <v>1338846663</v>
      </c>
      <c r="G2569" s="2" t="str">
        <f>"9781338846669"</f>
        <v>9781338846669</v>
      </c>
      <c r="H2569" s="1" t="s">
        <v>817</v>
      </c>
      <c r="I2569" s="1" t="s">
        <v>36</v>
      </c>
      <c r="J2569" s="1">
        <v>256.0</v>
      </c>
      <c r="K2569" s="1">
        <v>2022.0</v>
      </c>
      <c r="M2569" s="1"/>
      <c r="N2569" s="1"/>
      <c r="O2569" s="1"/>
      <c r="P2569" s="1"/>
      <c r="Q2569" s="1"/>
      <c r="R2569" s="1"/>
      <c r="S2569" s="1"/>
      <c r="T2569" s="1"/>
      <c r="U2569" s="1"/>
      <c r="V2569" s="1"/>
      <c r="W2569" s="1"/>
      <c r="X2569" s="1" t="s">
        <v>8068</v>
      </c>
      <c r="Y2569" s="1" t="s">
        <v>9776</v>
      </c>
    </row>
    <row r="2570">
      <c r="A2570" s="1">
        <v>5.7835911E7</v>
      </c>
      <c r="B2570" s="1" t="s">
        <v>9777</v>
      </c>
      <c r="C2570" s="1" t="s">
        <v>9778</v>
      </c>
      <c r="D2570" s="1" t="s">
        <v>9779</v>
      </c>
      <c r="F2570" s="2" t="str">
        <f>"1338535587"</f>
        <v>1338535587</v>
      </c>
      <c r="G2570" s="2" t="str">
        <f>"9781338535587"</f>
        <v>9781338535587</v>
      </c>
      <c r="H2570" s="1" t="s">
        <v>640</v>
      </c>
      <c r="I2570" s="1" t="s">
        <v>31</v>
      </c>
      <c r="J2570" s="1">
        <v>256.0</v>
      </c>
      <c r="K2570" s="1">
        <v>2022.0</v>
      </c>
      <c r="L2570" s="1">
        <v>2022.0</v>
      </c>
      <c r="M2570" s="1"/>
      <c r="N2570" s="1"/>
      <c r="O2570" s="1"/>
      <c r="P2570" s="1"/>
      <c r="Q2570" s="1"/>
      <c r="R2570" s="1"/>
      <c r="S2570" s="1"/>
      <c r="T2570" s="1"/>
      <c r="U2570" s="1"/>
      <c r="V2570" s="1"/>
      <c r="W2570" s="1"/>
      <c r="X2570" s="1" t="s">
        <v>363</v>
      </c>
      <c r="Y2570" s="1" t="s">
        <v>9780</v>
      </c>
    </row>
    <row r="2571">
      <c r="A2571" s="1">
        <v>1.579458E7</v>
      </c>
      <c r="B2571" s="1" t="s">
        <v>9781</v>
      </c>
      <c r="C2571" s="1" t="s">
        <v>9782</v>
      </c>
      <c r="D2571" s="1" t="s">
        <v>9783</v>
      </c>
      <c r="E2571" s="1" t="s">
        <v>9784</v>
      </c>
      <c r="F2571" s="2" t="str">
        <f>"1250026903"</f>
        <v>1250026903</v>
      </c>
      <c r="G2571" s="2" t="str">
        <f>"9781250026903"</f>
        <v>9781250026903</v>
      </c>
      <c r="H2571" s="1" t="s">
        <v>2940</v>
      </c>
      <c r="I2571" s="1" t="s">
        <v>31</v>
      </c>
      <c r="J2571" s="1">
        <v>256.0</v>
      </c>
      <c r="K2571" s="1">
        <v>2013.0</v>
      </c>
      <c r="L2571" s="1">
        <v>2011.0</v>
      </c>
      <c r="M2571" s="1"/>
      <c r="N2571" s="1"/>
      <c r="O2571" s="1"/>
      <c r="P2571" s="1"/>
      <c r="Q2571" s="1"/>
      <c r="R2571" s="1"/>
      <c r="S2571" s="1"/>
      <c r="T2571" s="1"/>
      <c r="U2571" s="1"/>
      <c r="V2571" s="1"/>
      <c r="W2571" s="1"/>
      <c r="X2571" s="1" t="s">
        <v>549</v>
      </c>
      <c r="Y2571" s="1" t="s">
        <v>9785</v>
      </c>
    </row>
    <row r="2572">
      <c r="A2572" s="1">
        <v>3.4196084E7</v>
      </c>
      <c r="B2572" s="1" t="s">
        <v>9786</v>
      </c>
      <c r="C2572" s="1" t="s">
        <v>9787</v>
      </c>
      <c r="D2572" s="1" t="s">
        <v>9788</v>
      </c>
      <c r="F2572" s="2" t="str">
        <f>"1629798266"</f>
        <v>1629798266</v>
      </c>
      <c r="G2572" s="2" t="str">
        <f>"9781629798264"</f>
        <v>9781629798264</v>
      </c>
      <c r="H2572" s="1" t="s">
        <v>9789</v>
      </c>
      <c r="I2572" s="1" t="s">
        <v>36</v>
      </c>
      <c r="J2572" s="1">
        <v>256.0</v>
      </c>
      <c r="K2572" s="1">
        <v>2017.0</v>
      </c>
      <c r="M2572" s="1"/>
      <c r="N2572" s="1"/>
      <c r="O2572" s="1"/>
      <c r="P2572" s="1"/>
      <c r="Q2572" s="1"/>
      <c r="R2572" s="1"/>
      <c r="S2572" s="1"/>
      <c r="T2572" s="1"/>
      <c r="U2572" s="1"/>
      <c r="V2572" s="1"/>
      <c r="W2572" s="1"/>
      <c r="X2572" s="1" t="s">
        <v>380</v>
      </c>
      <c r="Y2572" s="1" t="s">
        <v>9790</v>
      </c>
    </row>
    <row r="2573">
      <c r="A2573" s="1">
        <v>3.6483883E7</v>
      </c>
      <c r="B2573" s="1" t="s">
        <v>9791</v>
      </c>
      <c r="C2573" s="1" t="s">
        <v>9792</v>
      </c>
      <c r="D2573" s="1" t="s">
        <v>9793</v>
      </c>
      <c r="E2573" s="1" t="s">
        <v>9794</v>
      </c>
      <c r="F2573" s="2" t="str">
        <f t="shared" ref="F2573:G2573" si="168">""</f>
        <v/>
      </c>
      <c r="G2573" s="2" t="str">
        <f t="shared" si="168"/>
        <v/>
      </c>
      <c r="H2573" s="1" t="s">
        <v>640</v>
      </c>
      <c r="I2573" s="1" t="s">
        <v>31</v>
      </c>
      <c r="J2573" s="1">
        <v>256.0</v>
      </c>
      <c r="K2573" s="1">
        <v>2020.0</v>
      </c>
      <c r="L2573" s="1">
        <v>2020.0</v>
      </c>
      <c r="M2573" s="1"/>
      <c r="N2573" s="1"/>
      <c r="O2573" s="1"/>
      <c r="P2573" s="1"/>
      <c r="Q2573" s="1"/>
      <c r="R2573" s="1"/>
      <c r="S2573" s="1"/>
      <c r="T2573" s="1"/>
      <c r="U2573" s="1"/>
      <c r="V2573" s="1"/>
      <c r="W2573" s="1"/>
      <c r="X2573" s="1" t="s">
        <v>363</v>
      </c>
      <c r="Y2573" s="1" t="s">
        <v>9795</v>
      </c>
    </row>
    <row r="2574">
      <c r="A2574" s="1">
        <v>3.2819894E7</v>
      </c>
      <c r="B2574" s="1" t="s">
        <v>9796</v>
      </c>
      <c r="C2574" s="1" t="s">
        <v>349</v>
      </c>
      <c r="D2574" s="1" t="s">
        <v>350</v>
      </c>
      <c r="F2574" s="2" t="str">
        <f>"1338053779"</f>
        <v>1338053779</v>
      </c>
      <c r="G2574" s="2" t="str">
        <f>"9781338053777"</f>
        <v>9781338053777</v>
      </c>
      <c r="H2574" s="1" t="s">
        <v>857</v>
      </c>
      <c r="I2574" s="1" t="s">
        <v>31</v>
      </c>
      <c r="J2574" s="1">
        <v>256.0</v>
      </c>
      <c r="K2574" s="1">
        <v>2017.0</v>
      </c>
      <c r="L2574" s="1">
        <v>2017.0</v>
      </c>
      <c r="M2574" s="1"/>
      <c r="N2574" s="1"/>
      <c r="O2574" s="1"/>
      <c r="P2574" s="1"/>
      <c r="Q2574" s="1"/>
      <c r="R2574" s="1"/>
      <c r="S2574" s="1"/>
      <c r="T2574" s="1"/>
      <c r="U2574" s="1"/>
      <c r="V2574" s="1"/>
      <c r="W2574" s="1"/>
      <c r="X2574" s="1" t="s">
        <v>45</v>
      </c>
      <c r="Y2574" s="1" t="s">
        <v>9797</v>
      </c>
    </row>
    <row r="2575">
      <c r="A2575" s="1">
        <v>5.7468696E7</v>
      </c>
      <c r="B2575" s="1" t="s">
        <v>9798</v>
      </c>
      <c r="C2575" s="1" t="s">
        <v>9799</v>
      </c>
      <c r="D2575" s="1" t="s">
        <v>9800</v>
      </c>
      <c r="F2575" s="2" t="str">
        <f>"1338635115"</f>
        <v>1338635115</v>
      </c>
      <c r="G2575" s="2" t="str">
        <f>"9781338635119"</f>
        <v>9781338635119</v>
      </c>
      <c r="H2575" s="1" t="s">
        <v>2944</v>
      </c>
      <c r="I2575" s="1" t="s">
        <v>36</v>
      </c>
      <c r="J2575" s="1">
        <v>256.0</v>
      </c>
      <c r="K2575" s="1">
        <v>2022.0</v>
      </c>
      <c r="M2575" s="1"/>
      <c r="N2575" s="1"/>
      <c r="O2575" s="1"/>
      <c r="P2575" s="1"/>
      <c r="Q2575" s="1"/>
      <c r="R2575" s="1"/>
      <c r="S2575" s="1"/>
      <c r="T2575" s="1"/>
      <c r="U2575" s="1"/>
      <c r="V2575" s="1"/>
      <c r="W2575" s="1"/>
      <c r="X2575" s="1" t="s">
        <v>609</v>
      </c>
      <c r="Y2575" s="1" t="s">
        <v>9801</v>
      </c>
    </row>
    <row r="2576">
      <c r="A2576" s="1">
        <v>3.0754027E7</v>
      </c>
      <c r="B2576" s="1" t="s">
        <v>9802</v>
      </c>
      <c r="C2576" s="1" t="s">
        <v>9803</v>
      </c>
      <c r="D2576" s="1" t="s">
        <v>9804</v>
      </c>
      <c r="F2576" s="2" t="str">
        <f>"0761189130"</f>
        <v>0761189130</v>
      </c>
      <c r="G2576" s="2" t="str">
        <f>"9780761189138"</f>
        <v>9780761189138</v>
      </c>
      <c r="H2576" s="1" t="s">
        <v>911</v>
      </c>
      <c r="I2576" s="1" t="s">
        <v>36</v>
      </c>
      <c r="J2576" s="1">
        <v>256.0</v>
      </c>
      <c r="K2576" s="1">
        <v>2017.0</v>
      </c>
      <c r="L2576" s="1">
        <v>2017.0</v>
      </c>
      <c r="M2576" s="1"/>
      <c r="N2576" s="1"/>
      <c r="O2576" s="1"/>
      <c r="P2576" s="1"/>
      <c r="Q2576" s="1"/>
      <c r="R2576" s="1"/>
      <c r="S2576" s="1"/>
      <c r="T2576" s="1"/>
      <c r="U2576" s="1"/>
      <c r="V2576" s="1"/>
      <c r="W2576" s="1"/>
      <c r="X2576" s="1" t="s">
        <v>1195</v>
      </c>
      <c r="Y2576" s="1" t="s">
        <v>9805</v>
      </c>
    </row>
    <row r="2577">
      <c r="A2577" s="1">
        <v>9583157.0</v>
      </c>
      <c r="B2577" s="1" t="s">
        <v>9806</v>
      </c>
      <c r="C2577" s="1" t="s">
        <v>9807</v>
      </c>
      <c r="D2577" s="1" t="s">
        <v>9808</v>
      </c>
      <c r="F2577" s="2" t="str">
        <f>"1407120697"</f>
        <v>1407120697</v>
      </c>
      <c r="G2577" s="2" t="str">
        <f>"9781407120690"</f>
        <v>9781407120690</v>
      </c>
      <c r="H2577" s="1" t="s">
        <v>50</v>
      </c>
      <c r="I2577" s="1" t="s">
        <v>36</v>
      </c>
      <c r="J2577" s="1">
        <v>256.0</v>
      </c>
      <c r="K2577" s="1">
        <v>2011.0</v>
      </c>
      <c r="L2577" s="1">
        <v>2014.0</v>
      </c>
      <c r="M2577" s="1"/>
      <c r="N2577" s="1"/>
      <c r="O2577" s="1"/>
      <c r="P2577" s="1"/>
      <c r="Q2577" s="1"/>
      <c r="R2577" s="1"/>
      <c r="S2577" s="1"/>
      <c r="T2577" s="1"/>
      <c r="U2577" s="1"/>
      <c r="V2577" s="1"/>
      <c r="W2577" s="1"/>
      <c r="X2577" s="1" t="s">
        <v>727</v>
      </c>
      <c r="Y2577" s="1" t="s">
        <v>9809</v>
      </c>
    </row>
    <row r="2578">
      <c r="A2578" s="1">
        <v>3.3931235E7</v>
      </c>
      <c r="B2578" s="1" t="s">
        <v>9810</v>
      </c>
      <c r="C2578" s="1" t="s">
        <v>546</v>
      </c>
      <c r="D2578" s="1" t="s">
        <v>547</v>
      </c>
      <c r="F2578" s="2" t="str">
        <f>"0545935210"</f>
        <v>0545935210</v>
      </c>
      <c r="G2578" s="2" t="str">
        <f>"9780545935210"</f>
        <v>9780545935210</v>
      </c>
      <c r="H2578" s="1" t="s">
        <v>640</v>
      </c>
      <c r="I2578" s="1" t="s">
        <v>36</v>
      </c>
      <c r="J2578" s="1">
        <v>256.0</v>
      </c>
      <c r="K2578" s="1">
        <v>2017.0</v>
      </c>
      <c r="L2578" s="1">
        <v>2017.0</v>
      </c>
      <c r="M2578" s="1"/>
      <c r="N2578" s="1"/>
      <c r="O2578" s="1"/>
      <c r="P2578" s="1"/>
      <c r="Q2578" s="1"/>
      <c r="R2578" s="1"/>
      <c r="S2578" s="1"/>
      <c r="T2578" s="1"/>
      <c r="U2578" s="1"/>
      <c r="V2578" s="1"/>
      <c r="W2578" s="1"/>
      <c r="X2578" s="1" t="s">
        <v>549</v>
      </c>
      <c r="Y2578" s="1" t="s">
        <v>9811</v>
      </c>
    </row>
    <row r="2579">
      <c r="A2579" s="1">
        <v>3.2720241E7</v>
      </c>
      <c r="B2579" s="1" t="s">
        <v>9812</v>
      </c>
      <c r="C2579" s="1" t="s">
        <v>9813</v>
      </c>
      <c r="D2579" s="1" t="s">
        <v>9814</v>
      </c>
      <c r="F2579" s="2" t="str">
        <f t="shared" ref="F2579:G2579" si="169">""</f>
        <v/>
      </c>
      <c r="G2579" s="2" t="str">
        <f t="shared" si="169"/>
        <v/>
      </c>
      <c r="H2579" s="1" t="s">
        <v>726</v>
      </c>
      <c r="I2579" s="1" t="s">
        <v>31</v>
      </c>
      <c r="J2579" s="1">
        <v>256.0</v>
      </c>
      <c r="K2579" s="1">
        <v>2018.0</v>
      </c>
      <c r="L2579" s="1">
        <v>2018.0</v>
      </c>
    </row>
    <row r="2580">
      <c r="A2580" s="1">
        <v>3.4057292E7</v>
      </c>
      <c r="B2580" s="1" t="s">
        <v>9815</v>
      </c>
      <c r="C2580" s="1" t="s">
        <v>1182</v>
      </c>
      <c r="D2580" s="1" t="s">
        <v>1183</v>
      </c>
      <c r="E2580" s="1" t="s">
        <v>9816</v>
      </c>
      <c r="F2580" s="2" t="str">
        <f>"1524764426"</f>
        <v>1524764426</v>
      </c>
      <c r="G2580" s="2" t="str">
        <f>"9781524764425"</f>
        <v>9781524764425</v>
      </c>
      <c r="H2580" s="1" t="s">
        <v>156</v>
      </c>
      <c r="I2580" s="1" t="s">
        <v>31</v>
      </c>
      <c r="J2580" s="1">
        <v>256.0</v>
      </c>
      <c r="K2580" s="1">
        <v>2017.0</v>
      </c>
      <c r="M2580" s="1"/>
      <c r="N2580" s="1"/>
      <c r="O2580" s="1"/>
      <c r="P2580" s="1"/>
      <c r="Q2580" s="1"/>
      <c r="R2580" s="1"/>
      <c r="S2580" s="1"/>
      <c r="T2580" s="1"/>
      <c r="U2580" s="1"/>
      <c r="V2580" s="1"/>
      <c r="W2580" s="1"/>
      <c r="X2580" s="1" t="s">
        <v>6982</v>
      </c>
      <c r="Y2580" s="1" t="s">
        <v>9817</v>
      </c>
    </row>
    <row r="2581">
      <c r="A2581" s="1">
        <v>1.603263E7</v>
      </c>
      <c r="B2581" s="1" t="s">
        <v>9818</v>
      </c>
      <c r="C2581" s="1" t="s">
        <v>9819</v>
      </c>
      <c r="D2581" s="1" t="s">
        <v>9820</v>
      </c>
      <c r="E2581" s="1" t="s">
        <v>9821</v>
      </c>
      <c r="F2581" s="2" t="str">
        <f>"0316247545"</f>
        <v>0316247545</v>
      </c>
      <c r="G2581" s="2" t="str">
        <f>"9780316247542"</f>
        <v>9780316247542</v>
      </c>
      <c r="H2581" s="1" t="s">
        <v>112</v>
      </c>
      <c r="I2581" s="1" t="s">
        <v>31</v>
      </c>
      <c r="J2581" s="1">
        <v>256.0</v>
      </c>
      <c r="K2581" s="1">
        <v>2013.0</v>
      </c>
      <c r="L2581" s="1">
        <v>2013.0</v>
      </c>
      <c r="M2581" s="1"/>
      <c r="N2581" s="1"/>
      <c r="O2581" s="1"/>
      <c r="P2581" s="1"/>
      <c r="Q2581" s="1"/>
      <c r="R2581" s="1"/>
      <c r="S2581" s="1"/>
      <c r="T2581" s="1"/>
      <c r="U2581" s="1"/>
      <c r="V2581" s="1"/>
      <c r="W2581" s="1"/>
      <c r="X2581" s="1" t="s">
        <v>553</v>
      </c>
      <c r="Y2581" s="1" t="s">
        <v>9822</v>
      </c>
    </row>
    <row r="2582">
      <c r="A2582" s="1">
        <v>5.746874E7</v>
      </c>
      <c r="B2582" s="1" t="s">
        <v>9823</v>
      </c>
      <c r="C2582" s="1" t="s">
        <v>9628</v>
      </c>
      <c r="D2582" s="1" t="s">
        <v>9629</v>
      </c>
      <c r="E2582" s="1" t="s">
        <v>9630</v>
      </c>
      <c r="F2582" s="2" t="str">
        <f>"1338749609"</f>
        <v>1338749609</v>
      </c>
      <c r="G2582" s="2" t="str">
        <f>"9781338749601"</f>
        <v>9781338749601</v>
      </c>
      <c r="H2582" s="1" t="s">
        <v>857</v>
      </c>
      <c r="I2582" s="1" t="s">
        <v>31</v>
      </c>
      <c r="J2582" s="1">
        <v>256.0</v>
      </c>
      <c r="K2582" s="1">
        <v>2022.0</v>
      </c>
      <c r="M2582" s="1"/>
      <c r="N2582" s="1"/>
      <c r="O2582" s="1"/>
      <c r="P2582" s="1"/>
      <c r="Q2582" s="1"/>
      <c r="R2582" s="1"/>
      <c r="S2582" s="1"/>
      <c r="T2582" s="1"/>
      <c r="U2582" s="1"/>
      <c r="V2582" s="1"/>
      <c r="W2582" s="1"/>
      <c r="X2582" s="1" t="s">
        <v>45</v>
      </c>
      <c r="Y2582" s="1" t="s">
        <v>9824</v>
      </c>
    </row>
    <row r="2583">
      <c r="A2583" s="1">
        <v>5.7763372E7</v>
      </c>
      <c r="B2583" s="1" t="s">
        <v>9825</v>
      </c>
      <c r="C2583" s="1" t="s">
        <v>9058</v>
      </c>
      <c r="D2583" s="1" t="s">
        <v>9059</v>
      </c>
      <c r="F2583" s="2" t="str">
        <f>"1338801902"</f>
        <v>1338801902</v>
      </c>
      <c r="G2583" s="2" t="str">
        <f>"9781338801903"</f>
        <v>9781338801903</v>
      </c>
      <c r="H2583" s="1" t="s">
        <v>640</v>
      </c>
      <c r="I2583" s="1" t="s">
        <v>36</v>
      </c>
      <c r="J2583" s="1">
        <v>256.0</v>
      </c>
      <c r="K2583" s="1">
        <v>2022.0</v>
      </c>
      <c r="L2583" s="1">
        <v>2016.0</v>
      </c>
      <c r="M2583" s="1"/>
      <c r="N2583" s="1"/>
      <c r="O2583" s="1"/>
      <c r="P2583" s="1"/>
      <c r="Q2583" s="1"/>
      <c r="R2583" s="1"/>
      <c r="S2583" s="1"/>
      <c r="T2583" s="1"/>
      <c r="U2583" s="1"/>
      <c r="V2583" s="1"/>
      <c r="W2583" s="1"/>
      <c r="X2583" s="1" t="s">
        <v>1024</v>
      </c>
      <c r="Y2583" s="1" t="s">
        <v>9826</v>
      </c>
    </row>
    <row r="2584">
      <c r="A2584" s="1">
        <v>4.4575073E7</v>
      </c>
      <c r="B2584" s="1" t="s">
        <v>9827</v>
      </c>
      <c r="C2584" s="1" t="s">
        <v>9828</v>
      </c>
      <c r="D2584" s="1" t="s">
        <v>9829</v>
      </c>
      <c r="F2584" s="2" t="str">
        <f>"1338538101"</f>
        <v>1338538101</v>
      </c>
      <c r="G2584" s="2" t="str">
        <f>"9781338538106"</f>
        <v>9781338538106</v>
      </c>
      <c r="H2584" s="1" t="s">
        <v>9830</v>
      </c>
      <c r="I2584" s="1" t="s">
        <v>36</v>
      </c>
      <c r="J2584" s="1">
        <v>256.0</v>
      </c>
      <c r="K2584" s="1">
        <v>2020.0</v>
      </c>
      <c r="L2584" s="1">
        <v>2020.0</v>
      </c>
      <c r="M2584" s="1"/>
      <c r="N2584" s="1"/>
      <c r="O2584" s="1"/>
      <c r="P2584" s="1"/>
      <c r="Q2584" s="1"/>
      <c r="R2584" s="1"/>
      <c r="S2584" s="1"/>
      <c r="T2584" s="1"/>
      <c r="U2584" s="1"/>
      <c r="V2584" s="1"/>
      <c r="W2584" s="1"/>
      <c r="X2584" s="1" t="s">
        <v>8068</v>
      </c>
      <c r="Y2584" s="1" t="s">
        <v>9831</v>
      </c>
    </row>
    <row r="2585">
      <c r="A2585" s="1">
        <v>2.531152E7</v>
      </c>
      <c r="B2585" s="1" t="s">
        <v>9832</v>
      </c>
      <c r="C2585" s="1" t="s">
        <v>9833</v>
      </c>
      <c r="D2585" s="1" t="s">
        <v>9834</v>
      </c>
      <c r="E2585" s="1" t="s">
        <v>9835</v>
      </c>
      <c r="F2585" s="2" t="str">
        <f>"0545846609"</f>
        <v>0545846609</v>
      </c>
      <c r="G2585" s="2" t="str">
        <f>"9780545846608"</f>
        <v>9780545846608</v>
      </c>
      <c r="H2585" s="1" t="s">
        <v>857</v>
      </c>
      <c r="I2585" s="1" t="s">
        <v>31</v>
      </c>
      <c r="J2585" s="1">
        <v>256.0</v>
      </c>
      <c r="K2585" s="1">
        <v>2016.0</v>
      </c>
      <c r="L2585" s="1">
        <v>2016.0</v>
      </c>
      <c r="M2585" s="1"/>
      <c r="N2585" s="1"/>
      <c r="O2585" s="1"/>
      <c r="P2585" s="1"/>
      <c r="Q2585" s="1"/>
      <c r="R2585" s="1"/>
      <c r="S2585" s="1"/>
      <c r="T2585" s="1"/>
      <c r="U2585" s="1"/>
      <c r="V2585" s="1"/>
      <c r="W2585" s="1"/>
      <c r="X2585" s="1" t="s">
        <v>8702</v>
      </c>
      <c r="Y2585" s="1" t="s">
        <v>9836</v>
      </c>
    </row>
    <row r="2586">
      <c r="A2586" s="1">
        <v>2850734.0</v>
      </c>
      <c r="B2586" s="1" t="s">
        <v>9837</v>
      </c>
      <c r="C2586" s="1" t="s">
        <v>9838</v>
      </c>
      <c r="D2586" s="1" t="s">
        <v>9839</v>
      </c>
      <c r="F2586" s="2" t="str">
        <f>"0374310262"</f>
        <v>0374310262</v>
      </c>
      <c r="G2586" s="2" t="str">
        <f>"9780374310264"</f>
        <v>9780374310264</v>
      </c>
      <c r="H2586" s="1" t="s">
        <v>5549</v>
      </c>
      <c r="I2586" s="1" t="s">
        <v>31</v>
      </c>
      <c r="J2586" s="1">
        <v>258.0</v>
      </c>
      <c r="K2586" s="1">
        <v>2008.0</v>
      </c>
      <c r="L2586" s="1">
        <v>2008.0</v>
      </c>
      <c r="M2586" s="1"/>
      <c r="N2586" s="1"/>
      <c r="O2586" s="1"/>
      <c r="P2586" s="1"/>
      <c r="Q2586" s="1"/>
      <c r="R2586" s="1"/>
      <c r="S2586" s="1"/>
      <c r="T2586" s="1"/>
      <c r="U2586" s="1"/>
      <c r="V2586" s="1"/>
      <c r="W2586" s="1"/>
      <c r="X2586" s="1" t="s">
        <v>45</v>
      </c>
      <c r="Y2586" s="1" t="s">
        <v>9840</v>
      </c>
    </row>
    <row r="2587">
      <c r="A2587" s="1">
        <v>8537327.0</v>
      </c>
      <c r="B2587" s="1" t="s">
        <v>9841</v>
      </c>
      <c r="C2587" s="1" t="s">
        <v>9842</v>
      </c>
      <c r="D2587" s="1" t="s">
        <v>9843</v>
      </c>
      <c r="F2587" s="2" t="str">
        <f>"0061962783"</f>
        <v>0061962783</v>
      </c>
      <c r="G2587" s="2" t="str">
        <f>"9780061962783"</f>
        <v>9780061962783</v>
      </c>
      <c r="H2587" s="1" t="s">
        <v>290</v>
      </c>
      <c r="I2587" s="1" t="s">
        <v>31</v>
      </c>
      <c r="J2587" s="1">
        <v>262.0</v>
      </c>
      <c r="K2587" s="1">
        <v>2011.0</v>
      </c>
      <c r="L2587" s="1">
        <v>2011.0</v>
      </c>
      <c r="M2587" s="1"/>
      <c r="N2587" s="1"/>
      <c r="O2587" s="1"/>
      <c r="P2587" s="1"/>
      <c r="Q2587" s="1"/>
      <c r="R2587" s="1"/>
      <c r="S2587" s="1"/>
      <c r="T2587" s="1"/>
      <c r="U2587" s="1"/>
      <c r="V2587" s="1"/>
      <c r="W2587" s="1"/>
      <c r="X2587" s="1" t="s">
        <v>45</v>
      </c>
      <c r="Y2587" s="1" t="s">
        <v>9844</v>
      </c>
    </row>
    <row r="2588">
      <c r="A2588" s="1">
        <v>4.4575092E7</v>
      </c>
      <c r="B2588" s="1" t="s">
        <v>9845</v>
      </c>
      <c r="C2588" s="1" t="s">
        <v>606</v>
      </c>
      <c r="D2588" s="1" t="s">
        <v>607</v>
      </c>
      <c r="F2588" s="2" t="str">
        <f>"1338592726"</f>
        <v>1338592726</v>
      </c>
      <c r="G2588" s="2" t="str">
        <f>"9781338592726"</f>
        <v>9781338592726</v>
      </c>
      <c r="H2588" s="1" t="s">
        <v>817</v>
      </c>
      <c r="I2588" s="1" t="s">
        <v>36</v>
      </c>
      <c r="J2588" s="1">
        <v>262.0</v>
      </c>
      <c r="K2588" s="1">
        <v>2020.0</v>
      </c>
      <c r="L2588" s="1">
        <v>2020.0</v>
      </c>
      <c r="M2588" s="1"/>
      <c r="N2588" s="1"/>
      <c r="O2588" s="1"/>
      <c r="P2588" s="1"/>
      <c r="Q2588" s="1"/>
      <c r="R2588" s="1"/>
      <c r="S2588" s="1"/>
      <c r="T2588" s="1"/>
      <c r="U2588" s="1"/>
      <c r="V2588" s="1"/>
      <c r="W2588" s="1"/>
      <c r="X2588" s="1" t="s">
        <v>96</v>
      </c>
      <c r="Y2588" s="1" t="s">
        <v>9846</v>
      </c>
    </row>
    <row r="2589">
      <c r="A2589" s="1">
        <v>4.8710935E7</v>
      </c>
      <c r="B2589" s="1" t="s">
        <v>9847</v>
      </c>
      <c r="C2589" s="1" t="s">
        <v>9756</v>
      </c>
      <c r="D2589" s="1" t="s">
        <v>9757</v>
      </c>
      <c r="E2589" s="1" t="s">
        <v>9758</v>
      </c>
      <c r="F2589" s="2" t="str">
        <f>"0593202937"</f>
        <v>0593202937</v>
      </c>
      <c r="G2589" s="2" t="str">
        <f>"9780593202937"</f>
        <v>9780593202937</v>
      </c>
      <c r="H2589" s="1" t="s">
        <v>2746</v>
      </c>
      <c r="I2589" s="1" t="s">
        <v>238</v>
      </c>
      <c r="J2589" s="1">
        <v>263.0</v>
      </c>
      <c r="K2589" s="1">
        <v>2020.0</v>
      </c>
      <c r="L2589" s="1">
        <v>2020.0</v>
      </c>
      <c r="M2589" s="1"/>
      <c r="N2589" s="1"/>
      <c r="O2589" s="1"/>
      <c r="P2589" s="1"/>
      <c r="Q2589" s="1"/>
      <c r="R2589" s="1"/>
      <c r="S2589" s="1"/>
      <c r="T2589" s="1"/>
      <c r="U2589" s="1"/>
      <c r="V2589" s="1"/>
      <c r="W2589" s="1"/>
      <c r="X2589" s="1" t="s">
        <v>9848</v>
      </c>
      <c r="Y2589" s="1" t="s">
        <v>9849</v>
      </c>
    </row>
    <row r="2590">
      <c r="A2590" s="1">
        <v>15868.0</v>
      </c>
      <c r="B2590" s="1" t="s">
        <v>9850</v>
      </c>
      <c r="C2590" s="1" t="s">
        <v>601</v>
      </c>
      <c r="D2590" s="1" t="s">
        <v>602</v>
      </c>
      <c r="E2590" s="1" t="s">
        <v>9851</v>
      </c>
      <c r="F2590" s="2" t="str">
        <f>"8478886540"</f>
        <v>8478886540</v>
      </c>
      <c r="G2590" s="2" t="str">
        <f>"9788478886548"</f>
        <v>9788478886548</v>
      </c>
      <c r="H2590" s="1" t="s">
        <v>9536</v>
      </c>
      <c r="I2590" s="1" t="s">
        <v>31</v>
      </c>
      <c r="J2590" s="1">
        <v>264.0</v>
      </c>
      <c r="K2590" s="1">
        <v>1999.0</v>
      </c>
      <c r="L2590" s="1">
        <v>1997.0</v>
      </c>
      <c r="M2590" s="1"/>
      <c r="N2590" s="1"/>
      <c r="O2590" s="1"/>
      <c r="P2590" s="1"/>
      <c r="Q2590" s="1"/>
      <c r="R2590" s="1"/>
      <c r="S2590" s="1"/>
      <c r="T2590" s="1"/>
      <c r="U2590" s="1"/>
      <c r="V2590" s="1"/>
      <c r="W2590" s="1"/>
      <c r="X2590" s="1" t="s">
        <v>8702</v>
      </c>
      <c r="Y2590" s="1" t="s">
        <v>9852</v>
      </c>
    </row>
    <row r="2591">
      <c r="A2591" s="1">
        <v>5.2664757E7</v>
      </c>
      <c r="B2591" s="1" t="s">
        <v>9853</v>
      </c>
      <c r="C2591" s="1" t="s">
        <v>9854</v>
      </c>
      <c r="D2591" s="1" t="s">
        <v>9855</v>
      </c>
      <c r="F2591" s="2" t="str">
        <f>"1338587188"</f>
        <v>1338587188</v>
      </c>
      <c r="G2591" s="2" t="str">
        <f>"9781338587180"</f>
        <v>9781338587180</v>
      </c>
      <c r="H2591" s="1" t="s">
        <v>817</v>
      </c>
      <c r="I2591" s="1" t="s">
        <v>31</v>
      </c>
      <c r="J2591" s="1">
        <v>264.0</v>
      </c>
      <c r="K2591" s="1">
        <v>2021.0</v>
      </c>
      <c r="L2591" s="1">
        <v>2021.0</v>
      </c>
      <c r="M2591" s="1"/>
      <c r="N2591" s="1"/>
      <c r="O2591" s="1"/>
      <c r="P2591" s="1"/>
      <c r="Q2591" s="1"/>
      <c r="R2591" s="1"/>
      <c r="S2591" s="1"/>
      <c r="T2591" s="1"/>
      <c r="U2591" s="1"/>
      <c r="V2591" s="1"/>
      <c r="W2591" s="1"/>
      <c r="X2591" s="1" t="s">
        <v>458</v>
      </c>
      <c r="Y2591" s="1" t="s">
        <v>9856</v>
      </c>
    </row>
    <row r="2592">
      <c r="A2592" s="1">
        <v>3.4068612E7</v>
      </c>
      <c r="B2592" s="1" t="s">
        <v>9857</v>
      </c>
      <c r="C2592" s="1" t="s">
        <v>9756</v>
      </c>
      <c r="D2592" s="1" t="s">
        <v>9757</v>
      </c>
      <c r="E2592" s="1" t="s">
        <v>9758</v>
      </c>
      <c r="F2592" s="2" t="str">
        <f>"0425288714"</f>
        <v>0425288714</v>
      </c>
      <c r="G2592" s="2" t="str">
        <f>"9780425288719"</f>
        <v>9780425288719</v>
      </c>
      <c r="H2592" s="1" t="s">
        <v>2746</v>
      </c>
      <c r="I2592" s="1" t="s">
        <v>31</v>
      </c>
      <c r="J2592" s="1">
        <v>265.0</v>
      </c>
      <c r="K2592" s="1">
        <v>2017.0</v>
      </c>
      <c r="L2592" s="1">
        <v>2017.0</v>
      </c>
      <c r="M2592" s="1"/>
      <c r="N2592" s="1"/>
      <c r="O2592" s="1"/>
      <c r="P2592" s="1"/>
      <c r="Q2592" s="1"/>
      <c r="R2592" s="1"/>
      <c r="S2592" s="1"/>
      <c r="T2592" s="1"/>
      <c r="U2592" s="1"/>
      <c r="V2592" s="1"/>
      <c r="W2592" s="1"/>
      <c r="X2592" s="1" t="s">
        <v>45</v>
      </c>
      <c r="Y2592" s="1" t="s">
        <v>9858</v>
      </c>
    </row>
    <row r="2593">
      <c r="A2593" s="1">
        <v>5.3033829E7</v>
      </c>
      <c r="B2593" s="1" t="s">
        <v>9859</v>
      </c>
      <c r="C2593" s="1" t="s">
        <v>9860</v>
      </c>
      <c r="D2593" s="1" t="s">
        <v>9861</v>
      </c>
      <c r="F2593" s="2" t="str">
        <f t="shared" ref="F2593:G2593" si="170">""</f>
        <v/>
      </c>
      <c r="G2593" s="2" t="str">
        <f t="shared" si="170"/>
        <v/>
      </c>
      <c r="H2593" s="1" t="s">
        <v>50</v>
      </c>
      <c r="I2593" s="1" t="s">
        <v>31</v>
      </c>
      <c r="J2593" s="1">
        <v>271.0</v>
      </c>
      <c r="K2593" s="1">
        <v>2020.0</v>
      </c>
      <c r="L2593" s="1">
        <v>2020.0</v>
      </c>
      <c r="M2593" s="1"/>
      <c r="N2593" s="1"/>
      <c r="O2593" s="1"/>
      <c r="P2593" s="1"/>
      <c r="Q2593" s="1"/>
      <c r="R2593" s="1"/>
      <c r="S2593" s="1"/>
      <c r="T2593" s="1"/>
      <c r="U2593" s="1"/>
      <c r="V2593" s="1"/>
      <c r="W2593" s="1"/>
      <c r="X2593" s="1" t="s">
        <v>458</v>
      </c>
      <c r="Y2593" s="1" t="s">
        <v>9862</v>
      </c>
    </row>
    <row r="2594">
      <c r="A2594" s="1">
        <v>5.9806095E7</v>
      </c>
      <c r="B2594" s="1" t="s">
        <v>9863</v>
      </c>
      <c r="C2594" s="1" t="s">
        <v>9864</v>
      </c>
      <c r="D2594" s="1" t="s">
        <v>9865</v>
      </c>
      <c r="F2594" s="2" t="str">
        <f>"1338807331"</f>
        <v>1338807331</v>
      </c>
      <c r="G2594" s="2" t="str">
        <f>"9781338807332"</f>
        <v>9781338807332</v>
      </c>
      <c r="H2594" s="1" t="s">
        <v>817</v>
      </c>
      <c r="I2594" s="1" t="s">
        <v>36</v>
      </c>
      <c r="J2594" s="1">
        <v>272.0</v>
      </c>
      <c r="K2594" s="1">
        <v>2022.0</v>
      </c>
      <c r="L2594" s="1">
        <v>2022.0</v>
      </c>
      <c r="M2594" s="1"/>
      <c r="N2594" s="1"/>
      <c r="O2594" s="1"/>
      <c r="P2594" s="1"/>
      <c r="Q2594" s="1"/>
      <c r="R2594" s="1"/>
      <c r="S2594" s="1"/>
      <c r="T2594" s="1"/>
      <c r="U2594" s="1"/>
      <c r="V2594" s="1"/>
      <c r="W2594" s="1"/>
      <c r="X2594" s="1" t="s">
        <v>8068</v>
      </c>
      <c r="Y2594" s="1" t="s">
        <v>9866</v>
      </c>
    </row>
    <row r="2595">
      <c r="A2595" s="1">
        <v>5.5780537E7</v>
      </c>
      <c r="B2595" s="1" t="s">
        <v>9867</v>
      </c>
      <c r="C2595" s="1" t="s">
        <v>9868</v>
      </c>
      <c r="D2595" s="1" t="s">
        <v>9869</v>
      </c>
      <c r="E2595" s="1" t="s">
        <v>6124</v>
      </c>
      <c r="F2595" s="2" t="str">
        <f>"1250147409"</f>
        <v>1250147409</v>
      </c>
      <c r="G2595" s="2" t="str">
        <f>"9781250147400"</f>
        <v>9781250147400</v>
      </c>
      <c r="H2595" s="1" t="s">
        <v>2940</v>
      </c>
      <c r="I2595" s="1" t="s">
        <v>31</v>
      </c>
      <c r="J2595" s="1">
        <v>272.0</v>
      </c>
      <c r="K2595" s="1">
        <v>2021.0</v>
      </c>
      <c r="L2595" s="1">
        <v>2021.0</v>
      </c>
      <c r="M2595" s="1"/>
      <c r="N2595" s="1"/>
      <c r="O2595" s="1"/>
      <c r="P2595" s="1"/>
      <c r="Q2595" s="1"/>
      <c r="R2595" s="1"/>
      <c r="S2595" s="1"/>
      <c r="T2595" s="1"/>
      <c r="U2595" s="1"/>
      <c r="V2595" s="1"/>
      <c r="W2595" s="1"/>
      <c r="X2595" s="1" t="s">
        <v>96</v>
      </c>
      <c r="Y2595" s="1" t="s">
        <v>9870</v>
      </c>
    </row>
    <row r="2596">
      <c r="A2596" s="1">
        <v>3.7712275E7</v>
      </c>
      <c r="B2596" s="1" t="s">
        <v>9871</v>
      </c>
      <c r="C2596" s="1" t="s">
        <v>9756</v>
      </c>
      <c r="D2596" s="1" t="s">
        <v>9757</v>
      </c>
      <c r="E2596" s="1" t="s">
        <v>9758</v>
      </c>
      <c r="F2596" s="2" t="str">
        <f>"0425292096"</f>
        <v>0425292096</v>
      </c>
      <c r="G2596" s="2" t="str">
        <f>"9780425292099"</f>
        <v>9780425292099</v>
      </c>
      <c r="H2596" s="1" t="s">
        <v>2746</v>
      </c>
      <c r="I2596" s="1" t="s">
        <v>238</v>
      </c>
      <c r="J2596" s="1">
        <v>272.0</v>
      </c>
      <c r="K2596" s="1">
        <v>2018.0</v>
      </c>
      <c r="L2596" s="1">
        <v>2018.0</v>
      </c>
      <c r="M2596" s="1"/>
      <c r="N2596" s="1"/>
      <c r="O2596" s="1"/>
      <c r="P2596" s="1"/>
      <c r="Q2596" s="1"/>
      <c r="R2596" s="1"/>
      <c r="S2596" s="1"/>
      <c r="T2596" s="1"/>
      <c r="U2596" s="1"/>
      <c r="V2596" s="1"/>
      <c r="W2596" s="1"/>
      <c r="X2596" s="1" t="s">
        <v>9759</v>
      </c>
      <c r="Y2596" s="1" t="s">
        <v>9872</v>
      </c>
    </row>
    <row r="2597">
      <c r="A2597" s="1">
        <v>2.5226222E7</v>
      </c>
      <c r="B2597" s="1" t="s">
        <v>9873</v>
      </c>
      <c r="C2597" s="1" t="s">
        <v>9874</v>
      </c>
      <c r="D2597" s="1" t="s">
        <v>9875</v>
      </c>
      <c r="F2597" s="2" t="str">
        <f t="shared" ref="F2597:G2597" si="171">""</f>
        <v/>
      </c>
      <c r="G2597" s="2" t="str">
        <f t="shared" si="171"/>
        <v/>
      </c>
      <c r="H2597" s="1" t="s">
        <v>2746</v>
      </c>
      <c r="I2597" s="1" t="s">
        <v>31</v>
      </c>
      <c r="J2597" s="1">
        <v>272.0</v>
      </c>
      <c r="K2597" s="1">
        <v>2018.0</v>
      </c>
      <c r="L2597" s="1">
        <v>2018.0</v>
      </c>
      <c r="M2597" s="1"/>
      <c r="N2597" s="1"/>
      <c r="O2597" s="1"/>
      <c r="P2597" s="1"/>
      <c r="Q2597" s="1"/>
      <c r="R2597" s="1"/>
      <c r="S2597" s="1"/>
      <c r="T2597" s="1"/>
      <c r="U2597" s="1"/>
      <c r="V2597" s="1"/>
      <c r="W2597" s="1"/>
      <c r="X2597" s="1" t="s">
        <v>363</v>
      </c>
      <c r="Y2597" s="1" t="s">
        <v>9876</v>
      </c>
    </row>
    <row r="2598">
      <c r="A2598" s="1">
        <v>5.2507955E7</v>
      </c>
      <c r="B2598" s="1" t="s">
        <v>9877</v>
      </c>
      <c r="C2598" s="1" t="s">
        <v>9878</v>
      </c>
      <c r="D2598" s="1" t="s">
        <v>9879</v>
      </c>
      <c r="F2598" s="2" t="str">
        <f>"006288168X"</f>
        <v>006288168X</v>
      </c>
      <c r="G2598" s="2" t="str">
        <f>"9780062881687"</f>
        <v>9780062881687</v>
      </c>
      <c r="H2598" s="1" t="s">
        <v>9880</v>
      </c>
      <c r="I2598" s="1" t="s">
        <v>31</v>
      </c>
      <c r="J2598" s="1">
        <v>272.0</v>
      </c>
      <c r="K2598" s="1">
        <v>2020.0</v>
      </c>
      <c r="L2598" s="1">
        <v>2020.0</v>
      </c>
      <c r="M2598" s="1"/>
      <c r="N2598" s="1"/>
      <c r="O2598" s="1"/>
      <c r="P2598" s="1"/>
      <c r="Q2598" s="1"/>
      <c r="R2598" s="1"/>
      <c r="S2598" s="1"/>
      <c r="T2598" s="1"/>
      <c r="U2598" s="1"/>
      <c r="V2598" s="1"/>
      <c r="W2598" s="1"/>
      <c r="X2598" s="1" t="s">
        <v>3263</v>
      </c>
      <c r="Y2598" s="1" t="s">
        <v>9881</v>
      </c>
    </row>
    <row r="2599">
      <c r="A2599" s="1">
        <v>37190.0</v>
      </c>
      <c r="B2599" s="1" t="s">
        <v>9882</v>
      </c>
      <c r="C2599" s="1" t="s">
        <v>225</v>
      </c>
      <c r="D2599" s="1" t="s">
        <v>226</v>
      </c>
      <c r="E2599" s="1" t="s">
        <v>9883</v>
      </c>
      <c r="F2599" s="2" t="str">
        <f>"0763625299"</f>
        <v>0763625299</v>
      </c>
      <c r="G2599" s="2" t="str">
        <f>"9780763625290"</f>
        <v>9780763625290</v>
      </c>
      <c r="H2599" s="1" t="s">
        <v>945</v>
      </c>
      <c r="I2599" s="1" t="s">
        <v>36</v>
      </c>
      <c r="J2599" s="1">
        <v>272.0</v>
      </c>
      <c r="K2599" s="1">
        <v>2008.0</v>
      </c>
      <c r="L2599" s="1">
        <v>2003.0</v>
      </c>
      <c r="M2599" s="1"/>
      <c r="N2599" s="1"/>
      <c r="O2599" s="1"/>
      <c r="P2599" s="1"/>
      <c r="Q2599" s="1"/>
      <c r="R2599" s="1"/>
      <c r="S2599" s="1"/>
      <c r="T2599" s="1"/>
      <c r="U2599" s="1"/>
      <c r="V2599" s="1"/>
      <c r="W2599" s="1"/>
      <c r="X2599" s="1" t="s">
        <v>9884</v>
      </c>
      <c r="Y2599" s="1" t="s">
        <v>9885</v>
      </c>
    </row>
    <row r="2600">
      <c r="A2600" s="1">
        <v>5.9806119E7</v>
      </c>
      <c r="B2600" s="1" t="s">
        <v>9886</v>
      </c>
      <c r="C2600" s="1" t="s">
        <v>5965</v>
      </c>
      <c r="D2600" s="1" t="s">
        <v>5966</v>
      </c>
      <c r="F2600" s="2" t="str">
        <f>"1338829467"</f>
        <v>1338829467</v>
      </c>
      <c r="G2600" s="2" t="str">
        <f>"9781338829464"</f>
        <v>9781338829464</v>
      </c>
      <c r="H2600" s="1" t="s">
        <v>9565</v>
      </c>
      <c r="I2600" s="1" t="s">
        <v>31</v>
      </c>
      <c r="J2600" s="1">
        <v>272.0</v>
      </c>
      <c r="K2600" s="1">
        <v>2022.0</v>
      </c>
      <c r="M2600" s="1"/>
      <c r="N2600" s="1"/>
      <c r="O2600" s="1"/>
      <c r="P2600" s="1"/>
      <c r="Q2600" s="1"/>
      <c r="R2600" s="1"/>
      <c r="S2600" s="1"/>
      <c r="T2600" s="1"/>
      <c r="U2600" s="1"/>
      <c r="V2600" s="1"/>
      <c r="W2600" s="1"/>
      <c r="X2600" s="1" t="s">
        <v>609</v>
      </c>
      <c r="Y2600" s="1" t="s">
        <v>9887</v>
      </c>
    </row>
    <row r="2601">
      <c r="A2601" s="1">
        <v>4.4575067E7</v>
      </c>
      <c r="B2601" s="1" t="s">
        <v>9888</v>
      </c>
      <c r="C2601" s="1" t="s">
        <v>9889</v>
      </c>
      <c r="D2601" s="1" t="s">
        <v>9890</v>
      </c>
      <c r="F2601" s="2" t="str">
        <f>"1338263625"</f>
        <v>1338263625</v>
      </c>
      <c r="G2601" s="2" t="str">
        <f>"9781338263626"</f>
        <v>9781338263626</v>
      </c>
      <c r="H2601" s="1" t="s">
        <v>857</v>
      </c>
      <c r="I2601" s="1" t="s">
        <v>31</v>
      </c>
      <c r="J2601" s="1">
        <v>272.0</v>
      </c>
      <c r="K2601" s="1">
        <v>2020.0</v>
      </c>
      <c r="L2601" s="1">
        <v>2020.0</v>
      </c>
    </row>
    <row r="2602">
      <c r="A2602" s="1">
        <v>5.6250709E7</v>
      </c>
      <c r="B2602" s="1" t="s">
        <v>9891</v>
      </c>
      <c r="C2602" s="1" t="s">
        <v>9892</v>
      </c>
      <c r="D2602" s="1" t="s">
        <v>9893</v>
      </c>
      <c r="F2602" s="2" t="str">
        <f>"1984896784"</f>
        <v>1984896784</v>
      </c>
      <c r="G2602" s="2" t="str">
        <f>"9781984896780"</f>
        <v>9781984896780</v>
      </c>
      <c r="H2602" s="1" t="s">
        <v>7922</v>
      </c>
      <c r="I2602" s="1" t="s">
        <v>31</v>
      </c>
      <c r="J2602" s="1">
        <v>272.0</v>
      </c>
      <c r="K2602" s="1">
        <v>2021.0</v>
      </c>
      <c r="L2602" s="1">
        <v>2021.0</v>
      </c>
      <c r="M2602" s="1"/>
      <c r="N2602" s="1"/>
      <c r="O2602" s="1"/>
      <c r="P2602" s="1"/>
      <c r="Q2602" s="1"/>
      <c r="R2602" s="1"/>
      <c r="S2602" s="1"/>
      <c r="T2602" s="1"/>
      <c r="U2602" s="1"/>
      <c r="V2602" s="1"/>
      <c r="W2602" s="1"/>
      <c r="X2602" s="1" t="s">
        <v>1024</v>
      </c>
      <c r="Y2602" s="1" t="s">
        <v>9894</v>
      </c>
    </row>
    <row r="2603">
      <c r="A2603" s="1">
        <v>4.5900879E7</v>
      </c>
      <c r="B2603" s="1" t="s">
        <v>9895</v>
      </c>
      <c r="C2603" s="1" t="s">
        <v>9892</v>
      </c>
      <c r="D2603" s="1" t="s">
        <v>9893</v>
      </c>
      <c r="F2603" s="2" t="str">
        <f>"1984896768"</f>
        <v>1984896768</v>
      </c>
      <c r="G2603" s="2" t="str">
        <f>"9781984896766"</f>
        <v>9781984896766</v>
      </c>
      <c r="H2603" s="1" t="s">
        <v>7922</v>
      </c>
      <c r="I2603" s="1" t="s">
        <v>31</v>
      </c>
      <c r="J2603" s="1">
        <v>272.0</v>
      </c>
      <c r="K2603" s="1">
        <v>2020.0</v>
      </c>
      <c r="L2603" s="1">
        <v>2020.0</v>
      </c>
      <c r="M2603" s="1"/>
      <c r="N2603" s="1"/>
      <c r="O2603" s="1"/>
      <c r="P2603" s="1"/>
      <c r="Q2603" s="1"/>
      <c r="R2603" s="1"/>
      <c r="S2603" s="1"/>
      <c r="T2603" s="1"/>
      <c r="U2603" s="1"/>
      <c r="V2603" s="1"/>
      <c r="W2603" s="1"/>
      <c r="X2603" s="1" t="s">
        <v>1024</v>
      </c>
      <c r="Y2603" s="1" t="s">
        <v>9896</v>
      </c>
    </row>
    <row r="2604">
      <c r="A2604" s="1">
        <v>6.001781E7</v>
      </c>
      <c r="B2604" s="1" t="s">
        <v>9897</v>
      </c>
      <c r="C2604" s="1" t="s">
        <v>9898</v>
      </c>
      <c r="D2604" s="1" t="s">
        <v>9899</v>
      </c>
      <c r="F2604" s="2" t="str">
        <f>"0358645492"</f>
        <v>0358645492</v>
      </c>
      <c r="G2604" s="2" t="str">
        <f>"9780358645498"</f>
        <v>9780358645498</v>
      </c>
      <c r="H2604" s="1" t="s">
        <v>1799</v>
      </c>
      <c r="I2604" s="1" t="s">
        <v>31</v>
      </c>
      <c r="J2604" s="1">
        <v>272.0</v>
      </c>
      <c r="K2604" s="1">
        <v>2022.0</v>
      </c>
      <c r="L2604" s="1">
        <v>2022.0</v>
      </c>
      <c r="M2604" s="1"/>
      <c r="N2604" s="1"/>
      <c r="O2604" s="1"/>
      <c r="P2604" s="1"/>
      <c r="Q2604" s="1"/>
      <c r="R2604" s="1"/>
      <c r="S2604" s="1"/>
      <c r="T2604" s="1"/>
      <c r="U2604" s="1"/>
      <c r="V2604" s="1"/>
      <c r="W2604" s="1"/>
      <c r="X2604" s="1" t="s">
        <v>285</v>
      </c>
      <c r="Y2604" s="1" t="s">
        <v>9900</v>
      </c>
    </row>
    <row r="2605">
      <c r="A2605" s="1">
        <v>5.8874673E7</v>
      </c>
      <c r="B2605" s="1" t="s">
        <v>9901</v>
      </c>
      <c r="C2605" s="1" t="s">
        <v>9902</v>
      </c>
      <c r="D2605" s="1" t="s">
        <v>9903</v>
      </c>
      <c r="F2605" s="2" t="str">
        <f>"1338716573"</f>
        <v>1338716573</v>
      </c>
      <c r="G2605" s="2" t="str">
        <f>"9781338716573"</f>
        <v>9781338716573</v>
      </c>
      <c r="H2605" s="1" t="s">
        <v>857</v>
      </c>
      <c r="I2605" s="1" t="s">
        <v>31</v>
      </c>
      <c r="J2605" s="1">
        <v>272.0</v>
      </c>
      <c r="K2605" s="1">
        <v>2022.0</v>
      </c>
      <c r="L2605" s="1">
        <v>2022.0</v>
      </c>
      <c r="M2605" s="1"/>
      <c r="N2605" s="1"/>
      <c r="O2605" s="1"/>
      <c r="P2605" s="1"/>
      <c r="Q2605" s="1"/>
      <c r="R2605" s="1"/>
      <c r="S2605" s="1"/>
      <c r="T2605" s="1"/>
      <c r="U2605" s="1"/>
      <c r="V2605" s="1"/>
      <c r="W2605" s="1"/>
      <c r="X2605" s="1" t="s">
        <v>609</v>
      </c>
      <c r="Y2605" s="1" t="s">
        <v>9904</v>
      </c>
    </row>
    <row r="2606">
      <c r="A2606" s="1">
        <v>5.5977916E7</v>
      </c>
      <c r="B2606" s="1" t="s">
        <v>9905</v>
      </c>
      <c r="C2606" s="1" t="s">
        <v>9902</v>
      </c>
      <c r="D2606" s="1" t="s">
        <v>9903</v>
      </c>
      <c r="F2606" s="2" t="str">
        <f>"1338716549"</f>
        <v>1338716549</v>
      </c>
      <c r="G2606" s="2" t="str">
        <f>"9781338716542"</f>
        <v>9781338716542</v>
      </c>
      <c r="H2606" s="1" t="s">
        <v>857</v>
      </c>
      <c r="I2606" s="1" t="s">
        <v>31</v>
      </c>
      <c r="J2606" s="1">
        <v>272.0</v>
      </c>
      <c r="K2606" s="1">
        <v>2021.0</v>
      </c>
      <c r="L2606" s="1">
        <v>2021.0</v>
      </c>
      <c r="M2606" s="1"/>
      <c r="N2606" s="1"/>
      <c r="O2606" s="1"/>
      <c r="P2606" s="1"/>
      <c r="Q2606" s="1"/>
      <c r="R2606" s="1"/>
      <c r="S2606" s="1"/>
      <c r="T2606" s="1"/>
      <c r="U2606" s="1"/>
      <c r="V2606" s="1"/>
      <c r="W2606" s="1"/>
      <c r="X2606" s="1" t="s">
        <v>609</v>
      </c>
      <c r="Y2606" s="1" t="s">
        <v>9906</v>
      </c>
    </row>
    <row r="2607">
      <c r="A2607" s="1">
        <v>1272366.0</v>
      </c>
      <c r="B2607" s="1" t="s">
        <v>9907</v>
      </c>
      <c r="C2607" s="1" t="s">
        <v>9732</v>
      </c>
      <c r="D2607" s="1" t="s">
        <v>9733</v>
      </c>
      <c r="E2607" s="1" t="s">
        <v>9908</v>
      </c>
      <c r="F2607" s="2" t="str">
        <f>"0439398851"</f>
        <v>0439398851</v>
      </c>
      <c r="G2607" s="2" t="str">
        <f>"9780439398855"</f>
        <v>9780439398855</v>
      </c>
      <c r="H2607" s="1" t="s">
        <v>1575</v>
      </c>
      <c r="I2607" s="1" t="s">
        <v>36</v>
      </c>
      <c r="J2607" s="1">
        <v>272.0</v>
      </c>
      <c r="K2607" s="1">
        <v>2002.0</v>
      </c>
      <c r="L2607" s="1">
        <v>2000.0</v>
      </c>
      <c r="M2607" s="1"/>
      <c r="N2607" s="1"/>
      <c r="O2607" s="1"/>
      <c r="P2607" s="1"/>
      <c r="Q2607" s="1"/>
      <c r="R2607" s="1"/>
      <c r="S2607" s="1"/>
      <c r="T2607" s="1"/>
      <c r="U2607" s="1"/>
      <c r="V2607" s="1"/>
      <c r="W2607" s="1"/>
      <c r="X2607" s="1" t="s">
        <v>458</v>
      </c>
      <c r="Y2607" s="1" t="s">
        <v>9909</v>
      </c>
    </row>
    <row r="2608">
      <c r="A2608" s="1">
        <v>38709.0</v>
      </c>
      <c r="B2608" s="1" t="s">
        <v>9910</v>
      </c>
      <c r="C2608" s="1" t="s">
        <v>8815</v>
      </c>
      <c r="D2608" s="1" t="s">
        <v>8816</v>
      </c>
      <c r="F2608" s="2" t="str">
        <f>"0439244196"</f>
        <v>0439244196</v>
      </c>
      <c r="G2608" s="2" t="str">
        <f>"9780439244190"</f>
        <v>9780439244190</v>
      </c>
      <c r="H2608" s="1" t="s">
        <v>50</v>
      </c>
      <c r="I2608" s="1" t="s">
        <v>36</v>
      </c>
      <c r="J2608" s="1">
        <v>272.0</v>
      </c>
      <c r="K2608" s="1">
        <v>2000.0</v>
      </c>
      <c r="L2608" s="1">
        <v>1998.0</v>
      </c>
      <c r="M2608" s="1"/>
      <c r="N2608" s="1"/>
      <c r="O2608" s="1"/>
      <c r="P2608" s="1"/>
      <c r="Q2608" s="1"/>
      <c r="R2608" s="1"/>
      <c r="S2608" s="1"/>
      <c r="T2608" s="1"/>
      <c r="U2608" s="1"/>
      <c r="V2608" s="1"/>
      <c r="W2608" s="1"/>
      <c r="X2608" s="1" t="s">
        <v>45</v>
      </c>
      <c r="Y2608" s="1" t="s">
        <v>9911</v>
      </c>
    </row>
    <row r="2609">
      <c r="A2609" s="1">
        <v>4.3822757E7</v>
      </c>
      <c r="B2609" s="1" t="s">
        <v>9912</v>
      </c>
      <c r="C2609" s="1" t="s">
        <v>9913</v>
      </c>
      <c r="D2609" s="1" t="s">
        <v>9914</v>
      </c>
      <c r="F2609" s="2" t="str">
        <f>"1534431454"</f>
        <v>1534431454</v>
      </c>
      <c r="G2609" s="2" t="str">
        <f>"9781534431454"</f>
        <v>9781534431454</v>
      </c>
      <c r="H2609" s="1" t="s">
        <v>2496</v>
      </c>
      <c r="I2609" s="1" t="s">
        <v>36</v>
      </c>
      <c r="J2609" s="1">
        <v>272.0</v>
      </c>
      <c r="K2609" s="1">
        <v>2019.0</v>
      </c>
      <c r="L2609" s="1">
        <v>2019.0</v>
      </c>
      <c r="M2609" s="1"/>
      <c r="N2609" s="1"/>
      <c r="O2609" s="1"/>
      <c r="P2609" s="1"/>
      <c r="Q2609" s="1"/>
      <c r="R2609" s="1"/>
      <c r="S2609" s="1"/>
      <c r="T2609" s="1"/>
      <c r="U2609" s="1"/>
      <c r="V2609" s="1"/>
      <c r="W2609" s="1"/>
      <c r="X2609" s="1" t="s">
        <v>3263</v>
      </c>
      <c r="Y2609" s="1" t="s">
        <v>9915</v>
      </c>
    </row>
    <row r="2610">
      <c r="A2610" s="1">
        <v>1.7625083E7</v>
      </c>
      <c r="B2610" s="1" t="s">
        <v>9916</v>
      </c>
      <c r="C2610" s="1" t="s">
        <v>9917</v>
      </c>
      <c r="D2610" s="1" t="s">
        <v>9918</v>
      </c>
      <c r="F2610" s="2" t="str">
        <f>"0545513197"</f>
        <v>0545513197</v>
      </c>
      <c r="G2610" s="2" t="str">
        <f>"9780545513197"</f>
        <v>9780545513197</v>
      </c>
      <c r="H2610" s="1" t="s">
        <v>857</v>
      </c>
      <c r="I2610" s="1" t="s">
        <v>31</v>
      </c>
      <c r="J2610" s="1">
        <v>272.0</v>
      </c>
      <c r="K2610" s="1">
        <v>2013.0</v>
      </c>
      <c r="L2610" s="1">
        <v>2013.0</v>
      </c>
      <c r="M2610" s="1"/>
      <c r="N2610" s="1"/>
      <c r="O2610" s="1"/>
      <c r="P2610" s="1"/>
      <c r="Q2610" s="1"/>
      <c r="R2610" s="1"/>
      <c r="S2610" s="1"/>
      <c r="T2610" s="1"/>
      <c r="U2610" s="1"/>
      <c r="V2610" s="1"/>
      <c r="W2610" s="1"/>
      <c r="X2610" s="1" t="s">
        <v>852</v>
      </c>
      <c r="Y2610" s="1" t="s">
        <v>9919</v>
      </c>
    </row>
    <row r="2611">
      <c r="A2611" s="1">
        <v>4.5036765E7</v>
      </c>
      <c r="B2611" s="1" t="s">
        <v>9920</v>
      </c>
      <c r="C2611" s="1" t="s">
        <v>9921</v>
      </c>
      <c r="D2611" s="1" t="s">
        <v>9922</v>
      </c>
      <c r="F2611" s="2" t="str">
        <f>"1338593501"</f>
        <v>1338593501</v>
      </c>
      <c r="G2611" s="2" t="str">
        <f>"9781338593501"</f>
        <v>9781338593501</v>
      </c>
      <c r="H2611" s="1" t="s">
        <v>1575</v>
      </c>
      <c r="I2611" s="1" t="s">
        <v>238</v>
      </c>
      <c r="J2611" s="1">
        <v>278.0</v>
      </c>
      <c r="K2611" s="1">
        <v>2019.0</v>
      </c>
      <c r="L2611" s="1">
        <v>2015.0</v>
      </c>
      <c r="M2611" s="1"/>
      <c r="N2611" s="1"/>
      <c r="O2611" s="1"/>
      <c r="P2611" s="1"/>
      <c r="Q2611" s="1"/>
      <c r="R2611" s="1"/>
      <c r="S2611" s="1"/>
      <c r="T2611" s="1"/>
      <c r="U2611" s="1"/>
      <c r="V2611" s="1"/>
      <c r="W2611" s="1"/>
      <c r="X2611" s="1" t="s">
        <v>852</v>
      </c>
      <c r="Y2611" s="1" t="s">
        <v>9923</v>
      </c>
    </row>
    <row r="2612">
      <c r="A2612" s="1">
        <v>2.209855E7</v>
      </c>
      <c r="B2612" s="1" t="s">
        <v>9924</v>
      </c>
      <c r="C2612" s="1" t="s">
        <v>523</v>
      </c>
      <c r="D2612" s="1" t="s">
        <v>524</v>
      </c>
      <c r="E2612" s="1" t="s">
        <v>5076</v>
      </c>
      <c r="F2612" s="2" t="str">
        <f>"0062377019"</f>
        <v>0062377019</v>
      </c>
      <c r="G2612" s="2" t="str">
        <f>"9780062377012"</f>
        <v>9780062377012</v>
      </c>
      <c r="H2612" s="1" t="s">
        <v>6423</v>
      </c>
      <c r="I2612" s="1" t="s">
        <v>31</v>
      </c>
      <c r="J2612" s="1">
        <v>278.0</v>
      </c>
      <c r="K2612" s="1">
        <v>2016.0</v>
      </c>
      <c r="L2612" s="1">
        <v>2016.0</v>
      </c>
      <c r="M2612" s="1"/>
      <c r="N2612" s="1"/>
      <c r="O2612" s="1"/>
      <c r="P2612" s="1"/>
      <c r="Q2612" s="1"/>
      <c r="R2612" s="1"/>
      <c r="S2612" s="1"/>
      <c r="T2612" s="1"/>
      <c r="U2612" s="1"/>
      <c r="V2612" s="1"/>
      <c r="W2612" s="1"/>
      <c r="X2612" s="1" t="s">
        <v>45</v>
      </c>
      <c r="Y2612" s="1" t="s">
        <v>9925</v>
      </c>
    </row>
    <row r="2613">
      <c r="A2613" s="1">
        <v>44184.0</v>
      </c>
      <c r="B2613" s="1" t="s">
        <v>9926</v>
      </c>
      <c r="C2613" s="1" t="s">
        <v>9596</v>
      </c>
      <c r="D2613" s="1" t="s">
        <v>9597</v>
      </c>
      <c r="F2613" s="2" t="str">
        <f>"0064407314"</f>
        <v>0064407314</v>
      </c>
      <c r="G2613" s="2" t="str">
        <f>"9780064407311"</f>
        <v>9780064407311</v>
      </c>
      <c r="H2613" s="1" t="s">
        <v>3997</v>
      </c>
      <c r="I2613" s="1" t="s">
        <v>36</v>
      </c>
      <c r="J2613" s="1">
        <v>281.0</v>
      </c>
      <c r="K2613" s="1">
        <v>2001.0</v>
      </c>
      <c r="L2613" s="1">
        <v>1999.0</v>
      </c>
    </row>
    <row r="2614">
      <c r="A2614" s="1">
        <v>48855.0</v>
      </c>
      <c r="B2614" s="1" t="s">
        <v>9927</v>
      </c>
      <c r="C2614" s="1" t="s">
        <v>9928</v>
      </c>
      <c r="D2614" s="1" t="s">
        <v>9929</v>
      </c>
      <c r="E2614" s="1" t="s">
        <v>9930</v>
      </c>
      <c r="F2614" s="2" t="str">
        <f t="shared" ref="F2614:G2614" si="172">""</f>
        <v/>
      </c>
      <c r="G2614" s="2" t="str">
        <f t="shared" si="172"/>
        <v/>
      </c>
      <c r="H2614" s="1" t="s">
        <v>9931</v>
      </c>
      <c r="I2614" s="1" t="s">
        <v>400</v>
      </c>
      <c r="J2614" s="1">
        <v>283.0</v>
      </c>
      <c r="K2614" s="1">
        <v>1993.0</v>
      </c>
      <c r="L2614" s="1">
        <v>1947.0</v>
      </c>
      <c r="M2614" s="1"/>
      <c r="N2614" s="1"/>
      <c r="O2614" s="1"/>
      <c r="P2614" s="1"/>
      <c r="Q2614" s="1"/>
      <c r="R2614" s="1"/>
      <c r="S2614" s="1"/>
      <c r="T2614" s="1"/>
      <c r="U2614" s="1"/>
      <c r="V2614" s="1"/>
      <c r="W2614" s="1"/>
      <c r="X2614" s="1" t="s">
        <v>609</v>
      </c>
      <c r="Y2614" s="1" t="s">
        <v>9932</v>
      </c>
    </row>
    <row r="2615">
      <c r="A2615" s="1">
        <v>5.5977838E7</v>
      </c>
      <c r="B2615" s="1" t="s">
        <v>9933</v>
      </c>
      <c r="C2615" s="1" t="s">
        <v>5965</v>
      </c>
      <c r="D2615" s="1" t="s">
        <v>5966</v>
      </c>
      <c r="F2615" s="2" t="str">
        <f>"1338596616"</f>
        <v>1338596616</v>
      </c>
      <c r="G2615" s="2" t="str">
        <f>"9781338596618"</f>
        <v>9781338596618</v>
      </c>
      <c r="H2615" s="1" t="s">
        <v>9565</v>
      </c>
      <c r="I2615" s="1" t="s">
        <v>31</v>
      </c>
      <c r="J2615" s="1">
        <v>285.0</v>
      </c>
      <c r="K2615" s="1">
        <v>2021.0</v>
      </c>
      <c r="M2615" s="1"/>
      <c r="N2615" s="1"/>
      <c r="O2615" s="1"/>
      <c r="P2615" s="1"/>
      <c r="Q2615" s="1"/>
      <c r="R2615" s="1"/>
      <c r="S2615" s="1"/>
      <c r="T2615" s="1"/>
      <c r="U2615" s="1"/>
      <c r="V2615" s="1"/>
      <c r="W2615" s="1"/>
      <c r="X2615" s="1" t="s">
        <v>609</v>
      </c>
      <c r="Y2615" s="1" t="s">
        <v>9934</v>
      </c>
    </row>
    <row r="2616">
      <c r="A2616" s="1">
        <v>1.8465852E7</v>
      </c>
      <c r="B2616" s="1" t="s">
        <v>9935</v>
      </c>
      <c r="C2616" s="1" t="s">
        <v>9936</v>
      </c>
      <c r="D2616" s="1" t="s">
        <v>9937</v>
      </c>
      <c r="F2616" s="2" t="str">
        <f>"0385350848"</f>
        <v>0385350848</v>
      </c>
      <c r="G2616" s="2" t="str">
        <f>"9780385350846"</f>
        <v>9780385350846</v>
      </c>
      <c r="H2616" s="1" t="s">
        <v>9938</v>
      </c>
      <c r="I2616" s="1" t="s">
        <v>31</v>
      </c>
      <c r="J2616" s="1">
        <v>286.0</v>
      </c>
      <c r="K2616" s="1">
        <v>2014.0</v>
      </c>
      <c r="L2616" s="1">
        <v>2014.0</v>
      </c>
      <c r="M2616" s="1"/>
      <c r="N2616" s="1"/>
      <c r="O2616" s="1"/>
      <c r="P2616" s="1"/>
      <c r="Q2616" s="1"/>
      <c r="R2616" s="1"/>
      <c r="S2616" s="1"/>
      <c r="T2616" s="1"/>
      <c r="U2616" s="1"/>
      <c r="V2616" s="1"/>
      <c r="W2616" s="1"/>
      <c r="X2616" s="1" t="s">
        <v>363</v>
      </c>
      <c r="Y2616" s="1" t="s">
        <v>9939</v>
      </c>
    </row>
    <row r="2617">
      <c r="A2617" s="1">
        <v>2.9996858E7</v>
      </c>
      <c r="B2617" s="1" t="s">
        <v>9940</v>
      </c>
      <c r="C2617" s="1" t="s">
        <v>9941</v>
      </c>
      <c r="D2617" s="1" t="s">
        <v>9942</v>
      </c>
      <c r="F2617" s="2" t="str">
        <f>"1101996226"</f>
        <v>1101996226</v>
      </c>
      <c r="G2617" s="2" t="str">
        <f>"9781101996225"</f>
        <v>9781101996225</v>
      </c>
      <c r="H2617" s="1" t="s">
        <v>2682</v>
      </c>
      <c r="I2617" s="1" t="s">
        <v>31</v>
      </c>
      <c r="J2617" s="1">
        <v>288.0</v>
      </c>
      <c r="K2617" s="1">
        <v>2017.0</v>
      </c>
      <c r="L2617" s="1">
        <v>2017.0</v>
      </c>
      <c r="M2617" s="1"/>
      <c r="N2617" s="1"/>
      <c r="O2617" s="1"/>
      <c r="P2617" s="1"/>
      <c r="Q2617" s="1"/>
      <c r="R2617" s="1"/>
      <c r="S2617" s="1"/>
      <c r="T2617" s="1"/>
      <c r="U2617" s="1"/>
      <c r="V2617" s="1"/>
      <c r="W2617" s="1"/>
      <c r="X2617" s="1" t="s">
        <v>9943</v>
      </c>
      <c r="Y2617" s="1" t="s">
        <v>9944</v>
      </c>
    </row>
    <row r="2618">
      <c r="A2618" s="1">
        <v>5.4304163E7</v>
      </c>
      <c r="B2618" s="1" t="s">
        <v>9945</v>
      </c>
      <c r="C2618" s="1" t="s">
        <v>9946</v>
      </c>
      <c r="D2618" s="1" t="s">
        <v>9947</v>
      </c>
      <c r="F2618" s="2" t="str">
        <f>"153445988X"</f>
        <v>153445988X</v>
      </c>
      <c r="G2618" s="2" t="str">
        <f>"9781534459885"</f>
        <v>9781534459885</v>
      </c>
      <c r="H2618" s="1" t="s">
        <v>6296</v>
      </c>
      <c r="I2618" s="1" t="s">
        <v>31</v>
      </c>
      <c r="J2618" s="1">
        <v>288.0</v>
      </c>
      <c r="K2618" s="1">
        <v>2021.0</v>
      </c>
      <c r="L2618" s="1">
        <v>2021.0</v>
      </c>
      <c r="M2618" s="1"/>
      <c r="N2618" s="1"/>
      <c r="O2618" s="1"/>
      <c r="P2618" s="1"/>
      <c r="Q2618" s="1"/>
      <c r="R2618" s="1"/>
      <c r="S2618" s="1"/>
      <c r="T2618" s="1"/>
      <c r="U2618" s="1"/>
      <c r="V2618" s="1"/>
      <c r="W2618" s="1"/>
      <c r="X2618" s="1" t="s">
        <v>458</v>
      </c>
      <c r="Y2618" s="1" t="s">
        <v>9948</v>
      </c>
    </row>
    <row r="2619">
      <c r="A2619" s="1">
        <v>5.9916227E7</v>
      </c>
      <c r="B2619" s="1" t="s">
        <v>9949</v>
      </c>
      <c r="C2619" s="1" t="s">
        <v>9892</v>
      </c>
      <c r="D2619" s="1" t="s">
        <v>9893</v>
      </c>
      <c r="F2619" s="2" t="str">
        <f>"0593309529"</f>
        <v>0593309529</v>
      </c>
      <c r="G2619" s="2" t="str">
        <f>"9780593309520"</f>
        <v>9780593309520</v>
      </c>
      <c r="H2619" s="1" t="s">
        <v>7922</v>
      </c>
      <c r="I2619" s="1" t="s">
        <v>31</v>
      </c>
      <c r="J2619" s="1">
        <v>288.0</v>
      </c>
      <c r="K2619" s="1">
        <v>2022.0</v>
      </c>
      <c r="M2619" s="1"/>
      <c r="N2619" s="1"/>
      <c r="O2619" s="1"/>
      <c r="P2619" s="1"/>
      <c r="Q2619" s="1"/>
      <c r="R2619" s="1"/>
      <c r="S2619" s="1"/>
      <c r="T2619" s="1"/>
      <c r="U2619" s="1"/>
      <c r="V2619" s="1"/>
      <c r="W2619" s="1"/>
      <c r="X2619" s="1" t="s">
        <v>1024</v>
      </c>
      <c r="Y2619" s="1" t="s">
        <v>9950</v>
      </c>
    </row>
    <row r="2620">
      <c r="A2620" s="1">
        <v>3.9855034E7</v>
      </c>
      <c r="B2620" s="1" t="s">
        <v>9951</v>
      </c>
      <c r="C2620" s="1" t="s">
        <v>349</v>
      </c>
      <c r="D2620" s="1" t="s">
        <v>350</v>
      </c>
      <c r="F2620" s="2" t="str">
        <f>"0062563882"</f>
        <v>0062563882</v>
      </c>
      <c r="G2620" s="2" t="str">
        <f>"9780062563880"</f>
        <v>9780062563880</v>
      </c>
      <c r="H2620" s="1" t="s">
        <v>290</v>
      </c>
      <c r="I2620" s="1" t="s">
        <v>31</v>
      </c>
      <c r="J2620" s="1">
        <v>288.0</v>
      </c>
      <c r="K2620" s="1">
        <v>2019.0</v>
      </c>
      <c r="L2620" s="1">
        <v>2019.0</v>
      </c>
      <c r="M2620" s="1"/>
      <c r="N2620" s="1"/>
      <c r="O2620" s="1"/>
      <c r="P2620" s="1"/>
      <c r="Q2620" s="1"/>
      <c r="R2620" s="1"/>
      <c r="S2620" s="1"/>
      <c r="T2620" s="1"/>
      <c r="U2620" s="1"/>
      <c r="V2620" s="1"/>
      <c r="W2620" s="1"/>
      <c r="X2620" s="1" t="s">
        <v>7614</v>
      </c>
      <c r="Y2620" s="1" t="s">
        <v>9952</v>
      </c>
    </row>
    <row r="2621">
      <c r="A2621" s="1">
        <v>1.289116E7</v>
      </c>
      <c r="B2621" s="1" t="s">
        <v>9953</v>
      </c>
      <c r="C2621" s="1" t="s">
        <v>518</v>
      </c>
      <c r="D2621" s="1" t="s">
        <v>519</v>
      </c>
      <c r="E2621" s="1" t="s">
        <v>9954</v>
      </c>
      <c r="F2621" s="2" t="str">
        <f>"0316206717"</f>
        <v>0316206717</v>
      </c>
      <c r="G2621" s="2" t="str">
        <f>"9780316206716"</f>
        <v>9780316206716</v>
      </c>
      <c r="H2621" s="1" t="s">
        <v>9955</v>
      </c>
      <c r="I2621" s="1" t="s">
        <v>31</v>
      </c>
      <c r="J2621" s="1">
        <v>288.0</v>
      </c>
      <c r="K2621" s="1">
        <v>2012.0</v>
      </c>
      <c r="L2621" s="1">
        <v>2012.0</v>
      </c>
      <c r="M2621" s="1"/>
      <c r="N2621" s="1"/>
      <c r="O2621" s="1"/>
      <c r="P2621" s="1"/>
      <c r="Q2621" s="1"/>
      <c r="R2621" s="1"/>
      <c r="S2621" s="1"/>
      <c r="T2621" s="1"/>
      <c r="U2621" s="1"/>
      <c r="V2621" s="1"/>
      <c r="W2621" s="1"/>
      <c r="X2621" s="1" t="s">
        <v>7614</v>
      </c>
      <c r="Y2621" s="1" t="s">
        <v>9956</v>
      </c>
    </row>
    <row r="2622">
      <c r="A2622" s="1">
        <v>117170.0</v>
      </c>
      <c r="B2622" s="1" t="s">
        <v>9957</v>
      </c>
      <c r="C2622" s="1" t="s">
        <v>1923</v>
      </c>
      <c r="D2622" s="1" t="s">
        <v>1924</v>
      </c>
      <c r="F2622" s="2" t="str">
        <f>"0307165485"</f>
        <v>0307165485</v>
      </c>
      <c r="G2622" s="2" t="str">
        <f>"9780307165480"</f>
        <v>9780307165480</v>
      </c>
      <c r="H2622" s="1" t="s">
        <v>2009</v>
      </c>
      <c r="I2622" s="1" t="s">
        <v>31</v>
      </c>
      <c r="J2622" s="1">
        <v>288.0</v>
      </c>
      <c r="K2622" s="1">
        <v>1968.0</v>
      </c>
      <c r="L2622" s="1">
        <v>1968.0</v>
      </c>
      <c r="M2622" s="1"/>
      <c r="N2622" s="1"/>
      <c r="O2622" s="1"/>
      <c r="P2622" s="1"/>
      <c r="Q2622" s="1"/>
      <c r="R2622" s="1"/>
      <c r="S2622" s="1"/>
      <c r="T2622" s="1"/>
      <c r="U2622" s="1"/>
      <c r="V2622" s="1"/>
      <c r="W2622" s="1"/>
      <c r="X2622" s="1" t="s">
        <v>74</v>
      </c>
      <c r="Y2622" s="1" t="s">
        <v>9958</v>
      </c>
    </row>
    <row r="2623">
      <c r="A2623" s="1">
        <v>1.2924312E7</v>
      </c>
      <c r="B2623" s="1" t="s">
        <v>9959</v>
      </c>
      <c r="C2623" s="1" t="s">
        <v>9960</v>
      </c>
      <c r="D2623" s="1" t="s">
        <v>9961</v>
      </c>
      <c r="F2623" s="2" t="str">
        <f>"0061869767"</f>
        <v>0061869767</v>
      </c>
      <c r="G2623" s="2" t="str">
        <f>"9780061869761"</f>
        <v>9780061869761</v>
      </c>
      <c r="H2623" s="1" t="s">
        <v>290</v>
      </c>
      <c r="I2623" s="1" t="s">
        <v>31</v>
      </c>
      <c r="J2623" s="1">
        <v>288.0</v>
      </c>
      <c r="K2623" s="1">
        <v>2012.0</v>
      </c>
      <c r="L2623" s="1">
        <v>2012.0</v>
      </c>
      <c r="M2623" s="1"/>
      <c r="N2623" s="1"/>
      <c r="O2623" s="1"/>
      <c r="P2623" s="1"/>
      <c r="Q2623" s="1"/>
      <c r="R2623" s="1"/>
      <c r="S2623" s="1"/>
      <c r="T2623" s="1"/>
      <c r="U2623" s="1"/>
      <c r="V2623" s="1"/>
      <c r="W2623" s="1"/>
      <c r="X2623" s="1" t="s">
        <v>609</v>
      </c>
      <c r="Y2623" s="1" t="s">
        <v>9962</v>
      </c>
    </row>
    <row r="2624">
      <c r="A2624" s="1">
        <v>5.597791E7</v>
      </c>
      <c r="B2624" s="1" t="s">
        <v>9963</v>
      </c>
      <c r="C2624" s="1" t="s">
        <v>9964</v>
      </c>
      <c r="D2624" s="1" t="s">
        <v>9965</v>
      </c>
      <c r="F2624" s="2" t="str">
        <f>"1338702068"</f>
        <v>1338702068</v>
      </c>
      <c r="G2624" s="2" t="str">
        <f>"9781338702064"</f>
        <v>9781338702064</v>
      </c>
      <c r="H2624" s="1" t="s">
        <v>857</v>
      </c>
      <c r="I2624" s="1" t="s">
        <v>31</v>
      </c>
      <c r="J2624" s="1">
        <v>288.0</v>
      </c>
      <c r="K2624" s="1">
        <v>2021.0</v>
      </c>
      <c r="L2624" s="1">
        <v>2021.0</v>
      </c>
      <c r="M2624" s="1"/>
      <c r="N2624" s="1"/>
      <c r="O2624" s="1"/>
      <c r="P2624" s="1"/>
      <c r="Q2624" s="1"/>
      <c r="R2624" s="1"/>
      <c r="S2624" s="1"/>
      <c r="T2624" s="1"/>
      <c r="U2624" s="1"/>
      <c r="V2624" s="1"/>
      <c r="W2624" s="1"/>
      <c r="X2624" s="1" t="s">
        <v>458</v>
      </c>
      <c r="Y2624" s="1" t="s">
        <v>9966</v>
      </c>
    </row>
    <row r="2625">
      <c r="A2625" s="1">
        <v>699477.0</v>
      </c>
      <c r="B2625" s="1" t="s">
        <v>9967</v>
      </c>
      <c r="C2625" s="1" t="s">
        <v>9968</v>
      </c>
      <c r="D2625" s="1" t="s">
        <v>9969</v>
      </c>
      <c r="F2625" s="2" t="str">
        <f>"0060935863"</f>
        <v>0060935863</v>
      </c>
      <c r="G2625" s="2" t="str">
        <f>"9780060935863"</f>
        <v>9780060935863</v>
      </c>
      <c r="H2625" s="1" t="s">
        <v>9970</v>
      </c>
      <c r="I2625" s="1" t="s">
        <v>36</v>
      </c>
      <c r="J2625" s="1">
        <v>288.0</v>
      </c>
      <c r="K2625" s="1">
        <v>2001.0</v>
      </c>
      <c r="L2625" s="1">
        <v>1995.0</v>
      </c>
      <c r="M2625" s="1"/>
      <c r="N2625" s="1"/>
      <c r="O2625" s="1"/>
      <c r="P2625" s="1"/>
      <c r="Q2625" s="1"/>
      <c r="R2625" s="1"/>
      <c r="S2625" s="1"/>
      <c r="T2625" s="1"/>
      <c r="U2625" s="1"/>
      <c r="V2625" s="1"/>
      <c r="W2625" s="1"/>
      <c r="X2625" s="1" t="s">
        <v>609</v>
      </c>
      <c r="Y2625" s="1" t="s">
        <v>9971</v>
      </c>
    </row>
    <row r="2626">
      <c r="A2626" s="1">
        <v>310459.0</v>
      </c>
      <c r="B2626" s="1" t="s">
        <v>9972</v>
      </c>
      <c r="C2626" s="1" t="s">
        <v>9973</v>
      </c>
      <c r="D2626" s="1" t="s">
        <v>9974</v>
      </c>
      <c r="F2626" s="2" t="str">
        <f>"014034893X"</f>
        <v>014034893X</v>
      </c>
      <c r="G2626" s="2" t="str">
        <f>"9780140348934"</f>
        <v>9780140348934</v>
      </c>
      <c r="H2626" s="1" t="s">
        <v>753</v>
      </c>
      <c r="I2626" s="1" t="s">
        <v>36</v>
      </c>
      <c r="J2626" s="1">
        <v>288.0</v>
      </c>
      <c r="K2626" s="1">
        <v>1991.0</v>
      </c>
      <c r="L2626" s="1">
        <v>1976.0</v>
      </c>
      <c r="M2626" s="1"/>
      <c r="N2626" s="1"/>
      <c r="O2626" s="1"/>
      <c r="P2626" s="1"/>
      <c r="Q2626" s="1"/>
      <c r="R2626" s="1"/>
      <c r="S2626" s="1"/>
      <c r="T2626" s="1"/>
      <c r="U2626" s="1"/>
      <c r="V2626" s="1"/>
      <c r="W2626" s="1"/>
      <c r="X2626" s="1" t="s">
        <v>458</v>
      </c>
      <c r="Y2626" s="1" t="s">
        <v>9975</v>
      </c>
    </row>
    <row r="2627">
      <c r="A2627" s="1">
        <v>2.8234691E7</v>
      </c>
      <c r="B2627" s="1" t="s">
        <v>9976</v>
      </c>
      <c r="C2627" s="1" t="s">
        <v>9977</v>
      </c>
      <c r="D2627" s="1" t="s">
        <v>9978</v>
      </c>
      <c r="F2627" s="2" t="str">
        <f t="shared" ref="F2627:G2627" si="173">""</f>
        <v/>
      </c>
      <c r="G2627" s="2" t="str">
        <f t="shared" si="173"/>
        <v/>
      </c>
      <c r="H2627" s="1" t="s">
        <v>1454</v>
      </c>
      <c r="I2627" s="1" t="s">
        <v>31</v>
      </c>
      <c r="J2627" s="1">
        <v>288.0</v>
      </c>
      <c r="K2627" s="1">
        <v>2018.0</v>
      </c>
      <c r="L2627" s="1">
        <v>2018.0</v>
      </c>
      <c r="M2627" s="1"/>
      <c r="N2627" s="1"/>
      <c r="O2627" s="1"/>
      <c r="P2627" s="1"/>
      <c r="Q2627" s="1"/>
      <c r="R2627" s="1"/>
      <c r="S2627" s="1"/>
      <c r="T2627" s="1"/>
      <c r="U2627" s="1"/>
      <c r="V2627" s="1"/>
      <c r="W2627" s="1"/>
      <c r="X2627" s="1" t="s">
        <v>727</v>
      </c>
      <c r="Y2627" s="1" t="s">
        <v>9979</v>
      </c>
    </row>
    <row r="2628">
      <c r="A2628" s="1">
        <v>4.5455566E7</v>
      </c>
      <c r="B2628" s="1" t="s">
        <v>9980</v>
      </c>
      <c r="C2628" s="1" t="s">
        <v>9981</v>
      </c>
      <c r="D2628" s="1" t="s">
        <v>9982</v>
      </c>
      <c r="F2628" s="2" t="str">
        <f>"8417247416"</f>
        <v>8417247416</v>
      </c>
      <c r="G2628" s="2" t="str">
        <f>"9788417247416"</f>
        <v>9788417247416</v>
      </c>
      <c r="H2628" s="1" t="s">
        <v>9983</v>
      </c>
      <c r="I2628" s="1" t="s">
        <v>31</v>
      </c>
      <c r="J2628" s="1">
        <v>288.0</v>
      </c>
      <c r="K2628" s="1">
        <v>2019.0</v>
      </c>
      <c r="L2628" s="1">
        <v>2019.0</v>
      </c>
      <c r="M2628" s="1"/>
      <c r="N2628" s="1"/>
      <c r="O2628" s="1"/>
      <c r="P2628" s="1"/>
      <c r="Q2628" s="1"/>
      <c r="R2628" s="1"/>
      <c r="S2628" s="1"/>
      <c r="T2628" s="1"/>
      <c r="U2628" s="1"/>
      <c r="V2628" s="1"/>
      <c r="W2628" s="1"/>
      <c r="X2628" s="1" t="s">
        <v>116</v>
      </c>
      <c r="Y2628" s="1" t="s">
        <v>9984</v>
      </c>
    </row>
    <row r="2629">
      <c r="A2629" s="1">
        <v>1.01155677E8</v>
      </c>
      <c r="B2629" s="1" t="s">
        <v>9985</v>
      </c>
      <c r="C2629" s="1" t="s">
        <v>9986</v>
      </c>
      <c r="D2629" s="1" t="s">
        <v>9987</v>
      </c>
      <c r="F2629" s="2" t="str">
        <f>"194402090X"</f>
        <v>194402090X</v>
      </c>
      <c r="G2629" s="2" t="str">
        <f>"9781944020903"</f>
        <v>9781944020903</v>
      </c>
      <c r="H2629" s="1" t="s">
        <v>9988</v>
      </c>
      <c r="I2629" s="1" t="s">
        <v>36</v>
      </c>
      <c r="J2629" s="1">
        <v>288.0</v>
      </c>
      <c r="K2629" s="1">
        <v>2023.0</v>
      </c>
      <c r="L2629" s="1">
        <v>2022.0</v>
      </c>
      <c r="M2629" s="1"/>
      <c r="N2629" s="1"/>
      <c r="O2629" s="1"/>
      <c r="P2629" s="1"/>
      <c r="Q2629" s="1"/>
      <c r="R2629" s="1"/>
      <c r="S2629" s="1"/>
      <c r="T2629" s="1"/>
      <c r="U2629" s="1"/>
      <c r="V2629" s="1"/>
      <c r="W2629" s="1"/>
      <c r="X2629" s="1" t="s">
        <v>285</v>
      </c>
      <c r="Y2629" s="1" t="s">
        <v>9989</v>
      </c>
    </row>
    <row r="2630">
      <c r="A2630" s="1">
        <v>3.6589118E7</v>
      </c>
      <c r="B2630" s="1" t="s">
        <v>9990</v>
      </c>
      <c r="C2630" s="1" t="s">
        <v>5649</v>
      </c>
      <c r="D2630" s="1" t="s">
        <v>5650</v>
      </c>
      <c r="E2630" s="1" t="s">
        <v>9991</v>
      </c>
      <c r="F2630" s="2" t="str">
        <f>"1549113569"</f>
        <v>1549113569</v>
      </c>
      <c r="G2630" s="2" t="str">
        <f>"9781549113567"</f>
        <v>9781549113567</v>
      </c>
      <c r="H2630" s="1" t="s">
        <v>9992</v>
      </c>
      <c r="I2630" s="1" t="s">
        <v>328</v>
      </c>
      <c r="J2630" s="1">
        <v>289.0</v>
      </c>
      <c r="K2630" s="1">
        <v>2018.0</v>
      </c>
      <c r="L2630" s="1">
        <v>2018.0</v>
      </c>
      <c r="M2630" s="1"/>
      <c r="N2630" s="1"/>
      <c r="O2630" s="1"/>
      <c r="P2630" s="1"/>
      <c r="Q2630" s="1"/>
      <c r="R2630" s="1"/>
      <c r="S2630" s="1"/>
      <c r="T2630" s="1"/>
      <c r="U2630" s="1"/>
      <c r="V2630" s="1"/>
      <c r="W2630" s="1"/>
      <c r="X2630" s="1" t="s">
        <v>727</v>
      </c>
      <c r="Y2630" s="1" t="s">
        <v>9993</v>
      </c>
    </row>
    <row r="2631">
      <c r="A2631" s="1">
        <v>5711749.0</v>
      </c>
      <c r="B2631" s="1" t="s">
        <v>9994</v>
      </c>
      <c r="C2631" s="1" t="s">
        <v>9995</v>
      </c>
      <c r="D2631" s="1" t="s">
        <v>9996</v>
      </c>
      <c r="F2631" s="2" t="str">
        <f>"0525477438"</f>
        <v>0525477438</v>
      </c>
      <c r="G2631" s="2" t="str">
        <f>"9780525477433"</f>
        <v>9780525477433</v>
      </c>
      <c r="H2631" s="1" t="s">
        <v>4916</v>
      </c>
      <c r="I2631" s="1" t="s">
        <v>31</v>
      </c>
      <c r="J2631" s="1">
        <v>289.0</v>
      </c>
      <c r="K2631" s="1">
        <v>2009.0</v>
      </c>
      <c r="L2631" s="1">
        <v>2009.0</v>
      </c>
      <c r="M2631" s="1"/>
      <c r="N2631" s="1"/>
      <c r="O2631" s="1"/>
      <c r="P2631" s="1"/>
      <c r="Q2631" s="1"/>
      <c r="R2631" s="1"/>
      <c r="S2631" s="1"/>
      <c r="T2631" s="1"/>
      <c r="U2631" s="1"/>
      <c r="V2631" s="1"/>
      <c r="W2631" s="1"/>
      <c r="X2631" s="1" t="s">
        <v>458</v>
      </c>
      <c r="Y2631" s="1" t="s">
        <v>9997</v>
      </c>
    </row>
    <row r="2632">
      <c r="A2632" s="1">
        <v>4.3724165E7</v>
      </c>
      <c r="B2632" s="1" t="s">
        <v>9998</v>
      </c>
      <c r="C2632" s="1" t="s">
        <v>9999</v>
      </c>
      <c r="D2632" s="1" t="s">
        <v>10000</v>
      </c>
      <c r="F2632" s="2" t="str">
        <f>"0545803500"</f>
        <v>0545803500</v>
      </c>
      <c r="G2632" s="2" t="str">
        <f>"9780545803502"</f>
        <v>9780545803502</v>
      </c>
      <c r="H2632" s="1" t="s">
        <v>857</v>
      </c>
      <c r="I2632" s="1" t="s">
        <v>31</v>
      </c>
      <c r="J2632" s="1">
        <v>295.0</v>
      </c>
      <c r="K2632" s="1">
        <v>2022.0</v>
      </c>
      <c r="L2632" s="1">
        <v>2022.0</v>
      </c>
      <c r="M2632" s="1"/>
      <c r="N2632" s="1"/>
      <c r="O2632" s="1"/>
      <c r="P2632" s="1"/>
      <c r="Q2632" s="1"/>
      <c r="R2632" s="1"/>
      <c r="S2632" s="1"/>
      <c r="T2632" s="1"/>
      <c r="U2632" s="1"/>
      <c r="V2632" s="1"/>
      <c r="W2632" s="1"/>
      <c r="X2632" s="1" t="s">
        <v>609</v>
      </c>
      <c r="Y2632" s="1" t="s">
        <v>10001</v>
      </c>
    </row>
    <row r="2633">
      <c r="A2633" s="1">
        <v>2054275.0</v>
      </c>
      <c r="B2633" s="1" t="s">
        <v>10002</v>
      </c>
      <c r="C2633" s="1" t="s">
        <v>10003</v>
      </c>
      <c r="D2633" s="1" t="s">
        <v>10004</v>
      </c>
      <c r="F2633" s="2" t="str">
        <f>"1417642262"</f>
        <v>1417642262</v>
      </c>
      <c r="G2633" s="2" t="str">
        <f>"9781417642267"</f>
        <v>9781417642267</v>
      </c>
      <c r="H2633" s="1" t="s">
        <v>7676</v>
      </c>
      <c r="I2633" s="1" t="s">
        <v>36</v>
      </c>
      <c r="J2633" s="1">
        <v>296.0</v>
      </c>
      <c r="K2633" s="1">
        <v>1994.0</v>
      </c>
      <c r="L2633" s="1">
        <v>1993.0</v>
      </c>
      <c r="M2633" s="1"/>
      <c r="N2633" s="1"/>
      <c r="O2633" s="1"/>
      <c r="P2633" s="1"/>
      <c r="Q2633" s="1"/>
      <c r="R2633" s="1"/>
      <c r="S2633" s="1"/>
      <c r="T2633" s="1"/>
      <c r="U2633" s="1"/>
      <c r="V2633" s="1"/>
      <c r="W2633" s="1"/>
      <c r="X2633" s="1" t="s">
        <v>8702</v>
      </c>
      <c r="Y2633" s="1" t="s">
        <v>10005</v>
      </c>
    </row>
    <row r="2634">
      <c r="A2634" s="1">
        <v>3.6127488E7</v>
      </c>
      <c r="B2634" s="1" t="s">
        <v>10006</v>
      </c>
      <c r="C2634" s="1" t="s">
        <v>9860</v>
      </c>
      <c r="D2634" s="1" t="s">
        <v>9861</v>
      </c>
      <c r="F2634" s="2" t="str">
        <f>"1338157795"</f>
        <v>1338157795</v>
      </c>
      <c r="G2634" s="2" t="str">
        <f>"9781338157796"</f>
        <v>9781338157796</v>
      </c>
      <c r="H2634" s="1" t="s">
        <v>4705</v>
      </c>
      <c r="I2634" s="1" t="s">
        <v>31</v>
      </c>
      <c r="J2634" s="1">
        <v>298.0</v>
      </c>
      <c r="K2634" s="1">
        <v>2018.0</v>
      </c>
      <c r="L2634" s="1">
        <v>2018.0</v>
      </c>
      <c r="M2634" s="1"/>
      <c r="N2634" s="1"/>
      <c r="O2634" s="1"/>
      <c r="P2634" s="1"/>
      <c r="Q2634" s="1"/>
      <c r="R2634" s="1"/>
      <c r="S2634" s="1"/>
      <c r="T2634" s="1"/>
      <c r="U2634" s="1"/>
      <c r="V2634" s="1"/>
      <c r="W2634" s="1"/>
      <c r="X2634" s="1" t="s">
        <v>458</v>
      </c>
      <c r="Y2634" s="1" t="s">
        <v>10007</v>
      </c>
    </row>
    <row r="2635">
      <c r="A2635" s="1">
        <v>4.3909157E7</v>
      </c>
      <c r="B2635" s="1" t="s">
        <v>10008</v>
      </c>
      <c r="C2635" s="1" t="s">
        <v>9864</v>
      </c>
      <c r="D2635" s="1" t="s">
        <v>9865</v>
      </c>
      <c r="F2635" s="2" t="str">
        <f>"1338577174"</f>
        <v>1338577174</v>
      </c>
      <c r="G2635" s="2" t="str">
        <f>"9781338577174"</f>
        <v>9781338577174</v>
      </c>
      <c r="H2635" s="1" t="s">
        <v>817</v>
      </c>
      <c r="I2635" s="1" t="s">
        <v>36</v>
      </c>
      <c r="J2635" s="1">
        <v>304.0</v>
      </c>
      <c r="K2635" s="1">
        <v>2019.0</v>
      </c>
      <c r="L2635" s="1">
        <v>2019.0</v>
      </c>
      <c r="M2635" s="1"/>
      <c r="N2635" s="1"/>
      <c r="O2635" s="1"/>
      <c r="P2635" s="1"/>
      <c r="Q2635" s="1"/>
      <c r="R2635" s="1"/>
      <c r="S2635" s="1"/>
      <c r="T2635" s="1"/>
      <c r="U2635" s="1"/>
      <c r="V2635" s="1"/>
      <c r="W2635" s="1"/>
      <c r="X2635" s="1" t="s">
        <v>8068</v>
      </c>
      <c r="Y2635" s="1" t="s">
        <v>10009</v>
      </c>
    </row>
    <row r="2636">
      <c r="A2636" s="1">
        <v>1.1594337E7</v>
      </c>
      <c r="B2636" s="1" t="s">
        <v>10010</v>
      </c>
      <c r="C2636" s="1" t="s">
        <v>9868</v>
      </c>
      <c r="D2636" s="1" t="s">
        <v>9869</v>
      </c>
      <c r="E2636" s="1" t="s">
        <v>10011</v>
      </c>
      <c r="F2636" s="2" t="str">
        <f>"0061992259"</f>
        <v>0061992259</v>
      </c>
      <c r="G2636" s="2" t="str">
        <f>"9780061992254"</f>
        <v>9780061992254</v>
      </c>
      <c r="H2636" s="1" t="s">
        <v>9586</v>
      </c>
      <c r="I2636" s="1" t="s">
        <v>31</v>
      </c>
      <c r="J2636" s="1">
        <v>304.0</v>
      </c>
      <c r="K2636" s="1">
        <v>2012.0</v>
      </c>
      <c r="L2636" s="1">
        <v>2012.0</v>
      </c>
      <c r="M2636" s="1"/>
      <c r="N2636" s="1"/>
      <c r="O2636" s="1"/>
      <c r="P2636" s="1"/>
      <c r="Q2636" s="1"/>
      <c r="R2636" s="1"/>
      <c r="S2636" s="1"/>
      <c r="T2636" s="1"/>
      <c r="U2636" s="1"/>
      <c r="V2636" s="1"/>
      <c r="W2636" s="1"/>
      <c r="X2636" s="1" t="s">
        <v>10012</v>
      </c>
      <c r="Y2636" s="1" t="s">
        <v>10013</v>
      </c>
    </row>
    <row r="2637">
      <c r="A2637" s="1">
        <v>4.3564025E7</v>
      </c>
      <c r="B2637" s="1" t="s">
        <v>10014</v>
      </c>
      <c r="C2637" s="1" t="s">
        <v>9756</v>
      </c>
      <c r="D2637" s="1" t="s">
        <v>9757</v>
      </c>
      <c r="E2637" s="1" t="s">
        <v>9758</v>
      </c>
      <c r="F2637" s="2" t="str">
        <f>"0451478509"</f>
        <v>0451478509</v>
      </c>
      <c r="G2637" s="2" t="str">
        <f>"9780451478504"</f>
        <v>9780451478504</v>
      </c>
      <c r="H2637" s="1" t="s">
        <v>2746</v>
      </c>
      <c r="I2637" s="1" t="s">
        <v>238</v>
      </c>
      <c r="J2637" s="1">
        <v>304.0</v>
      </c>
      <c r="K2637" s="1">
        <v>2019.0</v>
      </c>
      <c r="L2637" s="1">
        <v>2019.0</v>
      </c>
      <c r="M2637" s="1"/>
      <c r="N2637" s="1"/>
      <c r="O2637" s="1"/>
      <c r="P2637" s="1"/>
      <c r="Q2637" s="1"/>
      <c r="R2637" s="1"/>
      <c r="S2637" s="1"/>
      <c r="T2637" s="1"/>
      <c r="U2637" s="1"/>
      <c r="V2637" s="1"/>
      <c r="W2637" s="1"/>
      <c r="X2637" s="1" t="s">
        <v>9759</v>
      </c>
      <c r="Y2637" s="1" t="s">
        <v>10015</v>
      </c>
    </row>
    <row r="2638">
      <c r="A2638" s="1">
        <v>6.0417469E7</v>
      </c>
      <c r="B2638" s="1" t="s">
        <v>10016</v>
      </c>
      <c r="C2638" s="1" t="s">
        <v>10017</v>
      </c>
      <c r="D2638" s="1" t="s">
        <v>10018</v>
      </c>
      <c r="E2638" s="1" t="s">
        <v>10019</v>
      </c>
      <c r="F2638" s="2" t="str">
        <f>"059342946X"</f>
        <v>059342946X</v>
      </c>
      <c r="G2638" s="2" t="str">
        <f>"9780593429464"</f>
        <v>9780593429464</v>
      </c>
      <c r="H2638" s="1" t="s">
        <v>7351</v>
      </c>
      <c r="I2638" s="1" t="s">
        <v>31</v>
      </c>
      <c r="J2638" s="1">
        <v>304.0</v>
      </c>
      <c r="K2638" s="1">
        <v>2022.0</v>
      </c>
      <c r="L2638" s="1">
        <v>2022.0</v>
      </c>
      <c r="M2638" s="1"/>
      <c r="N2638" s="1"/>
      <c r="O2638" s="1"/>
      <c r="P2638" s="1"/>
      <c r="Q2638" s="1"/>
      <c r="R2638" s="1"/>
      <c r="S2638" s="1"/>
      <c r="T2638" s="1"/>
      <c r="U2638" s="1"/>
      <c r="V2638" s="1"/>
      <c r="W2638" s="1"/>
      <c r="X2638" s="1" t="s">
        <v>161</v>
      </c>
      <c r="Y2638" s="1" t="s">
        <v>10020</v>
      </c>
    </row>
    <row r="2639">
      <c r="A2639" s="1">
        <v>7733360.0</v>
      </c>
      <c r="B2639" s="1" t="s">
        <v>10021</v>
      </c>
      <c r="C2639" s="1" t="s">
        <v>10022</v>
      </c>
      <c r="D2639" s="1" t="s">
        <v>10023</v>
      </c>
      <c r="F2639" s="2" t="str">
        <f>"1598698834"</f>
        <v>1598698834</v>
      </c>
      <c r="G2639" s="2" t="str">
        <f>"9781598698831"</f>
        <v>9781598698831</v>
      </c>
      <c r="H2639" s="1" t="s">
        <v>10024</v>
      </c>
      <c r="I2639" s="1" t="s">
        <v>36</v>
      </c>
      <c r="J2639" s="1">
        <v>304.0</v>
      </c>
      <c r="K2639" s="1">
        <v>2009.0</v>
      </c>
      <c r="L2639" s="1">
        <v>2003.0</v>
      </c>
      <c r="M2639" s="1"/>
      <c r="N2639" s="1"/>
      <c r="O2639" s="1"/>
      <c r="P2639" s="1"/>
      <c r="Q2639" s="1"/>
      <c r="R2639" s="1"/>
      <c r="S2639" s="1"/>
      <c r="T2639" s="1"/>
      <c r="U2639" s="1"/>
      <c r="V2639" s="1"/>
      <c r="W2639" s="1"/>
      <c r="X2639" s="1" t="s">
        <v>1024</v>
      </c>
      <c r="Y2639" s="1" t="s">
        <v>10025</v>
      </c>
    </row>
    <row r="2640">
      <c r="A2640" s="1">
        <v>5.8719148E7</v>
      </c>
      <c r="B2640" s="1" t="s">
        <v>10026</v>
      </c>
      <c r="C2640" s="1" t="s">
        <v>10027</v>
      </c>
      <c r="D2640" s="1" t="s">
        <v>10028</v>
      </c>
      <c r="F2640" s="2" t="str">
        <f>"1338671596"</f>
        <v>1338671596</v>
      </c>
      <c r="G2640" s="2" t="str">
        <f>"9781338671599"</f>
        <v>9781338671599</v>
      </c>
      <c r="H2640" s="1" t="s">
        <v>857</v>
      </c>
      <c r="I2640" s="1" t="s">
        <v>31</v>
      </c>
      <c r="J2640" s="1">
        <v>304.0</v>
      </c>
      <c r="K2640" s="1">
        <v>2022.0</v>
      </c>
      <c r="L2640" s="1">
        <v>2022.0</v>
      </c>
      <c r="M2640" s="1"/>
      <c r="N2640" s="1"/>
      <c r="O2640" s="1"/>
      <c r="P2640" s="1"/>
      <c r="Q2640" s="1"/>
      <c r="R2640" s="1"/>
      <c r="S2640" s="1"/>
      <c r="T2640" s="1"/>
      <c r="U2640" s="1"/>
      <c r="V2640" s="1"/>
      <c r="W2640" s="1"/>
      <c r="X2640" s="1" t="s">
        <v>458</v>
      </c>
      <c r="Y2640" s="1" t="s">
        <v>10029</v>
      </c>
    </row>
    <row r="2641">
      <c r="A2641" s="1">
        <v>7024305.0</v>
      </c>
      <c r="B2641" s="1" t="s">
        <v>10030</v>
      </c>
      <c r="C2641" s="1" t="s">
        <v>3399</v>
      </c>
      <c r="D2641" s="1" t="s">
        <v>3400</v>
      </c>
      <c r="F2641" s="2" t="str">
        <f>"8499180302"</f>
        <v>8499180302</v>
      </c>
      <c r="G2641" s="2" t="str">
        <f>"9788499180304"</f>
        <v>9788499180304</v>
      </c>
      <c r="H2641" s="1" t="s">
        <v>10031</v>
      </c>
      <c r="I2641" s="1" t="s">
        <v>36</v>
      </c>
      <c r="J2641" s="1">
        <v>304.0</v>
      </c>
      <c r="K2641" s="1">
        <v>2009.0</v>
      </c>
      <c r="L2641" s="1">
        <v>2008.0</v>
      </c>
      <c r="M2641" s="1"/>
      <c r="N2641" s="1"/>
      <c r="O2641" s="1"/>
      <c r="P2641" s="1"/>
      <c r="Q2641" s="1"/>
      <c r="R2641" s="1"/>
      <c r="S2641" s="1"/>
      <c r="T2641" s="1"/>
      <c r="U2641" s="1"/>
      <c r="V2641" s="1"/>
      <c r="W2641" s="1"/>
      <c r="X2641" s="1" t="s">
        <v>92</v>
      </c>
      <c r="Y2641" s="1" t="s">
        <v>10032</v>
      </c>
    </row>
    <row r="2642">
      <c r="A2642" s="1">
        <v>2.3281891E7</v>
      </c>
      <c r="B2642" s="1" t="s">
        <v>10033</v>
      </c>
      <c r="C2642" s="1" t="s">
        <v>10034</v>
      </c>
      <c r="D2642" s="1" t="s">
        <v>10035</v>
      </c>
      <c r="F2642" s="2" t="str">
        <f>"0399164065"</f>
        <v>0399164065</v>
      </c>
      <c r="G2642" s="2" t="str">
        <f>"9780399164064"</f>
        <v>9780399164064</v>
      </c>
      <c r="H2642" s="1" t="s">
        <v>2253</v>
      </c>
      <c r="I2642" s="1" t="s">
        <v>31</v>
      </c>
      <c r="J2642" s="1">
        <v>304.0</v>
      </c>
      <c r="K2642" s="1">
        <v>2015.0</v>
      </c>
      <c r="L2642" s="1">
        <v>2015.0</v>
      </c>
    </row>
    <row r="2643">
      <c r="A2643" s="1">
        <v>5.6978081E7</v>
      </c>
      <c r="B2643" s="1" t="s">
        <v>10036</v>
      </c>
      <c r="C2643" s="1" t="s">
        <v>9782</v>
      </c>
      <c r="D2643" s="1" t="s">
        <v>9783</v>
      </c>
      <c r="E2643" s="1" t="s">
        <v>9784</v>
      </c>
      <c r="F2643" s="2" t="str">
        <f>"125023610X"</f>
        <v>125023610X</v>
      </c>
      <c r="G2643" s="2" t="str">
        <f>"9781250236104"</f>
        <v>9781250236104</v>
      </c>
      <c r="H2643" s="1" t="s">
        <v>2940</v>
      </c>
      <c r="I2643" s="1" t="s">
        <v>31</v>
      </c>
      <c r="J2643" s="1">
        <v>304.0</v>
      </c>
      <c r="K2643" s="1">
        <v>2022.0</v>
      </c>
      <c r="L2643" s="1">
        <v>2021.0</v>
      </c>
      <c r="M2643" s="1"/>
      <c r="N2643" s="1"/>
      <c r="O2643" s="1"/>
      <c r="P2643" s="1"/>
      <c r="Q2643" s="1"/>
      <c r="R2643" s="1"/>
      <c r="S2643" s="1"/>
      <c r="T2643" s="1"/>
      <c r="U2643" s="1"/>
      <c r="V2643" s="1"/>
      <c r="W2643" s="1"/>
      <c r="X2643" s="1" t="s">
        <v>10037</v>
      </c>
      <c r="Y2643" s="1" t="s">
        <v>10038</v>
      </c>
    </row>
    <row r="2644">
      <c r="A2644" s="1">
        <v>2.2504703E7</v>
      </c>
      <c r="B2644" s="1" t="s">
        <v>10039</v>
      </c>
      <c r="C2644" s="1" t="s">
        <v>10040</v>
      </c>
      <c r="D2644" s="1" t="s">
        <v>10041</v>
      </c>
      <c r="E2644" s="1" t="s">
        <v>10042</v>
      </c>
      <c r="F2644" s="2" t="str">
        <f>"0803740808"</f>
        <v>0803740808</v>
      </c>
      <c r="G2644" s="2" t="str">
        <f>"9780803740808"</f>
        <v>9780803740808</v>
      </c>
      <c r="H2644" s="1" t="s">
        <v>2364</v>
      </c>
      <c r="I2644" s="1" t="s">
        <v>31</v>
      </c>
      <c r="J2644" s="1">
        <v>304.0</v>
      </c>
      <c r="K2644" s="1">
        <v>2015.0</v>
      </c>
      <c r="L2644" s="1">
        <v>2009.0</v>
      </c>
      <c r="M2644" s="1"/>
      <c r="N2644" s="1"/>
      <c r="O2644" s="1"/>
      <c r="P2644" s="1"/>
      <c r="Q2644" s="1"/>
      <c r="R2644" s="1"/>
      <c r="S2644" s="1"/>
      <c r="T2644" s="1"/>
      <c r="U2644" s="1"/>
      <c r="V2644" s="1"/>
      <c r="W2644" s="1"/>
      <c r="X2644" s="1" t="s">
        <v>1024</v>
      </c>
      <c r="Y2644" s="1" t="s">
        <v>10043</v>
      </c>
    </row>
    <row r="2645">
      <c r="A2645" s="1">
        <v>1.3414854E7</v>
      </c>
      <c r="B2645" s="1" t="s">
        <v>10044</v>
      </c>
      <c r="C2645" s="1" t="s">
        <v>1490</v>
      </c>
      <c r="D2645" s="1" t="s">
        <v>9498</v>
      </c>
      <c r="F2645" s="2" t="str">
        <f>"1426310226"</f>
        <v>1426310226</v>
      </c>
      <c r="G2645" s="2" t="str">
        <f>"9781426310225"</f>
        <v>9781426310225</v>
      </c>
      <c r="H2645" s="1" t="s">
        <v>1490</v>
      </c>
      <c r="I2645" s="1" t="s">
        <v>31</v>
      </c>
      <c r="J2645" s="1">
        <v>304.0</v>
      </c>
      <c r="K2645" s="1">
        <v>2012.0</v>
      </c>
      <c r="L2645" s="1">
        <v>2000.0</v>
      </c>
      <c r="M2645" s="1"/>
      <c r="N2645" s="1"/>
      <c r="O2645" s="1"/>
      <c r="P2645" s="1"/>
      <c r="Q2645" s="1"/>
      <c r="R2645" s="1"/>
      <c r="S2645" s="1"/>
      <c r="T2645" s="1"/>
      <c r="U2645" s="1"/>
      <c r="V2645" s="1"/>
      <c r="W2645" s="1"/>
      <c r="X2645" s="1" t="s">
        <v>835</v>
      </c>
      <c r="Y2645" s="1" t="s">
        <v>10045</v>
      </c>
    </row>
    <row r="2646">
      <c r="A2646" s="1">
        <v>4.4575038E7</v>
      </c>
      <c r="B2646" s="1" t="s">
        <v>10046</v>
      </c>
      <c r="C2646" s="1" t="s">
        <v>10047</v>
      </c>
      <c r="D2646" s="1" t="s">
        <v>10048</v>
      </c>
      <c r="F2646" s="2" t="str">
        <f>"1338343947"</f>
        <v>1338343947</v>
      </c>
      <c r="G2646" s="2" t="str">
        <f>"9781338343946"</f>
        <v>9781338343946</v>
      </c>
      <c r="H2646" s="1" t="s">
        <v>817</v>
      </c>
      <c r="I2646" s="1" t="s">
        <v>36</v>
      </c>
      <c r="J2646" s="1">
        <v>304.0</v>
      </c>
      <c r="K2646" s="1">
        <v>2019.0</v>
      </c>
      <c r="L2646" s="1">
        <v>2019.0</v>
      </c>
      <c r="M2646" s="1"/>
      <c r="N2646" s="1"/>
      <c r="O2646" s="1"/>
      <c r="P2646" s="1"/>
      <c r="Q2646" s="1"/>
      <c r="R2646" s="1"/>
      <c r="S2646" s="1"/>
      <c r="T2646" s="1"/>
      <c r="U2646" s="1"/>
      <c r="V2646" s="1"/>
      <c r="W2646" s="1"/>
      <c r="X2646" s="1" t="s">
        <v>609</v>
      </c>
      <c r="Y2646" s="1" t="s">
        <v>10049</v>
      </c>
    </row>
    <row r="2647">
      <c r="A2647" s="1">
        <v>3.9295314E7</v>
      </c>
      <c r="B2647" s="1" t="s">
        <v>10050</v>
      </c>
      <c r="C2647" s="1" t="s">
        <v>5649</v>
      </c>
      <c r="D2647" s="1" t="s">
        <v>5650</v>
      </c>
      <c r="F2647" s="2" t="str">
        <f>"0316477001"</f>
        <v>0316477001</v>
      </c>
      <c r="G2647" s="2" t="str">
        <f>"9780316477000"</f>
        <v>9780316477000</v>
      </c>
      <c r="H2647" s="1" t="s">
        <v>112</v>
      </c>
      <c r="I2647" s="1" t="s">
        <v>31</v>
      </c>
      <c r="J2647" s="1">
        <v>304.0</v>
      </c>
      <c r="K2647" s="1">
        <v>2018.0</v>
      </c>
      <c r="L2647" s="1">
        <v>2018.0</v>
      </c>
      <c r="M2647" s="1"/>
      <c r="N2647" s="1"/>
      <c r="O2647" s="1"/>
      <c r="P2647" s="1"/>
      <c r="Q2647" s="1"/>
      <c r="R2647" s="1"/>
      <c r="S2647" s="1"/>
      <c r="T2647" s="1"/>
      <c r="U2647" s="1"/>
      <c r="V2647" s="1"/>
      <c r="W2647" s="1"/>
      <c r="X2647" s="1" t="s">
        <v>641</v>
      </c>
      <c r="Y2647" s="1" t="s">
        <v>10051</v>
      </c>
    </row>
    <row r="2648">
      <c r="A2648" s="1">
        <v>5.9806083E7</v>
      </c>
      <c r="B2648" s="1" t="s">
        <v>10052</v>
      </c>
      <c r="C2648" s="1" t="s">
        <v>10053</v>
      </c>
      <c r="D2648" s="1" t="s">
        <v>10054</v>
      </c>
      <c r="F2648" s="2" t="str">
        <f>"1338794000"</f>
        <v>1338794000</v>
      </c>
      <c r="G2648" s="2" t="str">
        <f>"9781338794007"</f>
        <v>9781338794007</v>
      </c>
      <c r="H2648" s="1" t="s">
        <v>857</v>
      </c>
      <c r="I2648" s="1" t="s">
        <v>31</v>
      </c>
      <c r="J2648" s="1">
        <v>304.0</v>
      </c>
      <c r="K2648" s="1">
        <v>2022.0</v>
      </c>
      <c r="L2648" s="1">
        <v>2022.0</v>
      </c>
      <c r="M2648" s="1"/>
      <c r="N2648" s="1"/>
      <c r="O2648" s="1"/>
      <c r="P2648" s="1"/>
      <c r="Q2648" s="1"/>
      <c r="R2648" s="1"/>
      <c r="S2648" s="1"/>
      <c r="T2648" s="1"/>
      <c r="U2648" s="1"/>
      <c r="V2648" s="1"/>
      <c r="W2648" s="1"/>
      <c r="X2648" s="1" t="s">
        <v>8068</v>
      </c>
      <c r="Y2648" s="1" t="s">
        <v>10055</v>
      </c>
    </row>
    <row r="2649">
      <c r="A2649" s="1">
        <v>63339.0</v>
      </c>
      <c r="B2649" s="1" t="s">
        <v>10056</v>
      </c>
      <c r="C2649" s="1" t="s">
        <v>10057</v>
      </c>
      <c r="D2649" s="1" t="s">
        <v>10058</v>
      </c>
      <c r="E2649" s="1" t="s">
        <v>10059</v>
      </c>
      <c r="F2649" s="2" t="str">
        <f>"0618594442"</f>
        <v>0618594442</v>
      </c>
      <c r="G2649" s="2" t="str">
        <f>"9780618594443"</f>
        <v>9780618594443</v>
      </c>
      <c r="H2649" s="1" t="s">
        <v>217</v>
      </c>
      <c r="I2649" s="1" t="s">
        <v>31</v>
      </c>
      <c r="J2649" s="1">
        <v>307.0</v>
      </c>
      <c r="K2649" s="1">
        <v>2007.0</v>
      </c>
      <c r="L2649" s="1">
        <v>2007.0</v>
      </c>
      <c r="M2649" s="1"/>
      <c r="N2649" s="1"/>
      <c r="O2649" s="1"/>
      <c r="P2649" s="1"/>
      <c r="Q2649" s="1"/>
      <c r="R2649" s="1"/>
      <c r="S2649" s="1"/>
      <c r="T2649" s="1"/>
      <c r="U2649" s="1"/>
      <c r="V2649" s="1"/>
      <c r="W2649" s="1"/>
      <c r="X2649" s="1" t="s">
        <v>96</v>
      </c>
      <c r="Y2649" s="1" t="s">
        <v>10060</v>
      </c>
    </row>
    <row r="2650">
      <c r="A2650" s="1">
        <v>82872.0</v>
      </c>
      <c r="B2650" s="1" t="s">
        <v>10061</v>
      </c>
      <c r="C2650" s="1" t="s">
        <v>10062</v>
      </c>
      <c r="D2650" s="1" t="s">
        <v>10063</v>
      </c>
      <c r="F2650" s="2" t="str">
        <f>"0385319630"</f>
        <v>0385319630</v>
      </c>
      <c r="G2650" s="2" t="str">
        <f>"9780385319638"</f>
        <v>9780385319638</v>
      </c>
      <c r="H2650" s="1" t="s">
        <v>10064</v>
      </c>
      <c r="I2650" s="1" t="s">
        <v>36</v>
      </c>
      <c r="J2650" s="1">
        <v>309.0</v>
      </c>
      <c r="K2650" s="1">
        <v>2002.0</v>
      </c>
      <c r="L2650" s="1">
        <v>2001.0</v>
      </c>
      <c r="M2650" s="1"/>
      <c r="N2650" s="1"/>
      <c r="O2650" s="1"/>
      <c r="P2650" s="1"/>
      <c r="Q2650" s="1"/>
      <c r="R2650" s="1"/>
      <c r="S2650" s="1"/>
      <c r="T2650" s="1"/>
      <c r="U2650" s="1"/>
      <c r="V2650" s="1"/>
      <c r="W2650" s="1"/>
      <c r="X2650" s="1" t="s">
        <v>609</v>
      </c>
      <c r="Y2650" s="1" t="s">
        <v>10065</v>
      </c>
    </row>
    <row r="2651">
      <c r="A2651" s="1">
        <v>3.0</v>
      </c>
      <c r="B2651" s="1" t="s">
        <v>10066</v>
      </c>
      <c r="C2651" s="1" t="s">
        <v>601</v>
      </c>
      <c r="D2651" s="1" t="s">
        <v>602</v>
      </c>
      <c r="F2651" s="2" t="str">
        <f>"0439554934"</f>
        <v>0439554934</v>
      </c>
      <c r="G2651" s="2" t="str">
        <f>"9780439554930"</f>
        <v>9780439554930</v>
      </c>
      <c r="H2651" s="1" t="s">
        <v>624</v>
      </c>
      <c r="I2651" s="1" t="s">
        <v>31</v>
      </c>
      <c r="J2651" s="1">
        <v>309.0</v>
      </c>
      <c r="K2651" s="1">
        <v>2003.0</v>
      </c>
      <c r="L2651" s="1">
        <v>1997.0</v>
      </c>
      <c r="M2651" s="1"/>
      <c r="N2651" s="1"/>
      <c r="O2651" s="1"/>
      <c r="P2651" s="1"/>
      <c r="Q2651" s="1"/>
      <c r="R2651" s="1"/>
      <c r="S2651" s="1"/>
      <c r="T2651" s="1"/>
      <c r="U2651" s="1"/>
      <c r="V2651" s="1"/>
      <c r="W2651" s="1"/>
      <c r="X2651" s="1" t="s">
        <v>45</v>
      </c>
      <c r="Y2651" s="1" t="s">
        <v>10067</v>
      </c>
    </row>
    <row r="2652">
      <c r="A2652" s="1">
        <v>385742.0</v>
      </c>
      <c r="B2652" s="1" t="s">
        <v>10068</v>
      </c>
      <c r="C2652" s="1" t="s">
        <v>10069</v>
      </c>
      <c r="D2652" s="1" t="s">
        <v>10070</v>
      </c>
      <c r="F2652" s="2" t="str">
        <f>"0439650763"</f>
        <v>0439650763</v>
      </c>
      <c r="G2652" s="2" t="str">
        <f>"9780439650762"</f>
        <v>9780439650762</v>
      </c>
      <c r="H2652" s="1" t="s">
        <v>2944</v>
      </c>
      <c r="I2652" s="1" t="s">
        <v>36</v>
      </c>
      <c r="J2652" s="1">
        <v>312.0</v>
      </c>
      <c r="K2652" s="1">
        <v>2013.0</v>
      </c>
      <c r="L2652" s="1">
        <v>2004.0</v>
      </c>
      <c r="M2652" s="1"/>
      <c r="N2652" s="1"/>
      <c r="O2652" s="1"/>
      <c r="P2652" s="1"/>
      <c r="Q2652" s="1"/>
      <c r="R2652" s="1"/>
      <c r="S2652" s="1"/>
      <c r="T2652" s="1"/>
      <c r="U2652" s="1"/>
      <c r="V2652" s="1"/>
      <c r="W2652" s="1"/>
      <c r="X2652" s="1" t="s">
        <v>609</v>
      </c>
      <c r="Y2652" s="1" t="s">
        <v>10071</v>
      </c>
    </row>
    <row r="2653">
      <c r="A2653" s="1">
        <v>1.3426179E7</v>
      </c>
      <c r="B2653" s="1" t="s">
        <v>10072</v>
      </c>
      <c r="C2653" s="1" t="s">
        <v>849</v>
      </c>
      <c r="D2653" s="1" t="s">
        <v>850</v>
      </c>
      <c r="E2653" s="1" t="s">
        <v>10073</v>
      </c>
      <c r="F2653" s="2" t="str">
        <f>"1423160347"</f>
        <v>1423160347</v>
      </c>
      <c r="G2653" s="2" t="str">
        <f>"9781423160342"</f>
        <v>9781423160342</v>
      </c>
      <c r="H2653" s="1" t="s">
        <v>851</v>
      </c>
      <c r="I2653" s="1" t="s">
        <v>31</v>
      </c>
      <c r="J2653" s="1">
        <v>312.0</v>
      </c>
      <c r="K2653" s="1">
        <v>2012.0</v>
      </c>
      <c r="L2653" s="1">
        <v>2014.0</v>
      </c>
      <c r="M2653" s="1"/>
      <c r="N2653" s="1"/>
      <c r="O2653" s="1"/>
      <c r="P2653" s="1"/>
      <c r="Q2653" s="1"/>
      <c r="R2653" s="1"/>
      <c r="S2653" s="1"/>
      <c r="T2653" s="1"/>
      <c r="U2653" s="1"/>
      <c r="V2653" s="1"/>
      <c r="W2653" s="1"/>
      <c r="X2653" s="1" t="s">
        <v>74</v>
      </c>
      <c r="Y2653" s="1" t="s">
        <v>10074</v>
      </c>
    </row>
    <row r="2654">
      <c r="A2654" s="1">
        <v>1.1870085E7</v>
      </c>
      <c r="B2654" s="1" t="s">
        <v>10075</v>
      </c>
      <c r="C2654" s="1" t="s">
        <v>10076</v>
      </c>
      <c r="D2654" s="1" t="s">
        <v>10077</v>
      </c>
      <c r="F2654" s="2" t="str">
        <f t="shared" ref="F2654:G2654" si="174">""</f>
        <v/>
      </c>
      <c r="G2654" s="2" t="str">
        <f t="shared" si="174"/>
        <v/>
      </c>
      <c r="H2654" s="1" t="s">
        <v>10078</v>
      </c>
      <c r="I2654" s="1" t="s">
        <v>31</v>
      </c>
      <c r="J2654" s="1">
        <v>313.0</v>
      </c>
      <c r="K2654" s="1">
        <v>2012.0</v>
      </c>
      <c r="L2654" s="1">
        <v>2012.0</v>
      </c>
      <c r="M2654" s="1"/>
      <c r="N2654" s="1"/>
      <c r="O2654" s="1"/>
      <c r="P2654" s="1"/>
      <c r="Q2654" s="1"/>
      <c r="R2654" s="1"/>
      <c r="S2654" s="1"/>
      <c r="T2654" s="1"/>
      <c r="U2654" s="1"/>
      <c r="V2654" s="1"/>
      <c r="W2654" s="1"/>
      <c r="X2654" s="1" t="s">
        <v>458</v>
      </c>
      <c r="Y2654" s="1" t="s">
        <v>10079</v>
      </c>
    </row>
    <row r="2655">
      <c r="A2655" s="1">
        <v>1.0425811E7</v>
      </c>
      <c r="B2655" s="1" t="s">
        <v>10080</v>
      </c>
      <c r="C2655" s="1" t="s">
        <v>10081</v>
      </c>
      <c r="D2655" s="1" t="s">
        <v>10082</v>
      </c>
      <c r="E2655" s="1" t="s">
        <v>10083</v>
      </c>
      <c r="F2655" s="2" t="str">
        <f>"006201451X"</f>
        <v>006201451X</v>
      </c>
      <c r="G2655" s="2" t="str">
        <f>"9780062014511"</f>
        <v>9780062014511</v>
      </c>
      <c r="H2655" s="1" t="s">
        <v>290</v>
      </c>
      <c r="I2655" s="1" t="s">
        <v>31</v>
      </c>
      <c r="J2655" s="1">
        <v>313.0</v>
      </c>
      <c r="K2655" s="1">
        <v>2011.0</v>
      </c>
      <c r="L2655" s="1">
        <v>2011.0</v>
      </c>
      <c r="M2655" s="1"/>
      <c r="N2655" s="1"/>
      <c r="O2655" s="1"/>
      <c r="P2655" s="1"/>
      <c r="Q2655" s="1"/>
      <c r="R2655" s="1"/>
      <c r="S2655" s="1"/>
      <c r="T2655" s="1"/>
      <c r="U2655" s="1"/>
      <c r="V2655" s="1"/>
      <c r="W2655" s="1"/>
      <c r="X2655" s="1" t="s">
        <v>458</v>
      </c>
      <c r="Y2655" s="1" t="s">
        <v>10084</v>
      </c>
    </row>
    <row r="2656">
      <c r="A2656" s="1">
        <v>1.1387515E7</v>
      </c>
      <c r="B2656" s="1" t="s">
        <v>10085</v>
      </c>
      <c r="C2656" s="1" t="s">
        <v>10086</v>
      </c>
      <c r="D2656" s="1" t="s">
        <v>10087</v>
      </c>
      <c r="F2656" s="2" t="str">
        <f>"0375869026"</f>
        <v>0375869026</v>
      </c>
      <c r="G2656" s="2" t="str">
        <f>"9780375869020"</f>
        <v>9780375869020</v>
      </c>
      <c r="H2656" s="1" t="s">
        <v>2061</v>
      </c>
      <c r="I2656" s="1" t="s">
        <v>31</v>
      </c>
      <c r="J2656" s="1">
        <v>315.0</v>
      </c>
      <c r="K2656" s="1">
        <v>2012.0</v>
      </c>
      <c r="L2656" s="1">
        <v>2012.0</v>
      </c>
      <c r="M2656" s="1"/>
      <c r="N2656" s="1"/>
      <c r="O2656" s="1"/>
      <c r="P2656" s="1"/>
      <c r="Q2656" s="1"/>
      <c r="R2656" s="1"/>
      <c r="S2656" s="1"/>
      <c r="T2656" s="1"/>
      <c r="U2656" s="1"/>
      <c r="V2656" s="1"/>
      <c r="W2656" s="1"/>
      <c r="X2656" s="1" t="s">
        <v>92</v>
      </c>
      <c r="Y2656" s="1" t="s">
        <v>10088</v>
      </c>
    </row>
    <row r="2657">
      <c r="A2657" s="1">
        <v>3.6756002E7</v>
      </c>
      <c r="B2657" s="1" t="s">
        <v>10089</v>
      </c>
      <c r="C2657" s="1" t="s">
        <v>474</v>
      </c>
      <c r="D2657" s="1" t="s">
        <v>475</v>
      </c>
      <c r="F2657" s="2" t="str">
        <f>"1524770590"</f>
        <v>1524770590</v>
      </c>
      <c r="G2657" s="2" t="str">
        <f>"9781524770594"</f>
        <v>9781524770594</v>
      </c>
      <c r="H2657" s="1" t="s">
        <v>156</v>
      </c>
      <c r="I2657" s="1" t="s">
        <v>238</v>
      </c>
      <c r="J2657" s="1">
        <v>318.0</v>
      </c>
      <c r="K2657" s="1">
        <v>2017.0</v>
      </c>
      <c r="M2657" s="1"/>
      <c r="N2657" s="1"/>
      <c r="O2657" s="1"/>
      <c r="P2657" s="1"/>
      <c r="Q2657" s="1"/>
      <c r="R2657" s="1"/>
      <c r="S2657" s="1"/>
      <c r="T2657" s="1"/>
      <c r="U2657" s="1"/>
      <c r="V2657" s="1"/>
      <c r="W2657" s="1"/>
      <c r="X2657" s="1" t="s">
        <v>291</v>
      </c>
      <c r="Y2657" s="1" t="s">
        <v>10090</v>
      </c>
    </row>
    <row r="2658">
      <c r="A2658" s="1">
        <v>2.7876828E7</v>
      </c>
      <c r="B2658" s="1" t="s">
        <v>10091</v>
      </c>
      <c r="C2658" s="1" t="s">
        <v>9756</v>
      </c>
      <c r="D2658" s="1" t="s">
        <v>9757</v>
      </c>
      <c r="E2658" s="1" t="s">
        <v>9758</v>
      </c>
      <c r="F2658" s="2" t="str">
        <f>"0670016624"</f>
        <v>0670016624</v>
      </c>
      <c r="G2658" s="2" t="str">
        <f>"9780670016624"</f>
        <v>9780670016624</v>
      </c>
      <c r="H2658" s="1" t="s">
        <v>2746</v>
      </c>
      <c r="I2658" s="1" t="s">
        <v>31</v>
      </c>
      <c r="J2658" s="1">
        <v>320.0</v>
      </c>
      <c r="K2658" s="1">
        <v>2016.0</v>
      </c>
      <c r="L2658" s="1">
        <v>2016.0</v>
      </c>
      <c r="M2658" s="1"/>
      <c r="N2658" s="1"/>
      <c r="O2658" s="1"/>
      <c r="P2658" s="1"/>
      <c r="Q2658" s="1"/>
      <c r="R2658" s="1"/>
      <c r="S2658" s="1"/>
      <c r="T2658" s="1"/>
      <c r="U2658" s="1"/>
      <c r="V2658" s="1"/>
      <c r="W2658" s="1"/>
      <c r="X2658" s="1" t="s">
        <v>9848</v>
      </c>
      <c r="Y2658" s="1" t="s">
        <v>10092</v>
      </c>
    </row>
    <row r="2659">
      <c r="A2659" s="1">
        <v>1.5942671E7</v>
      </c>
      <c r="B2659" s="1" t="s">
        <v>10093</v>
      </c>
      <c r="C2659" s="1" t="s">
        <v>10094</v>
      </c>
      <c r="D2659" s="1" t="s">
        <v>10095</v>
      </c>
      <c r="F2659" s="2" t="str">
        <f>"1402281064"</f>
        <v>1402281064</v>
      </c>
      <c r="G2659" s="2" t="str">
        <f>"9781402281068"</f>
        <v>9781402281068</v>
      </c>
      <c r="H2659" s="1" t="s">
        <v>10096</v>
      </c>
      <c r="I2659" s="1" t="s">
        <v>31</v>
      </c>
      <c r="J2659" s="1">
        <v>320.0</v>
      </c>
      <c r="K2659" s="1">
        <v>2013.0</v>
      </c>
      <c r="L2659" s="1">
        <v>2013.0</v>
      </c>
      <c r="M2659" s="1"/>
      <c r="N2659" s="1"/>
      <c r="O2659" s="1"/>
      <c r="P2659" s="1"/>
      <c r="Q2659" s="1"/>
      <c r="R2659" s="1"/>
      <c r="S2659" s="1"/>
      <c r="T2659" s="1"/>
      <c r="U2659" s="1"/>
      <c r="V2659" s="1"/>
      <c r="W2659" s="1"/>
      <c r="X2659" s="1" t="s">
        <v>727</v>
      </c>
      <c r="Y2659" s="1" t="s">
        <v>10097</v>
      </c>
    </row>
    <row r="2660">
      <c r="A2660" s="1">
        <v>5.6817365E7</v>
      </c>
      <c r="B2660" s="1" t="s">
        <v>10098</v>
      </c>
      <c r="C2660" s="1" t="s">
        <v>10099</v>
      </c>
      <c r="D2660" s="1" t="s">
        <v>10100</v>
      </c>
      <c r="F2660" s="2" t="str">
        <f>"1646140893"</f>
        <v>1646140893</v>
      </c>
      <c r="G2660" s="2" t="str">
        <f>"9781646140893"</f>
        <v>9781646140893</v>
      </c>
      <c r="H2660" s="1" t="s">
        <v>10101</v>
      </c>
      <c r="I2660" s="1" t="s">
        <v>31</v>
      </c>
      <c r="J2660" s="1">
        <v>320.0</v>
      </c>
      <c r="K2660" s="1">
        <v>2021.0</v>
      </c>
      <c r="L2660" s="1">
        <v>2021.0</v>
      </c>
      <c r="M2660" s="1"/>
      <c r="N2660" s="1"/>
      <c r="O2660" s="1"/>
      <c r="P2660" s="1"/>
      <c r="Q2660" s="1"/>
      <c r="R2660" s="1"/>
      <c r="S2660" s="1"/>
      <c r="T2660" s="1"/>
      <c r="U2660" s="1"/>
      <c r="V2660" s="1"/>
      <c r="W2660" s="1"/>
      <c r="X2660" s="1" t="s">
        <v>609</v>
      </c>
      <c r="Y2660" s="1" t="s">
        <v>10102</v>
      </c>
    </row>
    <row r="2661">
      <c r="A2661" s="1">
        <v>4.0986512E7</v>
      </c>
      <c r="B2661" s="1" t="s">
        <v>10103</v>
      </c>
      <c r="C2661" s="1" t="s">
        <v>10104</v>
      </c>
      <c r="D2661" s="1" t="s">
        <v>10105</v>
      </c>
      <c r="F2661" s="2" t="str">
        <f>"0525488308"</f>
        <v>0525488308</v>
      </c>
      <c r="G2661" s="2" t="str">
        <f>"9780525488309"</f>
        <v>9780525488309</v>
      </c>
      <c r="H2661" s="1" t="s">
        <v>2875</v>
      </c>
      <c r="I2661" s="1" t="s">
        <v>31</v>
      </c>
      <c r="J2661" s="1">
        <v>320.0</v>
      </c>
      <c r="K2661" s="1">
        <v>2020.0</v>
      </c>
      <c r="L2661" s="1">
        <v>2020.0</v>
      </c>
    </row>
    <row r="2662">
      <c r="A2662" s="1">
        <v>1.4781201E7</v>
      </c>
      <c r="B2662" s="1" t="s">
        <v>10106</v>
      </c>
      <c r="C2662" s="1" t="s">
        <v>518</v>
      </c>
      <c r="D2662" s="1" t="s">
        <v>519</v>
      </c>
      <c r="E2662" s="1" t="s">
        <v>10107</v>
      </c>
      <c r="F2662" s="2" t="str">
        <f>"0316206938"</f>
        <v>0316206938</v>
      </c>
      <c r="G2662" s="2" t="str">
        <f>"9780316206938"</f>
        <v>9780316206938</v>
      </c>
      <c r="H2662" s="1" t="s">
        <v>9955</v>
      </c>
      <c r="I2662" s="1" t="s">
        <v>31</v>
      </c>
      <c r="J2662" s="1">
        <v>320.0</v>
      </c>
      <c r="K2662" s="1">
        <v>2012.0</v>
      </c>
      <c r="L2662" s="1">
        <v>2012.0</v>
      </c>
      <c r="M2662" s="1"/>
      <c r="N2662" s="1"/>
      <c r="O2662" s="1"/>
      <c r="P2662" s="1"/>
      <c r="Q2662" s="1"/>
      <c r="R2662" s="1"/>
      <c r="S2662" s="1"/>
      <c r="T2662" s="1"/>
      <c r="U2662" s="1"/>
      <c r="V2662" s="1"/>
      <c r="W2662" s="1"/>
      <c r="X2662" s="1" t="s">
        <v>285</v>
      </c>
      <c r="Y2662" s="1" t="s">
        <v>10108</v>
      </c>
    </row>
    <row r="2663">
      <c r="A2663" s="1">
        <v>2.4998989E7</v>
      </c>
      <c r="B2663" s="1" t="s">
        <v>10109</v>
      </c>
      <c r="C2663" s="1" t="s">
        <v>10110</v>
      </c>
      <c r="D2663" s="1" t="s">
        <v>10111</v>
      </c>
      <c r="F2663" s="2" t="str">
        <f>"0545835364"</f>
        <v>0545835364</v>
      </c>
      <c r="G2663" s="2" t="str">
        <f>"9780545835367"</f>
        <v>9780545835367</v>
      </c>
      <c r="H2663" s="1" t="s">
        <v>2944</v>
      </c>
      <c r="I2663" s="1" t="s">
        <v>31</v>
      </c>
      <c r="J2663" s="1">
        <v>320.0</v>
      </c>
      <c r="K2663" s="1">
        <v>2015.0</v>
      </c>
      <c r="L2663" s="1">
        <v>2014.0</v>
      </c>
      <c r="M2663" s="1"/>
      <c r="N2663" s="1"/>
      <c r="O2663" s="1"/>
      <c r="P2663" s="1"/>
      <c r="Q2663" s="1"/>
      <c r="R2663" s="1"/>
      <c r="S2663" s="1"/>
      <c r="T2663" s="1"/>
      <c r="U2663" s="1"/>
      <c r="V2663" s="1"/>
      <c r="W2663" s="1"/>
      <c r="X2663" s="1" t="s">
        <v>45</v>
      </c>
      <c r="Y2663" s="1" t="s">
        <v>10112</v>
      </c>
    </row>
    <row r="2664">
      <c r="A2664" s="1">
        <v>5.0998673E7</v>
      </c>
      <c r="B2664" s="1" t="s">
        <v>10113</v>
      </c>
      <c r="C2664" s="1" t="s">
        <v>724</v>
      </c>
      <c r="D2664" s="1" t="s">
        <v>725</v>
      </c>
      <c r="F2664" s="2" t="str">
        <f>"1368057152"</f>
        <v>1368057152</v>
      </c>
      <c r="G2664" s="2" t="str">
        <f>"9781368057158"</f>
        <v>9781368057158</v>
      </c>
      <c r="H2664" s="1" t="s">
        <v>6415</v>
      </c>
      <c r="I2664" s="1" t="s">
        <v>31</v>
      </c>
      <c r="J2664" s="1">
        <v>320.0</v>
      </c>
      <c r="K2664" s="1">
        <v>2020.0</v>
      </c>
      <c r="M2664" s="1"/>
      <c r="N2664" s="1"/>
      <c r="O2664" s="1"/>
      <c r="P2664" s="1"/>
      <c r="Q2664" s="1"/>
      <c r="R2664" s="1"/>
      <c r="S2664" s="1"/>
      <c r="T2664" s="1"/>
      <c r="U2664" s="1"/>
      <c r="V2664" s="1"/>
      <c r="W2664" s="1"/>
      <c r="X2664" s="1" t="s">
        <v>727</v>
      </c>
      <c r="Y2664" s="1" t="s">
        <v>10114</v>
      </c>
    </row>
    <row r="2665">
      <c r="A2665" s="1">
        <v>4.3522235E7</v>
      </c>
      <c r="B2665" s="1" t="s">
        <v>10115</v>
      </c>
      <c r="C2665" s="1" t="s">
        <v>724</v>
      </c>
      <c r="D2665" s="1" t="s">
        <v>725</v>
      </c>
      <c r="F2665" s="2" t="str">
        <f>"1368045707"</f>
        <v>1368045707</v>
      </c>
      <c r="G2665" s="2" t="str">
        <f>"9781368045704"</f>
        <v>9781368045704</v>
      </c>
      <c r="H2665" s="1" t="s">
        <v>6415</v>
      </c>
      <c r="I2665" s="1" t="s">
        <v>31</v>
      </c>
      <c r="J2665" s="1">
        <v>320.0</v>
      </c>
      <c r="K2665" s="1">
        <v>2019.0</v>
      </c>
      <c r="M2665" s="1"/>
      <c r="N2665" s="1"/>
      <c r="O2665" s="1"/>
      <c r="P2665" s="1"/>
      <c r="Q2665" s="1"/>
      <c r="R2665" s="1"/>
      <c r="S2665" s="1"/>
      <c r="T2665" s="1"/>
      <c r="U2665" s="1"/>
      <c r="V2665" s="1"/>
      <c r="W2665" s="1"/>
      <c r="X2665" s="1" t="s">
        <v>727</v>
      </c>
      <c r="Y2665" s="1" t="s">
        <v>10116</v>
      </c>
    </row>
    <row r="2666">
      <c r="A2666" s="1">
        <v>3.5683585E7</v>
      </c>
      <c r="B2666" s="1" t="s">
        <v>10117</v>
      </c>
      <c r="C2666" s="1" t="s">
        <v>10118</v>
      </c>
      <c r="D2666" s="1" t="s">
        <v>10119</v>
      </c>
      <c r="F2666" s="2" t="str">
        <f t="shared" ref="F2666:G2666" si="175">""</f>
        <v/>
      </c>
      <c r="G2666" s="2" t="str">
        <f t="shared" si="175"/>
        <v/>
      </c>
      <c r="H2666" s="1" t="s">
        <v>6353</v>
      </c>
      <c r="I2666" s="1" t="s">
        <v>238</v>
      </c>
      <c r="J2666" s="1">
        <v>322.0</v>
      </c>
      <c r="K2666" s="1">
        <v>2016.0</v>
      </c>
      <c r="L2666" s="1">
        <v>2016.0</v>
      </c>
      <c r="M2666" s="1"/>
      <c r="N2666" s="1"/>
      <c r="O2666" s="1"/>
      <c r="P2666" s="1"/>
      <c r="Q2666" s="1"/>
      <c r="R2666" s="1"/>
      <c r="S2666" s="1"/>
      <c r="T2666" s="1"/>
      <c r="U2666" s="1"/>
      <c r="V2666" s="1"/>
      <c r="W2666" s="1"/>
      <c r="X2666" s="1" t="s">
        <v>852</v>
      </c>
      <c r="Y2666" s="1" t="s">
        <v>10120</v>
      </c>
    </row>
    <row r="2667">
      <c r="A2667" s="1">
        <v>4.3319671E7</v>
      </c>
      <c r="B2667" s="1" t="s">
        <v>10121</v>
      </c>
      <c r="C2667" s="1" t="s">
        <v>9166</v>
      </c>
      <c r="D2667" s="1" t="s">
        <v>9167</v>
      </c>
      <c r="F2667" s="2" t="str">
        <f>"1338245724"</f>
        <v>1338245724</v>
      </c>
      <c r="G2667" s="2" t="str">
        <f>"9781338245721"</f>
        <v>9781338245721</v>
      </c>
      <c r="H2667" s="1" t="s">
        <v>857</v>
      </c>
      <c r="I2667" s="1" t="s">
        <v>31</v>
      </c>
      <c r="J2667" s="1">
        <v>325.0</v>
      </c>
      <c r="K2667" s="1">
        <v>2019.0</v>
      </c>
      <c r="L2667" s="1">
        <v>2019.0</v>
      </c>
      <c r="M2667" s="1"/>
      <c r="N2667" s="1"/>
      <c r="O2667" s="1"/>
      <c r="P2667" s="1"/>
      <c r="Q2667" s="1"/>
      <c r="R2667" s="1"/>
      <c r="S2667" s="1"/>
      <c r="T2667" s="1"/>
      <c r="U2667" s="1"/>
      <c r="V2667" s="1"/>
      <c r="W2667" s="1"/>
      <c r="X2667" s="1" t="s">
        <v>609</v>
      </c>
      <c r="Y2667" s="1" t="s">
        <v>10122</v>
      </c>
    </row>
    <row r="2668">
      <c r="A2668" s="1">
        <v>262430.0</v>
      </c>
      <c r="B2668" s="1" t="s">
        <v>10123</v>
      </c>
      <c r="C2668" s="1" t="s">
        <v>10069</v>
      </c>
      <c r="D2668" s="1" t="s">
        <v>10070</v>
      </c>
      <c r="F2668" s="2" t="str">
        <f>"043977134X"</f>
        <v>043977134X</v>
      </c>
      <c r="G2668" s="2" t="str">
        <f>"9780439771344"</f>
        <v>9780439771344</v>
      </c>
      <c r="H2668" s="1" t="s">
        <v>50</v>
      </c>
      <c r="I2668" s="1" t="s">
        <v>400</v>
      </c>
      <c r="J2668" s="1">
        <v>326.0</v>
      </c>
      <c r="K2668" s="1">
        <v>2005.0</v>
      </c>
      <c r="L2668" s="1">
        <v>2003.0</v>
      </c>
      <c r="M2668" s="1"/>
      <c r="N2668" s="1"/>
      <c r="O2668" s="1"/>
      <c r="P2668" s="1"/>
      <c r="Q2668" s="1"/>
      <c r="R2668" s="1"/>
      <c r="S2668" s="1"/>
      <c r="T2668" s="1"/>
      <c r="U2668" s="1"/>
      <c r="V2668" s="1"/>
      <c r="W2668" s="1"/>
      <c r="X2668" s="1" t="s">
        <v>458</v>
      </c>
      <c r="Y2668" s="1" t="s">
        <v>10124</v>
      </c>
    </row>
    <row r="2669">
      <c r="A2669" s="1">
        <v>6665671.0</v>
      </c>
      <c r="B2669" s="1" t="s">
        <v>10125</v>
      </c>
      <c r="C2669" s="1" t="s">
        <v>10126</v>
      </c>
      <c r="D2669" s="1" t="s">
        <v>10127</v>
      </c>
      <c r="F2669" s="2" t="str">
        <f>"0375865861"</f>
        <v>0375865861</v>
      </c>
      <c r="G2669" s="2" t="str">
        <f>"9780375865862"</f>
        <v>9780375865862</v>
      </c>
      <c r="H2669" s="1" t="s">
        <v>10128</v>
      </c>
      <c r="I2669" s="1" t="s">
        <v>31</v>
      </c>
      <c r="J2669" s="1">
        <v>327.0</v>
      </c>
      <c r="K2669" s="1">
        <v>2010.0</v>
      </c>
      <c r="L2669" s="1">
        <v>2010.0</v>
      </c>
      <c r="M2669" s="1"/>
      <c r="N2669" s="1"/>
      <c r="O2669" s="1"/>
      <c r="P2669" s="1"/>
      <c r="Q2669" s="1"/>
      <c r="R2669" s="1"/>
      <c r="S2669" s="1"/>
      <c r="T2669" s="1"/>
      <c r="U2669" s="1"/>
      <c r="V2669" s="1"/>
      <c r="W2669" s="1"/>
      <c r="X2669" s="1" t="s">
        <v>609</v>
      </c>
      <c r="Y2669" s="1" t="s">
        <v>10129</v>
      </c>
    </row>
    <row r="2670">
      <c r="A2670" s="1">
        <v>2.5486998E7</v>
      </c>
      <c r="B2670" s="1" t="s">
        <v>10130</v>
      </c>
      <c r="C2670" s="1" t="s">
        <v>10131</v>
      </c>
      <c r="D2670" s="1" t="s">
        <v>10132</v>
      </c>
      <c r="F2670" s="2" t="str">
        <f>"0545850975"</f>
        <v>0545850975</v>
      </c>
      <c r="G2670" s="2" t="str">
        <f>"9780545850971"</f>
        <v>9780545850971</v>
      </c>
      <c r="H2670" s="1" t="s">
        <v>9830</v>
      </c>
      <c r="I2670" s="1" t="s">
        <v>31</v>
      </c>
      <c r="J2670" s="1">
        <v>329.0</v>
      </c>
      <c r="K2670" s="1">
        <v>2016.0</v>
      </c>
      <c r="L2670" s="1">
        <v>2016.0</v>
      </c>
      <c r="M2670" s="1"/>
      <c r="N2670" s="1"/>
      <c r="O2670" s="1"/>
      <c r="P2670" s="1"/>
      <c r="Q2670" s="1"/>
      <c r="R2670" s="1"/>
      <c r="S2670" s="1"/>
      <c r="T2670" s="1"/>
      <c r="U2670" s="1"/>
      <c r="V2670" s="1"/>
      <c r="W2670" s="1"/>
      <c r="X2670" s="1" t="s">
        <v>609</v>
      </c>
      <c r="Y2670" s="1" t="s">
        <v>10133</v>
      </c>
    </row>
    <row r="2671">
      <c r="A2671" s="1">
        <v>3.6347821E7</v>
      </c>
      <c r="B2671" s="1" t="s">
        <v>10134</v>
      </c>
      <c r="C2671" s="1" t="s">
        <v>10135</v>
      </c>
      <c r="D2671" s="1" t="s">
        <v>10136</v>
      </c>
      <c r="F2671" s="2" t="str">
        <f>"1534426582"</f>
        <v>1534426582</v>
      </c>
      <c r="G2671" s="2" t="str">
        <f>"9781534426580"</f>
        <v>9781534426580</v>
      </c>
      <c r="H2671" s="1" t="s">
        <v>2496</v>
      </c>
      <c r="I2671" s="1" t="s">
        <v>31</v>
      </c>
      <c r="J2671" s="1">
        <v>330.0</v>
      </c>
      <c r="K2671" s="1">
        <v>2018.0</v>
      </c>
      <c r="L2671" s="1">
        <v>2018.0</v>
      </c>
      <c r="M2671" s="1"/>
      <c r="N2671" s="1"/>
      <c r="O2671" s="1"/>
      <c r="P2671" s="1"/>
      <c r="Q2671" s="1"/>
      <c r="R2671" s="1"/>
      <c r="S2671" s="1"/>
      <c r="T2671" s="1"/>
      <c r="U2671" s="1"/>
      <c r="V2671" s="1"/>
      <c r="W2671" s="1"/>
      <c r="X2671" s="1" t="s">
        <v>96</v>
      </c>
      <c r="Y2671" s="1" t="s">
        <v>10137</v>
      </c>
    </row>
    <row r="2672">
      <c r="A2672" s="1">
        <v>6.2033353E7</v>
      </c>
      <c r="B2672" s="1" t="s">
        <v>10138</v>
      </c>
      <c r="C2672" s="1" t="s">
        <v>10139</v>
      </c>
      <c r="D2672" s="1" t="s">
        <v>10140</v>
      </c>
      <c r="F2672" s="2" t="str">
        <f>"1338831798"</f>
        <v>1338831798</v>
      </c>
      <c r="G2672" s="2" t="str">
        <f>"9781338831795"</f>
        <v>9781338831795</v>
      </c>
      <c r="H2672" s="1" t="s">
        <v>1575</v>
      </c>
      <c r="I2672" s="1" t="s">
        <v>238</v>
      </c>
      <c r="J2672" s="1">
        <v>333.0</v>
      </c>
      <c r="K2672" s="1">
        <v>2022.0</v>
      </c>
      <c r="L2672" s="1">
        <v>2022.0</v>
      </c>
      <c r="M2672" s="1"/>
      <c r="N2672" s="1"/>
      <c r="O2672" s="1"/>
      <c r="P2672" s="1"/>
      <c r="Q2672" s="1"/>
      <c r="R2672" s="1"/>
      <c r="S2672" s="1"/>
      <c r="T2672" s="1"/>
      <c r="U2672" s="1"/>
      <c r="V2672" s="1"/>
      <c r="W2672" s="1"/>
      <c r="X2672" s="1" t="s">
        <v>852</v>
      </c>
      <c r="Y2672" s="1" t="s">
        <v>10141</v>
      </c>
    </row>
    <row r="2673">
      <c r="A2673" s="1">
        <v>1.4569052E7</v>
      </c>
      <c r="B2673" s="1" t="s">
        <v>10142</v>
      </c>
      <c r="C2673" s="1" t="s">
        <v>10143</v>
      </c>
      <c r="D2673" s="1" t="s">
        <v>10144</v>
      </c>
      <c r="F2673" s="2" t="str">
        <f>"1616202416"</f>
        <v>1616202416</v>
      </c>
      <c r="G2673" s="2" t="str">
        <f>"9781616202415"</f>
        <v>9781616202415</v>
      </c>
      <c r="H2673" s="1" t="s">
        <v>10145</v>
      </c>
      <c r="I2673" s="1" t="s">
        <v>36</v>
      </c>
      <c r="J2673" s="1">
        <v>336.0</v>
      </c>
      <c r="K2673" s="1">
        <v>2012.0</v>
      </c>
      <c r="L2673" s="1">
        <v>2003.0</v>
      </c>
    </row>
    <row r="2674">
      <c r="A2674" s="1">
        <v>6.287038E7</v>
      </c>
      <c r="B2674" s="1" t="s">
        <v>10146</v>
      </c>
      <c r="C2674" s="1" t="s">
        <v>10147</v>
      </c>
      <c r="D2674" s="1" t="s">
        <v>10148</v>
      </c>
      <c r="F2674" s="2" t="str">
        <f>"006325655X"</f>
        <v>006325655X</v>
      </c>
      <c r="G2674" s="2" t="str">
        <f>"9780063256552"</f>
        <v>9780063256552</v>
      </c>
      <c r="H2674" s="1" t="s">
        <v>1799</v>
      </c>
      <c r="I2674" s="1" t="s">
        <v>31</v>
      </c>
      <c r="J2674" s="1">
        <v>336.0</v>
      </c>
      <c r="K2674" s="1">
        <v>2023.0</v>
      </c>
      <c r="L2674" s="1">
        <v>2023.0</v>
      </c>
      <c r="M2674" s="1"/>
      <c r="N2674" s="1"/>
      <c r="O2674" s="1"/>
      <c r="P2674" s="1"/>
      <c r="Q2674" s="1"/>
      <c r="R2674" s="1"/>
      <c r="S2674" s="1"/>
      <c r="T2674" s="1"/>
      <c r="U2674" s="1"/>
      <c r="V2674" s="1"/>
      <c r="W2674" s="1"/>
      <c r="X2674" s="1" t="s">
        <v>609</v>
      </c>
      <c r="Y2674" s="1" t="s">
        <v>10149</v>
      </c>
    </row>
    <row r="2675">
      <c r="A2675" s="1">
        <v>635646.0</v>
      </c>
      <c r="B2675" s="1" t="s">
        <v>10150</v>
      </c>
      <c r="C2675" s="1" t="s">
        <v>10151</v>
      </c>
      <c r="D2675" s="1" t="s">
        <v>10152</v>
      </c>
      <c r="F2675" s="2" t="str">
        <f>"0684849003"</f>
        <v>0684849003</v>
      </c>
      <c r="G2675" s="2" t="str">
        <f>"9780684849003"</f>
        <v>9780684849003</v>
      </c>
      <c r="H2675" s="1" t="s">
        <v>10153</v>
      </c>
      <c r="I2675" s="1" t="s">
        <v>36</v>
      </c>
      <c r="J2675" s="1">
        <v>336.0</v>
      </c>
      <c r="K2675" s="1">
        <v>2000.0</v>
      </c>
      <c r="L2675" s="1">
        <v>2000.0</v>
      </c>
      <c r="M2675" s="1"/>
      <c r="N2675" s="1"/>
      <c r="O2675" s="1"/>
      <c r="P2675" s="1"/>
      <c r="Q2675" s="1"/>
      <c r="R2675" s="1"/>
      <c r="S2675" s="1"/>
      <c r="T2675" s="1"/>
      <c r="U2675" s="1"/>
      <c r="V2675" s="1"/>
      <c r="W2675" s="1"/>
      <c r="X2675" s="1" t="s">
        <v>852</v>
      </c>
      <c r="Y2675" s="1" t="s">
        <v>10154</v>
      </c>
    </row>
    <row r="2676">
      <c r="A2676" s="1">
        <v>1.3228487E7</v>
      </c>
      <c r="B2676" s="1" t="s">
        <v>10155</v>
      </c>
      <c r="C2676" s="1" t="s">
        <v>10156</v>
      </c>
      <c r="D2676" s="1" t="s">
        <v>10157</v>
      </c>
      <c r="F2676" s="2" t="str">
        <f>"0545349184"</f>
        <v>0545349184</v>
      </c>
      <c r="G2676" s="2" t="str">
        <f>"9780545349185"</f>
        <v>9780545349185</v>
      </c>
      <c r="H2676" s="1" t="s">
        <v>857</v>
      </c>
      <c r="I2676" s="1" t="s">
        <v>31</v>
      </c>
      <c r="J2676" s="1">
        <v>336.0</v>
      </c>
      <c r="K2676" s="1">
        <v>2012.0</v>
      </c>
      <c r="L2676" s="1">
        <v>2012.0</v>
      </c>
      <c r="M2676" s="1"/>
      <c r="N2676" s="1"/>
      <c r="O2676" s="1"/>
      <c r="P2676" s="1"/>
      <c r="Q2676" s="1"/>
      <c r="R2676" s="1"/>
      <c r="S2676" s="1"/>
      <c r="T2676" s="1"/>
      <c r="U2676" s="1"/>
      <c r="V2676" s="1"/>
      <c r="W2676" s="1"/>
      <c r="X2676" s="1" t="s">
        <v>45</v>
      </c>
      <c r="Y2676" s="1" t="s">
        <v>10158</v>
      </c>
    </row>
    <row r="2677">
      <c r="A2677" s="1">
        <v>4.9398092E7</v>
      </c>
      <c r="B2677" s="1" t="s">
        <v>10159</v>
      </c>
      <c r="C2677" s="1" t="s">
        <v>10160</v>
      </c>
      <c r="D2677" s="1" t="s">
        <v>10161</v>
      </c>
      <c r="F2677" s="2" t="str">
        <f>"0062996894"</f>
        <v>0062996894</v>
      </c>
      <c r="G2677" s="2" t="str">
        <f>"9780062996893"</f>
        <v>9780062996893</v>
      </c>
      <c r="H2677" s="1" t="s">
        <v>1570</v>
      </c>
      <c r="I2677" s="1" t="s">
        <v>31</v>
      </c>
      <c r="J2677" s="1">
        <v>336.0</v>
      </c>
      <c r="K2677" s="1">
        <v>2020.0</v>
      </c>
      <c r="L2677" s="1">
        <v>2020.0</v>
      </c>
      <c r="M2677" s="1"/>
      <c r="N2677" s="1"/>
      <c r="O2677" s="1"/>
      <c r="P2677" s="1"/>
      <c r="Q2677" s="1"/>
      <c r="R2677" s="1"/>
      <c r="S2677" s="1"/>
      <c r="T2677" s="1"/>
      <c r="U2677" s="1"/>
      <c r="V2677" s="1"/>
      <c r="W2677" s="1"/>
      <c r="X2677" s="1" t="s">
        <v>458</v>
      </c>
      <c r="Y2677" s="1" t="s">
        <v>10162</v>
      </c>
    </row>
    <row r="2678">
      <c r="A2678" s="1">
        <v>4.0604126E7</v>
      </c>
      <c r="B2678" s="1" t="s">
        <v>10163</v>
      </c>
      <c r="C2678" s="1" t="s">
        <v>10164</v>
      </c>
      <c r="D2678" s="1" t="s">
        <v>10165</v>
      </c>
      <c r="F2678" s="2" t="str">
        <f>"1501180932"</f>
        <v>1501180932</v>
      </c>
      <c r="G2678" s="2" t="str">
        <f>"9781501180934"</f>
        <v>9781501180934</v>
      </c>
      <c r="H2678" s="1" t="s">
        <v>10166</v>
      </c>
      <c r="I2678" s="1" t="s">
        <v>238</v>
      </c>
      <c r="J2678" s="1">
        <v>337.0</v>
      </c>
      <c r="K2678" s="1">
        <v>2018.0</v>
      </c>
      <c r="L2678" s="1">
        <v>2018.0</v>
      </c>
    </row>
    <row r="2679">
      <c r="A2679" s="1">
        <v>5.8978895E7</v>
      </c>
      <c r="B2679" s="1" t="s">
        <v>10167</v>
      </c>
      <c r="C2679" s="1" t="s">
        <v>518</v>
      </c>
      <c r="D2679" s="1" t="s">
        <v>519</v>
      </c>
      <c r="E2679" s="1" t="s">
        <v>10168</v>
      </c>
      <c r="F2679" s="2" t="str">
        <f>"0316430315"</f>
        <v>0316430315</v>
      </c>
      <c r="G2679" s="2" t="str">
        <f>"9780316430319"</f>
        <v>9780316430319</v>
      </c>
      <c r="H2679" s="1" t="s">
        <v>9955</v>
      </c>
      <c r="I2679" s="1" t="s">
        <v>238</v>
      </c>
      <c r="J2679" s="1">
        <v>338.0</v>
      </c>
      <c r="K2679" s="1">
        <v>2022.0</v>
      </c>
      <c r="M2679" s="1"/>
      <c r="N2679" s="1"/>
      <c r="O2679" s="1"/>
      <c r="P2679" s="1"/>
      <c r="Q2679" s="1"/>
      <c r="R2679" s="1"/>
      <c r="S2679" s="1"/>
      <c r="T2679" s="1"/>
      <c r="U2679" s="1"/>
      <c r="V2679" s="1"/>
      <c r="W2679" s="1"/>
      <c r="X2679" s="1" t="s">
        <v>7614</v>
      </c>
      <c r="Y2679" s="1" t="s">
        <v>10169</v>
      </c>
    </row>
    <row r="2680">
      <c r="A2680" s="1">
        <v>15881.0</v>
      </c>
      <c r="B2680" s="1" t="s">
        <v>10170</v>
      </c>
      <c r="C2680" s="1" t="s">
        <v>601</v>
      </c>
      <c r="D2680" s="1" t="s">
        <v>602</v>
      </c>
      <c r="E2680" s="1" t="s">
        <v>7258</v>
      </c>
      <c r="F2680" s="2" t="str">
        <f t="shared" ref="F2680:G2680" si="176">""</f>
        <v/>
      </c>
      <c r="G2680" s="2" t="str">
        <f t="shared" si="176"/>
        <v/>
      </c>
      <c r="H2680" s="1" t="s">
        <v>4705</v>
      </c>
      <c r="I2680" s="1" t="s">
        <v>31</v>
      </c>
      <c r="J2680" s="1">
        <v>341.0</v>
      </c>
      <c r="K2680" s="1">
        <v>1999.0</v>
      </c>
      <c r="L2680" s="1">
        <v>1998.0</v>
      </c>
      <c r="M2680" s="1"/>
      <c r="N2680" s="1"/>
      <c r="O2680" s="1"/>
      <c r="P2680" s="1"/>
      <c r="Q2680" s="1"/>
      <c r="R2680" s="1"/>
      <c r="S2680" s="1"/>
      <c r="T2680" s="1"/>
      <c r="U2680" s="1"/>
      <c r="V2680" s="1"/>
      <c r="W2680" s="1"/>
      <c r="X2680" s="1" t="s">
        <v>7781</v>
      </c>
      <c r="Y2680" s="1" t="s">
        <v>10171</v>
      </c>
    </row>
    <row r="2681">
      <c r="A2681" s="1">
        <v>4.8613333E7</v>
      </c>
      <c r="B2681" s="1" t="s">
        <v>10172</v>
      </c>
      <c r="C2681" s="1" t="s">
        <v>9868</v>
      </c>
      <c r="D2681" s="1" t="s">
        <v>9869</v>
      </c>
      <c r="E2681" s="1" t="s">
        <v>10011</v>
      </c>
      <c r="F2681" s="2" t="str">
        <f>"0062991310"</f>
        <v>0062991310</v>
      </c>
      <c r="G2681" s="2" t="str">
        <f>"9780062991317"</f>
        <v>9780062991317</v>
      </c>
      <c r="H2681" s="1" t="s">
        <v>9586</v>
      </c>
      <c r="I2681" s="1" t="s">
        <v>31</v>
      </c>
      <c r="J2681" s="1">
        <v>342.0</v>
      </c>
      <c r="K2681" s="1">
        <v>2020.0</v>
      </c>
      <c r="L2681" s="1">
        <v>2020.0</v>
      </c>
      <c r="M2681" s="1"/>
      <c r="N2681" s="1"/>
      <c r="O2681" s="1"/>
      <c r="P2681" s="1"/>
      <c r="Q2681" s="1"/>
      <c r="R2681" s="1"/>
      <c r="S2681" s="1"/>
      <c r="T2681" s="1"/>
      <c r="U2681" s="1"/>
      <c r="V2681" s="1"/>
      <c r="W2681" s="1"/>
      <c r="X2681" s="1" t="s">
        <v>10173</v>
      </c>
      <c r="Y2681" s="1" t="s">
        <v>10174</v>
      </c>
    </row>
    <row r="2682">
      <c r="A2682" s="1">
        <v>319644.0</v>
      </c>
      <c r="B2682" s="1" t="s">
        <v>10175</v>
      </c>
      <c r="C2682" s="1" t="s">
        <v>10069</v>
      </c>
      <c r="D2682" s="1" t="s">
        <v>10070</v>
      </c>
      <c r="F2682" s="2" t="str">
        <f>"0439791464"</f>
        <v>0439791464</v>
      </c>
      <c r="G2682" s="2" t="str">
        <f>"9780439791465"</f>
        <v>9780439791465</v>
      </c>
      <c r="H2682" s="1" t="s">
        <v>2944</v>
      </c>
      <c r="I2682" s="1" t="s">
        <v>36</v>
      </c>
      <c r="J2682" s="1">
        <v>343.0</v>
      </c>
      <c r="K2682" s="1">
        <v>2013.0</v>
      </c>
      <c r="L2682" s="1">
        <v>2006.0</v>
      </c>
      <c r="M2682" s="1"/>
      <c r="N2682" s="1"/>
      <c r="O2682" s="1"/>
      <c r="P2682" s="1"/>
      <c r="Q2682" s="1"/>
      <c r="R2682" s="1"/>
      <c r="S2682" s="1"/>
      <c r="T2682" s="1"/>
      <c r="U2682" s="1"/>
      <c r="V2682" s="1"/>
      <c r="W2682" s="1"/>
      <c r="X2682" s="1" t="s">
        <v>45</v>
      </c>
      <c r="Y2682" s="1" t="s">
        <v>10176</v>
      </c>
    </row>
    <row r="2683">
      <c r="A2683" s="1">
        <v>2.2124796E7</v>
      </c>
      <c r="B2683" s="1" t="s">
        <v>10177</v>
      </c>
      <c r="C2683" s="1" t="s">
        <v>9782</v>
      </c>
      <c r="D2683" s="1" t="s">
        <v>9783</v>
      </c>
      <c r="E2683" s="1" t="s">
        <v>9784</v>
      </c>
      <c r="F2683" s="2" t="str">
        <f>"1250060125"</f>
        <v>1250060125</v>
      </c>
      <c r="G2683" s="2" t="str">
        <f>"9781250060129"</f>
        <v>9781250060129</v>
      </c>
      <c r="H2683" s="1" t="s">
        <v>2940</v>
      </c>
      <c r="I2683" s="1" t="s">
        <v>238</v>
      </c>
      <c r="J2683" s="1">
        <v>346.0</v>
      </c>
      <c r="K2683" s="1">
        <v>2014.0</v>
      </c>
      <c r="L2683" s="1">
        <v>2011.0</v>
      </c>
      <c r="M2683" s="1"/>
      <c r="N2683" s="1"/>
      <c r="O2683" s="1"/>
      <c r="P2683" s="1"/>
      <c r="Q2683" s="1"/>
      <c r="R2683" s="1"/>
      <c r="S2683" s="1"/>
      <c r="T2683" s="1"/>
      <c r="U2683" s="1"/>
      <c r="V2683" s="1"/>
      <c r="W2683" s="1"/>
      <c r="X2683" s="1" t="s">
        <v>549</v>
      </c>
      <c r="Y2683" s="1" t="s">
        <v>10178</v>
      </c>
    </row>
    <row r="2684">
      <c r="A2684" s="1">
        <v>3430633.0</v>
      </c>
      <c r="B2684" s="1" t="s">
        <v>10179</v>
      </c>
      <c r="C2684" s="1" t="s">
        <v>10180</v>
      </c>
      <c r="D2684" s="1" t="s">
        <v>10181</v>
      </c>
      <c r="E2684" s="1" t="s">
        <v>9968</v>
      </c>
      <c r="F2684" s="2" t="str">
        <f>"039562231X"</f>
        <v>039562231X</v>
      </c>
      <c r="G2684" s="2" t="str">
        <f>"9780395622315"</f>
        <v>9780395622315</v>
      </c>
      <c r="H2684" s="1" t="s">
        <v>1710</v>
      </c>
      <c r="I2684" s="1" t="s">
        <v>31</v>
      </c>
      <c r="J2684" s="1">
        <v>348.0</v>
      </c>
      <c r="K2684" s="1">
        <v>1993.0</v>
      </c>
      <c r="L2684" s="1">
        <v>1993.0</v>
      </c>
    </row>
    <row r="2685">
      <c r="A2685" s="1">
        <v>3.6323798E7</v>
      </c>
      <c r="B2685" s="1" t="s">
        <v>10182</v>
      </c>
      <c r="C2685" s="1" t="s">
        <v>10183</v>
      </c>
      <c r="D2685" s="1" t="s">
        <v>10184</v>
      </c>
      <c r="F2685" s="2" t="str">
        <f>"1368055079"</f>
        <v>1368055079</v>
      </c>
      <c r="G2685" s="2" t="str">
        <f>"9781368055079"</f>
        <v>9781368055079</v>
      </c>
      <c r="H2685" s="1" t="s">
        <v>10185</v>
      </c>
      <c r="I2685" s="1" t="s">
        <v>1278</v>
      </c>
      <c r="J2685" s="1">
        <v>349.0</v>
      </c>
      <c r="K2685" s="1">
        <v>2020.0</v>
      </c>
      <c r="L2685" s="1">
        <v>2020.0</v>
      </c>
      <c r="M2685" s="1"/>
      <c r="N2685" s="1"/>
      <c r="O2685" s="1"/>
      <c r="P2685" s="1"/>
      <c r="Q2685" s="1"/>
      <c r="R2685" s="1"/>
      <c r="S2685" s="1"/>
      <c r="T2685" s="1"/>
      <c r="U2685" s="1"/>
      <c r="V2685" s="1"/>
      <c r="W2685" s="1"/>
      <c r="X2685" s="1" t="s">
        <v>727</v>
      </c>
      <c r="Y2685" s="1" t="s">
        <v>10186</v>
      </c>
    </row>
    <row r="2686">
      <c r="A2686" s="1">
        <v>3.7750461E7</v>
      </c>
      <c r="B2686" s="1" t="s">
        <v>10187</v>
      </c>
      <c r="C2686" s="1" t="s">
        <v>10188</v>
      </c>
      <c r="D2686" s="1" t="s">
        <v>10189</v>
      </c>
      <c r="F2686" s="2" t="str">
        <f>"8415618700"</f>
        <v>8415618700</v>
      </c>
      <c r="G2686" s="2" t="str">
        <f>"9788415618706"</f>
        <v>9788415618706</v>
      </c>
      <c r="H2686" s="1" t="s">
        <v>8139</v>
      </c>
      <c r="I2686" s="1" t="s">
        <v>31</v>
      </c>
      <c r="J2686" s="1">
        <v>351.0</v>
      </c>
      <c r="K2686" s="1">
        <v>2018.0</v>
      </c>
      <c r="L2686" s="1">
        <v>1812.0</v>
      </c>
      <c r="M2686" s="1"/>
      <c r="N2686" s="1"/>
      <c r="O2686" s="1"/>
      <c r="P2686" s="1"/>
      <c r="Q2686" s="1"/>
      <c r="R2686" s="1"/>
      <c r="S2686" s="1"/>
      <c r="T2686" s="1"/>
      <c r="U2686" s="1"/>
      <c r="V2686" s="1"/>
      <c r="W2686" s="1"/>
      <c r="X2686" s="1" t="s">
        <v>7786</v>
      </c>
      <c r="Y2686" s="1" t="s">
        <v>10190</v>
      </c>
    </row>
    <row r="2687">
      <c r="A2687" s="1">
        <v>3.4228282E7</v>
      </c>
      <c r="B2687" s="1" t="s">
        <v>10191</v>
      </c>
      <c r="C2687" s="1" t="s">
        <v>10192</v>
      </c>
      <c r="D2687" s="1" t="s">
        <v>10193</v>
      </c>
      <c r="F2687" s="2" t="str">
        <f>"148147782X"</f>
        <v>148147782X</v>
      </c>
      <c r="G2687" s="2" t="str">
        <f>"9781481477826"</f>
        <v>9781481477826</v>
      </c>
      <c r="H2687" s="1" t="s">
        <v>3030</v>
      </c>
      <c r="I2687" s="1" t="s">
        <v>31</v>
      </c>
      <c r="J2687" s="1">
        <v>352.0</v>
      </c>
      <c r="K2687" s="1">
        <v>2017.0</v>
      </c>
      <c r="L2687" s="1">
        <v>2017.0</v>
      </c>
      <c r="M2687" s="1"/>
      <c r="N2687" s="1"/>
      <c r="O2687" s="1"/>
      <c r="P2687" s="1"/>
      <c r="Q2687" s="1"/>
      <c r="R2687" s="1"/>
      <c r="S2687" s="1"/>
      <c r="T2687" s="1"/>
      <c r="U2687" s="1"/>
      <c r="V2687" s="1"/>
      <c r="W2687" s="1"/>
      <c r="X2687" s="1" t="s">
        <v>3263</v>
      </c>
      <c r="Y2687" s="1" t="s">
        <v>10194</v>
      </c>
    </row>
    <row r="2688">
      <c r="A2688" s="1">
        <v>2.1469063E7</v>
      </c>
      <c r="B2688" s="1" t="s">
        <v>10195</v>
      </c>
      <c r="C2688" s="1" t="s">
        <v>9782</v>
      </c>
      <c r="D2688" s="1" t="s">
        <v>9783</v>
      </c>
      <c r="E2688" s="1" t="s">
        <v>9784</v>
      </c>
      <c r="F2688" s="2" t="str">
        <f>"125002692X"</f>
        <v>125002692X</v>
      </c>
      <c r="G2688" s="2" t="str">
        <f>"9781250026927"</f>
        <v>9781250026927</v>
      </c>
      <c r="H2688" s="1" t="s">
        <v>2940</v>
      </c>
      <c r="I2688" s="1" t="s">
        <v>31</v>
      </c>
      <c r="J2688" s="1">
        <v>352.0</v>
      </c>
      <c r="K2688" s="1">
        <v>2015.0</v>
      </c>
      <c r="L2688" s="1">
        <v>2013.0</v>
      </c>
      <c r="M2688" s="1"/>
      <c r="N2688" s="1"/>
      <c r="O2688" s="1"/>
      <c r="P2688" s="1"/>
      <c r="Q2688" s="1"/>
      <c r="R2688" s="1"/>
      <c r="S2688" s="1"/>
      <c r="T2688" s="1"/>
      <c r="U2688" s="1"/>
      <c r="V2688" s="1"/>
      <c r="W2688" s="1"/>
      <c r="X2688" s="1" t="s">
        <v>549</v>
      </c>
      <c r="Y2688" s="1" t="s">
        <v>10196</v>
      </c>
    </row>
    <row r="2689">
      <c r="A2689" s="1">
        <v>9460487.0</v>
      </c>
      <c r="B2689" s="1" t="s">
        <v>10197</v>
      </c>
      <c r="C2689" s="1" t="s">
        <v>10198</v>
      </c>
      <c r="D2689" s="1" t="s">
        <v>10199</v>
      </c>
      <c r="F2689" s="2" t="str">
        <f>"1594744769"</f>
        <v>1594744769</v>
      </c>
      <c r="G2689" s="2" t="str">
        <f>"9781594744761"</f>
        <v>9781594744761</v>
      </c>
      <c r="H2689" s="1" t="s">
        <v>10200</v>
      </c>
      <c r="I2689" s="1" t="s">
        <v>31</v>
      </c>
      <c r="J2689" s="1">
        <v>352.0</v>
      </c>
      <c r="K2689" s="1">
        <v>2011.0</v>
      </c>
      <c r="L2689" s="1">
        <v>2011.0</v>
      </c>
      <c r="M2689" s="1"/>
      <c r="N2689" s="1"/>
      <c r="O2689" s="1"/>
      <c r="P2689" s="1"/>
      <c r="Q2689" s="1"/>
      <c r="R2689" s="1"/>
      <c r="S2689" s="1"/>
      <c r="T2689" s="1"/>
      <c r="U2689" s="1"/>
      <c r="V2689" s="1"/>
      <c r="W2689" s="1"/>
      <c r="X2689" s="1" t="s">
        <v>10201</v>
      </c>
      <c r="Y2689" s="1" t="s">
        <v>10202</v>
      </c>
    </row>
    <row r="2690">
      <c r="A2690" s="1">
        <v>3.8185346E7</v>
      </c>
      <c r="B2690" s="1" t="s">
        <v>10203</v>
      </c>
      <c r="C2690" s="1" t="s">
        <v>4239</v>
      </c>
      <c r="D2690" s="1" t="s">
        <v>4240</v>
      </c>
      <c r="F2690" s="2" t="str">
        <f t="shared" ref="F2690:G2690" si="177">""</f>
        <v/>
      </c>
      <c r="G2690" s="2" t="str">
        <f t="shared" si="177"/>
        <v/>
      </c>
      <c r="H2690" s="1" t="s">
        <v>945</v>
      </c>
      <c r="I2690" s="1" t="s">
        <v>31</v>
      </c>
      <c r="J2690" s="1">
        <v>355.0</v>
      </c>
      <c r="K2690" s="1">
        <v>2018.0</v>
      </c>
      <c r="L2690" s="1">
        <v>2018.0</v>
      </c>
      <c r="M2690" s="1"/>
      <c r="N2690" s="1"/>
      <c r="O2690" s="1"/>
      <c r="P2690" s="1"/>
      <c r="Q2690" s="1"/>
      <c r="R2690" s="1"/>
      <c r="S2690" s="1"/>
      <c r="T2690" s="1"/>
      <c r="U2690" s="1"/>
      <c r="V2690" s="1"/>
      <c r="W2690" s="1"/>
      <c r="X2690" s="1" t="s">
        <v>458</v>
      </c>
      <c r="Y2690" s="1" t="s">
        <v>10204</v>
      </c>
    </row>
    <row r="2691">
      <c r="A2691" s="1">
        <v>385706.0</v>
      </c>
      <c r="B2691" s="1" t="s">
        <v>10205</v>
      </c>
      <c r="C2691" s="1" t="s">
        <v>10069</v>
      </c>
      <c r="D2691" s="1" t="s">
        <v>10070</v>
      </c>
      <c r="F2691" s="2" t="str">
        <f>"0439656249"</f>
        <v>0439656249</v>
      </c>
      <c r="G2691" s="2" t="str">
        <f>"9780439656245"</f>
        <v>9780439656245</v>
      </c>
      <c r="H2691" s="1" t="s">
        <v>2944</v>
      </c>
      <c r="I2691" s="1" t="s">
        <v>36</v>
      </c>
      <c r="J2691" s="1">
        <v>358.0</v>
      </c>
      <c r="K2691" s="1">
        <v>2013.0</v>
      </c>
      <c r="L2691" s="1">
        <v>2005.0</v>
      </c>
      <c r="M2691" s="1"/>
      <c r="N2691" s="1"/>
      <c r="O2691" s="1"/>
      <c r="P2691" s="1"/>
      <c r="Q2691" s="1"/>
      <c r="R2691" s="1"/>
      <c r="S2691" s="1"/>
      <c r="T2691" s="1"/>
      <c r="U2691" s="1"/>
      <c r="V2691" s="1"/>
      <c r="W2691" s="1"/>
      <c r="X2691" s="1" t="s">
        <v>458</v>
      </c>
      <c r="Y2691" s="1" t="s">
        <v>10206</v>
      </c>
    </row>
    <row r="2692">
      <c r="A2692" s="1">
        <v>6.0709962E7</v>
      </c>
      <c r="B2692" s="1" t="s">
        <v>10207</v>
      </c>
      <c r="C2692" s="1" t="s">
        <v>518</v>
      </c>
      <c r="D2692" s="1" t="s">
        <v>519</v>
      </c>
      <c r="E2692" s="1" t="s">
        <v>10208</v>
      </c>
      <c r="F2692" s="2" t="str">
        <f>"842466888X"</f>
        <v>842466888X</v>
      </c>
      <c r="G2692" s="2" t="str">
        <f>"9788424668884"</f>
        <v>9788424668884</v>
      </c>
      <c r="H2692" s="1" t="s">
        <v>9462</v>
      </c>
      <c r="I2692" s="1" t="s">
        <v>31</v>
      </c>
      <c r="J2692" s="1">
        <v>360.0</v>
      </c>
      <c r="K2692" s="1">
        <v>2020.0</v>
      </c>
      <c r="L2692" s="1">
        <v>2018.0</v>
      </c>
      <c r="M2692" s="1"/>
      <c r="N2692" s="1"/>
      <c r="O2692" s="1"/>
      <c r="P2692" s="1"/>
      <c r="Q2692" s="1"/>
      <c r="R2692" s="1"/>
      <c r="S2692" s="1"/>
      <c r="T2692" s="1"/>
      <c r="U2692" s="1"/>
      <c r="V2692" s="1"/>
      <c r="W2692" s="1"/>
      <c r="X2692" s="1" t="s">
        <v>45</v>
      </c>
      <c r="Y2692" s="1" t="s">
        <v>10209</v>
      </c>
    </row>
    <row r="2693">
      <c r="A2693" s="1">
        <v>3.7862118E7</v>
      </c>
      <c r="B2693" s="1" t="s">
        <v>10210</v>
      </c>
      <c r="C2693" s="1" t="s">
        <v>9782</v>
      </c>
      <c r="D2693" s="1" t="s">
        <v>9783</v>
      </c>
      <c r="E2693" s="1" t="s">
        <v>9784</v>
      </c>
      <c r="F2693" s="2" t="str">
        <f>"1250104874"</f>
        <v>1250104874</v>
      </c>
      <c r="G2693" s="2" t="str">
        <f>"9781250104878"</f>
        <v>9781250104878</v>
      </c>
      <c r="H2693" s="1" t="s">
        <v>2940</v>
      </c>
      <c r="I2693" s="1" t="s">
        <v>238</v>
      </c>
      <c r="J2693" s="1">
        <v>364.0</v>
      </c>
      <c r="K2693" s="1">
        <v>2018.0</v>
      </c>
      <c r="L2693" s="1">
        <v>2017.0</v>
      </c>
      <c r="M2693" s="1"/>
      <c r="N2693" s="1"/>
      <c r="O2693" s="1"/>
      <c r="P2693" s="1"/>
      <c r="Q2693" s="1"/>
      <c r="R2693" s="1"/>
      <c r="S2693" s="1"/>
      <c r="T2693" s="1"/>
      <c r="U2693" s="1"/>
      <c r="V2693" s="1"/>
      <c r="W2693" s="1"/>
      <c r="X2693" s="1" t="s">
        <v>10037</v>
      </c>
      <c r="Y2693" s="1" t="s">
        <v>10211</v>
      </c>
    </row>
    <row r="2694">
      <c r="A2694" s="1">
        <v>5907.0</v>
      </c>
      <c r="B2694" s="1" t="s">
        <v>10212</v>
      </c>
      <c r="C2694" s="1" t="s">
        <v>10213</v>
      </c>
      <c r="D2694" s="1" t="s">
        <v>10214</v>
      </c>
      <c r="E2694" s="1" t="s">
        <v>10215</v>
      </c>
      <c r="F2694" s="2" t="str">
        <f t="shared" ref="F2694:G2694" si="178">""</f>
        <v/>
      </c>
      <c r="G2694" s="2" t="str">
        <f t="shared" si="178"/>
        <v/>
      </c>
      <c r="H2694" s="1" t="s">
        <v>217</v>
      </c>
      <c r="I2694" s="1" t="s">
        <v>36</v>
      </c>
      <c r="J2694" s="1">
        <v>366.0</v>
      </c>
      <c r="K2694" s="1">
        <v>2002.0</v>
      </c>
      <c r="L2694" s="1">
        <v>1937.0</v>
      </c>
      <c r="M2694" s="1"/>
      <c r="N2694" s="1"/>
      <c r="O2694" s="1"/>
      <c r="P2694" s="1"/>
      <c r="Q2694" s="1"/>
      <c r="R2694" s="1"/>
      <c r="S2694" s="1"/>
      <c r="T2694" s="1"/>
      <c r="U2694" s="1"/>
      <c r="V2694" s="1"/>
      <c r="W2694" s="1"/>
      <c r="X2694" s="1" t="s">
        <v>10216</v>
      </c>
      <c r="Y2694" s="1" t="s">
        <v>10217</v>
      </c>
    </row>
    <row r="2695">
      <c r="A2695" s="1">
        <v>6.0703966E7</v>
      </c>
      <c r="B2695" s="1" t="s">
        <v>10218</v>
      </c>
      <c r="C2695" s="1" t="s">
        <v>9756</v>
      </c>
      <c r="D2695" s="1" t="s">
        <v>9757</v>
      </c>
      <c r="E2695" s="1" t="s">
        <v>9758</v>
      </c>
      <c r="F2695" s="2" t="str">
        <f>"0593405234"</f>
        <v>0593405234</v>
      </c>
      <c r="G2695" s="2" t="str">
        <f>"9780593405239"</f>
        <v>9780593405239</v>
      </c>
      <c r="H2695" s="1" t="s">
        <v>2746</v>
      </c>
      <c r="I2695" s="1" t="s">
        <v>31</v>
      </c>
      <c r="J2695" s="1">
        <v>368.0</v>
      </c>
      <c r="K2695" s="1">
        <v>2022.0</v>
      </c>
      <c r="L2695" s="1">
        <v>2022.0</v>
      </c>
      <c r="M2695" s="1"/>
      <c r="N2695" s="1"/>
      <c r="O2695" s="1"/>
      <c r="P2695" s="1"/>
      <c r="Q2695" s="1"/>
      <c r="R2695" s="1"/>
      <c r="S2695" s="1"/>
      <c r="T2695" s="1"/>
      <c r="U2695" s="1"/>
      <c r="V2695" s="1"/>
      <c r="W2695" s="1"/>
      <c r="X2695" s="1" t="s">
        <v>9759</v>
      </c>
      <c r="Y2695" s="1" t="s">
        <v>10219</v>
      </c>
    </row>
    <row r="2696">
      <c r="A2696" s="1">
        <v>5.8719161E7</v>
      </c>
      <c r="B2696" s="1" t="s">
        <v>10220</v>
      </c>
      <c r="C2696" s="1" t="s">
        <v>10221</v>
      </c>
      <c r="D2696" s="1" t="s">
        <v>10222</v>
      </c>
      <c r="F2696" s="2" t="str">
        <f>"1338712713"</f>
        <v>1338712713</v>
      </c>
      <c r="G2696" s="2" t="str">
        <f>"9781338712711"</f>
        <v>9781338712711</v>
      </c>
      <c r="H2696" s="1" t="s">
        <v>857</v>
      </c>
      <c r="I2696" s="1" t="s">
        <v>31</v>
      </c>
      <c r="J2696" s="1">
        <v>368.0</v>
      </c>
      <c r="K2696" s="1">
        <v>2022.0</v>
      </c>
      <c r="L2696" s="1">
        <v>2022.0</v>
      </c>
      <c r="M2696" s="1"/>
      <c r="N2696" s="1"/>
      <c r="O2696" s="1"/>
      <c r="P2696" s="1"/>
      <c r="Q2696" s="1"/>
      <c r="R2696" s="1"/>
      <c r="S2696" s="1"/>
      <c r="T2696" s="1"/>
      <c r="U2696" s="1"/>
      <c r="V2696" s="1"/>
      <c r="W2696" s="1"/>
      <c r="X2696" s="1" t="s">
        <v>458</v>
      </c>
      <c r="Y2696" s="1" t="s">
        <v>10223</v>
      </c>
    </row>
    <row r="2697">
      <c r="A2697" s="1">
        <v>1.6117921E7</v>
      </c>
      <c r="B2697" s="1" t="s">
        <v>10224</v>
      </c>
      <c r="C2697" s="1" t="s">
        <v>10225</v>
      </c>
      <c r="D2697" s="1" t="s">
        <v>10226</v>
      </c>
      <c r="F2697" s="2" t="str">
        <f t="shared" ref="F2697:G2697" si="179">""</f>
        <v/>
      </c>
      <c r="G2697" s="2" t="str">
        <f t="shared" si="179"/>
        <v/>
      </c>
      <c r="H2697" s="1" t="s">
        <v>2118</v>
      </c>
      <c r="I2697" s="1" t="s">
        <v>238</v>
      </c>
      <c r="J2697" s="1">
        <v>368.0</v>
      </c>
      <c r="K2697" s="1">
        <v>2014.0</v>
      </c>
      <c r="L2697" s="1">
        <v>2014.0</v>
      </c>
      <c r="M2697" s="1"/>
      <c r="N2697" s="1"/>
      <c r="O2697" s="1"/>
      <c r="P2697" s="1"/>
      <c r="Q2697" s="1"/>
      <c r="R2697" s="1"/>
      <c r="S2697" s="1"/>
      <c r="T2697" s="1"/>
      <c r="U2697" s="1"/>
      <c r="V2697" s="1"/>
      <c r="W2697" s="1"/>
      <c r="X2697" s="1" t="s">
        <v>609</v>
      </c>
      <c r="Y2697" s="1" t="s">
        <v>10227</v>
      </c>
    </row>
    <row r="2698">
      <c r="A2698" s="1">
        <v>2.578581E7</v>
      </c>
      <c r="B2698" s="1" t="s">
        <v>10228</v>
      </c>
      <c r="C2698" s="1" t="s">
        <v>10229</v>
      </c>
      <c r="D2698" s="1" t="s">
        <v>10230</v>
      </c>
      <c r="F2698" s="2" t="str">
        <f>"1481409220"</f>
        <v>1481409220</v>
      </c>
      <c r="G2698" s="2" t="str">
        <f>"9781481409223"</f>
        <v>9781481409223</v>
      </c>
      <c r="H2698" s="1" t="s">
        <v>2496</v>
      </c>
      <c r="I2698" s="1" t="s">
        <v>31</v>
      </c>
      <c r="J2698" s="1">
        <v>368.0</v>
      </c>
      <c r="K2698" s="1">
        <v>2016.0</v>
      </c>
      <c r="L2698" s="1">
        <v>2016.0</v>
      </c>
      <c r="M2698" s="1"/>
      <c r="N2698" s="1"/>
      <c r="O2698" s="1"/>
      <c r="P2698" s="1"/>
      <c r="Q2698" s="1"/>
      <c r="R2698" s="1"/>
      <c r="S2698" s="1"/>
      <c r="T2698" s="1"/>
      <c r="U2698" s="1"/>
      <c r="V2698" s="1"/>
      <c r="W2698" s="1"/>
      <c r="X2698" s="1" t="s">
        <v>609</v>
      </c>
      <c r="Y2698" s="1" t="s">
        <v>10231</v>
      </c>
    </row>
    <row r="2699">
      <c r="A2699" s="1">
        <v>2.755307E7</v>
      </c>
      <c r="B2699" s="1" t="s">
        <v>10232</v>
      </c>
      <c r="C2699" s="1" t="s">
        <v>9782</v>
      </c>
      <c r="D2699" s="1" t="s">
        <v>9783</v>
      </c>
      <c r="E2699" s="1" t="s">
        <v>9784</v>
      </c>
      <c r="F2699" s="2" t="str">
        <f>"1250080231"</f>
        <v>1250080231</v>
      </c>
      <c r="G2699" s="2" t="str">
        <f>"9781250080233"</f>
        <v>9781250080233</v>
      </c>
      <c r="H2699" s="1" t="s">
        <v>2940</v>
      </c>
      <c r="I2699" s="1" t="s">
        <v>238</v>
      </c>
      <c r="J2699" s="1">
        <v>373.0</v>
      </c>
      <c r="K2699" s="1">
        <v>2016.0</v>
      </c>
      <c r="L2699" s="1">
        <v>2014.0</v>
      </c>
      <c r="M2699" s="1"/>
      <c r="N2699" s="1"/>
      <c r="O2699" s="1"/>
      <c r="P2699" s="1"/>
      <c r="Q2699" s="1"/>
      <c r="R2699" s="1"/>
      <c r="S2699" s="1"/>
      <c r="T2699" s="1"/>
      <c r="U2699" s="1"/>
      <c r="V2699" s="1"/>
      <c r="W2699" s="1"/>
      <c r="X2699" s="1" t="s">
        <v>549</v>
      </c>
      <c r="Y2699" s="1" t="s">
        <v>10233</v>
      </c>
    </row>
    <row r="2700">
      <c r="A2700" s="1">
        <v>3.634143E7</v>
      </c>
      <c r="B2700" s="1" t="s">
        <v>10234</v>
      </c>
      <c r="C2700" s="1" t="s">
        <v>9782</v>
      </c>
      <c r="D2700" s="1" t="s">
        <v>9783</v>
      </c>
      <c r="E2700" s="1" t="s">
        <v>9784</v>
      </c>
      <c r="F2700" s="2" t="str">
        <f>"125010484X"</f>
        <v>125010484X</v>
      </c>
      <c r="G2700" s="2" t="str">
        <f>"9781250104847"</f>
        <v>9781250104847</v>
      </c>
      <c r="H2700" s="1" t="s">
        <v>2940</v>
      </c>
      <c r="I2700" s="1" t="s">
        <v>238</v>
      </c>
      <c r="J2700" s="1">
        <v>375.0</v>
      </c>
      <c r="K2700" s="1">
        <v>2018.0</v>
      </c>
      <c r="L2700" s="1">
        <v>2016.0</v>
      </c>
      <c r="M2700" s="1"/>
      <c r="N2700" s="1"/>
      <c r="O2700" s="1"/>
      <c r="P2700" s="1"/>
      <c r="Q2700" s="1"/>
      <c r="R2700" s="1"/>
      <c r="S2700" s="1"/>
      <c r="T2700" s="1"/>
      <c r="U2700" s="1"/>
      <c r="V2700" s="1"/>
      <c r="W2700" s="1"/>
      <c r="X2700" s="1" t="s">
        <v>549</v>
      </c>
      <c r="Y2700" s="1" t="s">
        <v>10235</v>
      </c>
    </row>
    <row r="2701">
      <c r="A2701" s="1">
        <v>2.2716052E7</v>
      </c>
      <c r="B2701" s="1" t="s">
        <v>10236</v>
      </c>
      <c r="C2701" s="1" t="s">
        <v>9490</v>
      </c>
      <c r="D2701" s="1" t="s">
        <v>9491</v>
      </c>
      <c r="F2701" s="2" t="str">
        <f>"1449464890"</f>
        <v>1449464890</v>
      </c>
      <c r="G2701" s="2" t="str">
        <f>"9781449464899"</f>
        <v>9781449464899</v>
      </c>
      <c r="H2701" s="1" t="s">
        <v>2052</v>
      </c>
      <c r="I2701" s="1" t="s">
        <v>36</v>
      </c>
      <c r="J2701" s="1">
        <v>376.0</v>
      </c>
      <c r="K2701" s="1">
        <v>2015.0</v>
      </c>
      <c r="L2701" s="1">
        <v>2015.0</v>
      </c>
      <c r="M2701" s="1"/>
      <c r="N2701" s="1"/>
      <c r="O2701" s="1"/>
      <c r="P2701" s="1"/>
      <c r="Q2701" s="1"/>
      <c r="R2701" s="1"/>
      <c r="S2701" s="1"/>
      <c r="T2701" s="1"/>
      <c r="U2701" s="1"/>
      <c r="V2701" s="1"/>
      <c r="W2701" s="1"/>
      <c r="X2701" s="1" t="s">
        <v>2100</v>
      </c>
      <c r="Y2701" s="1" t="s">
        <v>10237</v>
      </c>
    </row>
    <row r="2702">
      <c r="A2702" s="1">
        <v>2.6252859E7</v>
      </c>
      <c r="B2702" s="1" t="s">
        <v>10238</v>
      </c>
      <c r="C2702" s="1" t="s">
        <v>10239</v>
      </c>
      <c r="D2702" s="1" t="s">
        <v>10240</v>
      </c>
      <c r="F2702" s="2" t="str">
        <f>"148473274X"</f>
        <v>148473274X</v>
      </c>
      <c r="G2702" s="2" t="str">
        <f>"9781484732748"</f>
        <v>9781484732748</v>
      </c>
      <c r="H2702" s="1" t="s">
        <v>10241</v>
      </c>
      <c r="I2702" s="1" t="s">
        <v>31</v>
      </c>
      <c r="J2702" s="1">
        <v>376.0</v>
      </c>
      <c r="K2702" s="1">
        <v>2016.0</v>
      </c>
      <c r="L2702" s="1">
        <v>2016.0</v>
      </c>
    </row>
    <row r="2703">
      <c r="A2703" s="1">
        <v>2.2546584E7</v>
      </c>
      <c r="B2703" s="1" t="s">
        <v>10242</v>
      </c>
      <c r="C2703" s="1" t="s">
        <v>10229</v>
      </c>
      <c r="D2703" s="1" t="s">
        <v>10230</v>
      </c>
      <c r="F2703" s="2" t="str">
        <f>"1481409190"</f>
        <v>1481409190</v>
      </c>
      <c r="G2703" s="2" t="str">
        <f>"9781481409193"</f>
        <v>9781481409193</v>
      </c>
      <c r="H2703" s="1" t="s">
        <v>2496</v>
      </c>
      <c r="I2703" s="1" t="s">
        <v>31</v>
      </c>
      <c r="J2703" s="1">
        <v>383.0</v>
      </c>
      <c r="K2703" s="1">
        <v>2015.0</v>
      </c>
      <c r="L2703" s="1">
        <v>2015.0</v>
      </c>
      <c r="M2703" s="1"/>
      <c r="N2703" s="1"/>
      <c r="O2703" s="1"/>
      <c r="P2703" s="1"/>
      <c r="Q2703" s="1"/>
      <c r="R2703" s="1"/>
      <c r="S2703" s="1"/>
      <c r="T2703" s="1"/>
      <c r="U2703" s="1"/>
      <c r="V2703" s="1"/>
      <c r="W2703" s="1"/>
      <c r="X2703" s="1" t="s">
        <v>609</v>
      </c>
      <c r="Y2703" s="1" t="s">
        <v>10243</v>
      </c>
    </row>
    <row r="2704">
      <c r="A2704" s="1">
        <v>2.1538407E7</v>
      </c>
      <c r="B2704" s="1" t="s">
        <v>10244</v>
      </c>
      <c r="C2704" s="1" t="s">
        <v>10245</v>
      </c>
      <c r="D2704" s="1" t="s">
        <v>10246</v>
      </c>
      <c r="E2704" s="1" t="s">
        <v>10247</v>
      </c>
      <c r="F2704" s="2" t="str">
        <f>"0606264981"</f>
        <v>0606264981</v>
      </c>
      <c r="G2704" s="2" t="str">
        <f>"9780606264983"</f>
        <v>9780606264983</v>
      </c>
      <c r="H2704" s="1" t="s">
        <v>2319</v>
      </c>
      <c r="I2704" s="1" t="s">
        <v>91</v>
      </c>
      <c r="J2704" s="1">
        <v>384.0</v>
      </c>
      <c r="K2704" s="1">
        <v>2012.0</v>
      </c>
      <c r="L2704" s="1">
        <v>2011.0</v>
      </c>
    </row>
    <row r="2705">
      <c r="A2705" s="1">
        <v>5.3109819E7</v>
      </c>
      <c r="B2705" s="1" t="s">
        <v>10248</v>
      </c>
      <c r="C2705" s="1" t="s">
        <v>9782</v>
      </c>
      <c r="D2705" s="1" t="s">
        <v>9783</v>
      </c>
      <c r="E2705" s="1" t="s">
        <v>9784</v>
      </c>
      <c r="F2705" s="2" t="str">
        <f>"1250236088"</f>
        <v>1250236088</v>
      </c>
      <c r="G2705" s="2" t="str">
        <f>"9781250236081"</f>
        <v>9781250236081</v>
      </c>
      <c r="H2705" s="1" t="s">
        <v>2940</v>
      </c>
      <c r="I2705" s="1" t="s">
        <v>31</v>
      </c>
      <c r="J2705" s="1">
        <v>384.0</v>
      </c>
      <c r="K2705" s="1">
        <v>2021.0</v>
      </c>
      <c r="L2705" s="1">
        <v>2020.0</v>
      </c>
      <c r="M2705" s="1"/>
      <c r="N2705" s="1"/>
      <c r="O2705" s="1"/>
      <c r="P2705" s="1"/>
      <c r="Q2705" s="1"/>
      <c r="R2705" s="1"/>
      <c r="S2705" s="1"/>
      <c r="T2705" s="1"/>
      <c r="U2705" s="1"/>
      <c r="V2705" s="1"/>
      <c r="W2705" s="1"/>
      <c r="X2705" s="1" t="s">
        <v>10037</v>
      </c>
      <c r="Y2705" s="1" t="s">
        <v>10249</v>
      </c>
    </row>
    <row r="2706">
      <c r="A2706" s="1">
        <v>5.8733687E7</v>
      </c>
      <c r="B2706" s="1" t="s">
        <v>10250</v>
      </c>
      <c r="C2706" s="1" t="s">
        <v>9584</v>
      </c>
      <c r="D2706" s="1" t="s">
        <v>9585</v>
      </c>
      <c r="F2706" s="2" t="str">
        <f>"0063139189"</f>
        <v>0063139189</v>
      </c>
      <c r="G2706" s="2" t="str">
        <f>"9780063139183"</f>
        <v>9780063139183</v>
      </c>
      <c r="H2706" s="1" t="s">
        <v>9586</v>
      </c>
      <c r="I2706" s="1" t="s">
        <v>36</v>
      </c>
      <c r="J2706" s="1">
        <v>384.0</v>
      </c>
      <c r="K2706" s="1">
        <v>2022.0</v>
      </c>
      <c r="L2706" s="1">
        <v>2022.0</v>
      </c>
      <c r="M2706" s="1"/>
      <c r="N2706" s="1"/>
      <c r="O2706" s="1"/>
      <c r="P2706" s="1"/>
      <c r="Q2706" s="1"/>
      <c r="R2706" s="1"/>
      <c r="S2706" s="1"/>
      <c r="T2706" s="1"/>
      <c r="U2706" s="1"/>
      <c r="V2706" s="1"/>
      <c r="W2706" s="1"/>
      <c r="X2706" s="1" t="s">
        <v>161</v>
      </c>
      <c r="Y2706" s="1" t="s">
        <v>10251</v>
      </c>
    </row>
    <row r="2707">
      <c r="A2707" s="1">
        <v>3.0227925E7</v>
      </c>
      <c r="B2707" s="1" t="s">
        <v>10252</v>
      </c>
      <c r="C2707" s="1" t="s">
        <v>10229</v>
      </c>
      <c r="D2707" s="1" t="s">
        <v>10230</v>
      </c>
      <c r="F2707" s="2" t="str">
        <f>"1481461257"</f>
        <v>1481461257</v>
      </c>
      <c r="G2707" s="2" t="str">
        <f>"9781481461252"</f>
        <v>9781481461252</v>
      </c>
      <c r="H2707" s="1" t="s">
        <v>2496</v>
      </c>
      <c r="I2707" s="1" t="s">
        <v>31</v>
      </c>
      <c r="J2707" s="1">
        <v>384.0</v>
      </c>
      <c r="K2707" s="1">
        <v>2017.0</v>
      </c>
      <c r="L2707" s="1">
        <v>2017.0</v>
      </c>
      <c r="M2707" s="1"/>
      <c r="N2707" s="1"/>
      <c r="O2707" s="1"/>
      <c r="P2707" s="1"/>
      <c r="Q2707" s="1"/>
      <c r="R2707" s="1"/>
      <c r="S2707" s="1"/>
      <c r="T2707" s="1"/>
      <c r="U2707" s="1"/>
      <c r="V2707" s="1"/>
      <c r="W2707" s="1"/>
      <c r="X2707" s="1" t="s">
        <v>609</v>
      </c>
      <c r="Y2707" s="1" t="s">
        <v>10253</v>
      </c>
    </row>
    <row r="2708">
      <c r="A2708" s="1">
        <v>1.3531021E7</v>
      </c>
      <c r="B2708" s="1" t="s">
        <v>10254</v>
      </c>
      <c r="C2708" s="1" t="s">
        <v>10255</v>
      </c>
      <c r="D2708" s="1" t="s">
        <v>10256</v>
      </c>
      <c r="F2708" s="2" t="str">
        <f>"0763653802"</f>
        <v>0763653802</v>
      </c>
      <c r="G2708" s="2" t="str">
        <f>"9780763653804"</f>
        <v>9780763653804</v>
      </c>
      <c r="H2708" s="1" t="s">
        <v>1454</v>
      </c>
      <c r="I2708" s="1" t="s">
        <v>31</v>
      </c>
      <c r="J2708" s="1">
        <v>384.0</v>
      </c>
      <c r="K2708" s="1">
        <v>2012.0</v>
      </c>
      <c r="L2708" s="1">
        <v>2012.0</v>
      </c>
      <c r="M2708" s="1"/>
      <c r="N2708" s="1"/>
      <c r="O2708" s="1"/>
      <c r="P2708" s="1"/>
      <c r="Q2708" s="1"/>
      <c r="R2708" s="1"/>
      <c r="S2708" s="1"/>
      <c r="T2708" s="1"/>
      <c r="U2708" s="1"/>
      <c r="V2708" s="1"/>
      <c r="W2708" s="1"/>
      <c r="X2708" s="1" t="s">
        <v>7781</v>
      </c>
      <c r="Y2708" s="1" t="s">
        <v>10257</v>
      </c>
    </row>
    <row r="2709">
      <c r="A2709" s="1">
        <v>3.500208E7</v>
      </c>
      <c r="B2709" s="1" t="s">
        <v>10258</v>
      </c>
      <c r="C2709" s="1" t="s">
        <v>10229</v>
      </c>
      <c r="D2709" s="1" t="s">
        <v>10230</v>
      </c>
      <c r="F2709" s="2" t="str">
        <f>"1481461303"</f>
        <v>1481461303</v>
      </c>
      <c r="G2709" s="2" t="str">
        <f>"9781481461306"</f>
        <v>9781481461306</v>
      </c>
      <c r="H2709" s="1" t="s">
        <v>2496</v>
      </c>
      <c r="I2709" s="1" t="s">
        <v>238</v>
      </c>
      <c r="J2709" s="1">
        <v>385.0</v>
      </c>
      <c r="K2709" s="1">
        <v>2017.0</v>
      </c>
      <c r="L2709" s="1">
        <v>2017.0</v>
      </c>
      <c r="M2709" s="1"/>
      <c r="N2709" s="1"/>
      <c r="O2709" s="1"/>
      <c r="P2709" s="1"/>
      <c r="Q2709" s="1"/>
      <c r="R2709" s="1"/>
      <c r="S2709" s="1"/>
      <c r="T2709" s="1"/>
      <c r="U2709" s="1"/>
      <c r="V2709" s="1"/>
      <c r="W2709" s="1"/>
      <c r="X2709" s="1" t="s">
        <v>609</v>
      </c>
      <c r="Y2709" s="1" t="s">
        <v>10259</v>
      </c>
    </row>
    <row r="2710">
      <c r="A2710" s="1">
        <v>2.8110852E7</v>
      </c>
      <c r="B2710" s="1" t="s">
        <v>10260</v>
      </c>
      <c r="C2710" s="1" t="s">
        <v>10261</v>
      </c>
      <c r="D2710" s="1" t="s">
        <v>10262</v>
      </c>
      <c r="F2710" s="2" t="str">
        <f>"1616205679"</f>
        <v>1616205679</v>
      </c>
      <c r="G2710" s="2" t="str">
        <f>"9781616205676"</f>
        <v>9781616205676</v>
      </c>
      <c r="H2710" s="1" t="s">
        <v>112</v>
      </c>
      <c r="I2710" s="1" t="s">
        <v>31</v>
      </c>
      <c r="J2710" s="1">
        <v>388.0</v>
      </c>
      <c r="K2710" s="1">
        <v>2016.0</v>
      </c>
      <c r="L2710" s="1">
        <v>2016.0</v>
      </c>
      <c r="M2710" s="1"/>
      <c r="N2710" s="1"/>
      <c r="O2710" s="1"/>
      <c r="P2710" s="1"/>
      <c r="Q2710" s="1"/>
      <c r="R2710" s="1"/>
      <c r="S2710" s="1"/>
      <c r="T2710" s="1"/>
      <c r="U2710" s="1"/>
      <c r="V2710" s="1"/>
      <c r="W2710" s="1"/>
      <c r="X2710" s="1" t="s">
        <v>458</v>
      </c>
      <c r="Y2710" s="1" t="s">
        <v>10263</v>
      </c>
    </row>
    <row r="2711">
      <c r="A2711" s="1">
        <v>3.6039618E7</v>
      </c>
      <c r="B2711" s="1" t="s">
        <v>10264</v>
      </c>
      <c r="C2711" s="1" t="s">
        <v>10265</v>
      </c>
      <c r="D2711" s="1" t="s">
        <v>10266</v>
      </c>
      <c r="F2711" s="2" t="str">
        <f>"006267627X"</f>
        <v>006267627X</v>
      </c>
      <c r="G2711" s="2" t="str">
        <f>"9780062676276"</f>
        <v>9780062676276</v>
      </c>
      <c r="H2711" s="1" t="s">
        <v>290</v>
      </c>
      <c r="I2711" s="1" t="s">
        <v>31</v>
      </c>
      <c r="J2711" s="1">
        <v>390.0</v>
      </c>
      <c r="K2711" s="1">
        <v>2018.0</v>
      </c>
      <c r="L2711" s="1">
        <v>2018.0</v>
      </c>
      <c r="M2711" s="1"/>
      <c r="N2711" s="1"/>
      <c r="O2711" s="1"/>
      <c r="P2711" s="1"/>
      <c r="Q2711" s="1"/>
      <c r="R2711" s="1"/>
      <c r="S2711" s="1"/>
      <c r="T2711" s="1"/>
      <c r="U2711" s="1"/>
      <c r="V2711" s="1"/>
      <c r="W2711" s="1"/>
      <c r="X2711" s="1" t="s">
        <v>45</v>
      </c>
      <c r="Y2711" s="1" t="s">
        <v>10267</v>
      </c>
    </row>
    <row r="2712">
      <c r="A2712" s="1">
        <v>7247854.0</v>
      </c>
      <c r="B2712" s="1" t="s">
        <v>10268</v>
      </c>
      <c r="C2712" s="1" t="s">
        <v>10269</v>
      </c>
      <c r="D2712" s="1" t="s">
        <v>10270</v>
      </c>
      <c r="F2712" s="2" t="str">
        <f>"0316051640"</f>
        <v>0316051640</v>
      </c>
      <c r="G2712" s="2" t="str">
        <f>"9780316051644"</f>
        <v>9780316051644</v>
      </c>
      <c r="H2712" s="1" t="s">
        <v>5644</v>
      </c>
      <c r="I2712" s="1" t="s">
        <v>31</v>
      </c>
      <c r="J2712" s="1">
        <v>394.0</v>
      </c>
      <c r="K2712" s="1">
        <v>2010.0</v>
      </c>
      <c r="L2712" s="1">
        <v>2010.0</v>
      </c>
      <c r="M2712" s="1"/>
      <c r="N2712" s="1"/>
      <c r="O2712" s="1"/>
      <c r="P2712" s="1"/>
      <c r="Q2712" s="1"/>
      <c r="R2712" s="1"/>
      <c r="S2712" s="1"/>
      <c r="T2712" s="1"/>
      <c r="U2712" s="1"/>
      <c r="V2712" s="1"/>
      <c r="W2712" s="1"/>
      <c r="X2712" s="1" t="s">
        <v>609</v>
      </c>
      <c r="Y2712" s="1" t="s">
        <v>10271</v>
      </c>
    </row>
    <row r="2713">
      <c r="A2713" s="1">
        <v>4.9511423E7</v>
      </c>
      <c r="B2713" s="1" t="s">
        <v>10272</v>
      </c>
      <c r="C2713" s="1" t="s">
        <v>10273</v>
      </c>
      <c r="D2713" s="1" t="s">
        <v>10274</v>
      </c>
      <c r="F2713" s="2" t="str">
        <f>"1406394815"</f>
        <v>1406394815</v>
      </c>
      <c r="G2713" s="2" t="str">
        <f>"9781406394818"</f>
        <v>9781406394818</v>
      </c>
      <c r="H2713" s="1" t="s">
        <v>227</v>
      </c>
      <c r="I2713" s="1" t="s">
        <v>36</v>
      </c>
      <c r="J2713" s="1">
        <v>397.0</v>
      </c>
      <c r="K2713" s="1">
        <v>2021.0</v>
      </c>
      <c r="L2713" s="1">
        <v>2021.0</v>
      </c>
      <c r="M2713" s="1"/>
      <c r="N2713" s="1"/>
      <c r="O2713" s="1"/>
      <c r="P2713" s="1"/>
      <c r="Q2713" s="1"/>
      <c r="R2713" s="1"/>
      <c r="S2713" s="1"/>
      <c r="T2713" s="1"/>
      <c r="U2713" s="1"/>
      <c r="V2713" s="1"/>
      <c r="W2713" s="1"/>
      <c r="X2713" s="1" t="s">
        <v>609</v>
      </c>
      <c r="Y2713" s="1" t="s">
        <v>10275</v>
      </c>
    </row>
    <row r="2714">
      <c r="A2714" s="1">
        <v>4.3517256E7</v>
      </c>
      <c r="B2714" s="1" t="s">
        <v>10276</v>
      </c>
      <c r="C2714" s="1" t="s">
        <v>10277</v>
      </c>
      <c r="D2714" s="1" t="s">
        <v>10278</v>
      </c>
      <c r="F2714" s="2" t="str">
        <f>"1368051502"</f>
        <v>1368051502</v>
      </c>
      <c r="G2714" s="2" t="str">
        <f>"9781368051507"</f>
        <v>9781368051507</v>
      </c>
      <c r="H2714" s="1" t="s">
        <v>10185</v>
      </c>
      <c r="I2714" s="1" t="s">
        <v>31</v>
      </c>
      <c r="J2714" s="1">
        <v>400.0</v>
      </c>
      <c r="K2714" s="1">
        <v>2021.0</v>
      </c>
      <c r="L2714" s="1">
        <v>2021.0</v>
      </c>
      <c r="M2714" s="1"/>
      <c r="N2714" s="1"/>
      <c r="O2714" s="1"/>
      <c r="P2714" s="1"/>
      <c r="Q2714" s="1"/>
      <c r="R2714" s="1"/>
      <c r="S2714" s="1"/>
      <c r="T2714" s="1"/>
      <c r="U2714" s="1"/>
      <c r="V2714" s="1"/>
      <c r="W2714" s="1"/>
      <c r="X2714" s="1" t="s">
        <v>96</v>
      </c>
      <c r="Y2714" s="1" t="s">
        <v>10279</v>
      </c>
    </row>
    <row r="2715">
      <c r="A2715" s="1">
        <v>2.4987742E7</v>
      </c>
      <c r="B2715" s="1" t="s">
        <v>10280</v>
      </c>
      <c r="C2715" s="1" t="s">
        <v>10281</v>
      </c>
      <c r="D2715" s="1" t="s">
        <v>10282</v>
      </c>
      <c r="F2715" s="2" t="str">
        <f>"8494325620"</f>
        <v>8494325620</v>
      </c>
      <c r="G2715" s="2" t="str">
        <f>"9788494325625"</f>
        <v>9788494325625</v>
      </c>
      <c r="H2715" s="1" t="s">
        <v>10283</v>
      </c>
      <c r="I2715" s="1" t="s">
        <v>36</v>
      </c>
      <c r="J2715" s="1">
        <v>404.0</v>
      </c>
      <c r="K2715" s="1">
        <v>2015.0</v>
      </c>
      <c r="L2715" s="1">
        <v>2007.0</v>
      </c>
      <c r="M2715" s="1"/>
      <c r="N2715" s="1"/>
      <c r="O2715" s="1"/>
      <c r="P2715" s="1"/>
      <c r="Q2715" s="1"/>
      <c r="R2715" s="1"/>
      <c r="S2715" s="1"/>
      <c r="T2715" s="1"/>
      <c r="U2715" s="1"/>
      <c r="V2715" s="1"/>
      <c r="W2715" s="1"/>
      <c r="X2715" s="1" t="s">
        <v>458</v>
      </c>
      <c r="Y2715" s="1" t="s">
        <v>10284</v>
      </c>
    </row>
    <row r="2716">
      <c r="A2716" s="1">
        <v>537070.0</v>
      </c>
      <c r="B2716" s="1" t="s">
        <v>10285</v>
      </c>
      <c r="C2716" s="1" t="s">
        <v>10069</v>
      </c>
      <c r="D2716" s="1" t="s">
        <v>10070</v>
      </c>
      <c r="F2716" s="2" t="str">
        <f>"043979143X"</f>
        <v>043979143X</v>
      </c>
      <c r="G2716" s="2" t="str">
        <f>"9780439791434"</f>
        <v>9780439791434</v>
      </c>
      <c r="H2716" s="1" t="s">
        <v>857</v>
      </c>
      <c r="I2716" s="1" t="s">
        <v>31</v>
      </c>
      <c r="J2716" s="1">
        <v>412.0</v>
      </c>
      <c r="K2716" s="1">
        <v>2007.0</v>
      </c>
      <c r="L2716" s="1">
        <v>2007.0</v>
      </c>
      <c r="M2716" s="1"/>
      <c r="N2716" s="1"/>
      <c r="O2716" s="1"/>
      <c r="P2716" s="1"/>
      <c r="Q2716" s="1"/>
      <c r="R2716" s="1"/>
      <c r="S2716" s="1"/>
      <c r="T2716" s="1"/>
      <c r="U2716" s="1"/>
      <c r="V2716" s="1"/>
      <c r="W2716" s="1"/>
      <c r="X2716" s="1" t="s">
        <v>458</v>
      </c>
      <c r="Y2716" s="1" t="s">
        <v>10286</v>
      </c>
    </row>
    <row r="2717">
      <c r="A2717" s="1">
        <v>2.3164983E7</v>
      </c>
      <c r="B2717" s="1" t="s">
        <v>10287</v>
      </c>
      <c r="C2717" s="1" t="s">
        <v>10198</v>
      </c>
      <c r="D2717" s="1" t="s">
        <v>10199</v>
      </c>
      <c r="F2717" s="2" t="str">
        <f>"1594747350"</f>
        <v>1594747350</v>
      </c>
      <c r="G2717" s="2" t="str">
        <f>"9781594747359"</f>
        <v>9781594747359</v>
      </c>
      <c r="H2717" s="1" t="s">
        <v>9406</v>
      </c>
      <c r="I2717" s="1" t="s">
        <v>36</v>
      </c>
      <c r="J2717" s="1">
        <v>412.0</v>
      </c>
      <c r="K2717" s="1">
        <v>2015.0</v>
      </c>
      <c r="L2717" s="1">
        <v>2014.0</v>
      </c>
      <c r="M2717" s="1"/>
      <c r="N2717" s="1"/>
      <c r="O2717" s="1"/>
      <c r="P2717" s="1"/>
      <c r="Q2717" s="1"/>
      <c r="R2717" s="1"/>
      <c r="S2717" s="1"/>
      <c r="T2717" s="1"/>
      <c r="U2717" s="1"/>
      <c r="V2717" s="1"/>
      <c r="W2717" s="1"/>
      <c r="X2717" s="1" t="s">
        <v>7781</v>
      </c>
      <c r="Y2717" s="1" t="s">
        <v>10288</v>
      </c>
    </row>
    <row r="2718">
      <c r="A2718" s="1">
        <v>2.8259152E7</v>
      </c>
      <c r="B2718" s="1" t="s">
        <v>10289</v>
      </c>
      <c r="C2718" s="1" t="s">
        <v>176</v>
      </c>
      <c r="D2718" s="1" t="s">
        <v>177</v>
      </c>
      <c r="E2718" s="1" t="s">
        <v>2715</v>
      </c>
      <c r="F2718" s="2" t="str">
        <f>"0062496700"</f>
        <v>0062496700</v>
      </c>
      <c r="G2718" s="2" t="str">
        <f>"9780062496706"</f>
        <v>9780062496706</v>
      </c>
      <c r="H2718" s="1" t="s">
        <v>290</v>
      </c>
      <c r="I2718" s="1" t="s">
        <v>31</v>
      </c>
      <c r="J2718" s="1">
        <v>416.0</v>
      </c>
      <c r="K2718" s="1">
        <v>2016.0</v>
      </c>
      <c r="M2718" s="1"/>
      <c r="N2718" s="1"/>
      <c r="O2718" s="1"/>
      <c r="P2718" s="1"/>
      <c r="Q2718" s="1"/>
      <c r="R2718" s="1"/>
      <c r="S2718" s="1"/>
      <c r="T2718" s="1"/>
      <c r="U2718" s="1"/>
      <c r="V2718" s="1"/>
      <c r="W2718" s="1"/>
      <c r="X2718" s="1" t="s">
        <v>180</v>
      </c>
      <c r="Y2718" s="1" t="s">
        <v>10290</v>
      </c>
    </row>
    <row r="2719">
      <c r="A2719" s="1">
        <v>5.6669853E7</v>
      </c>
      <c r="B2719" s="1" t="s">
        <v>10291</v>
      </c>
      <c r="C2719" s="1" t="s">
        <v>10292</v>
      </c>
      <c r="D2719" s="1" t="s">
        <v>10293</v>
      </c>
      <c r="F2719" s="2" t="str">
        <f>"0063114305"</f>
        <v>0063114305</v>
      </c>
      <c r="G2719" s="2" t="str">
        <f>"9780063114302"</f>
        <v>9780063114302</v>
      </c>
      <c r="H2719" s="1" t="s">
        <v>10294</v>
      </c>
      <c r="I2719" s="1" t="s">
        <v>31</v>
      </c>
      <c r="J2719" s="1">
        <v>416.0</v>
      </c>
      <c r="K2719" s="1">
        <v>2022.0</v>
      </c>
      <c r="L2719" s="1">
        <v>2022.0</v>
      </c>
    </row>
    <row r="2720">
      <c r="A2720" s="1">
        <v>808853.0</v>
      </c>
      <c r="B2720" s="1" t="s">
        <v>10295</v>
      </c>
      <c r="C2720" s="1" t="s">
        <v>1838</v>
      </c>
      <c r="D2720" s="1" t="s">
        <v>1848</v>
      </c>
      <c r="E2720" s="1" t="s">
        <v>1834</v>
      </c>
      <c r="F2720" s="2" t="str">
        <f>"0618164413"</f>
        <v>0618164413</v>
      </c>
      <c r="G2720" s="2" t="str">
        <f>"9780618164417"</f>
        <v>9780618164417</v>
      </c>
      <c r="H2720" s="1" t="s">
        <v>1858</v>
      </c>
      <c r="I2720" s="1" t="s">
        <v>31</v>
      </c>
      <c r="J2720" s="1">
        <v>422.0</v>
      </c>
      <c r="K2720" s="1">
        <v>2001.0</v>
      </c>
      <c r="L2720" s="1">
        <v>1969.0</v>
      </c>
      <c r="M2720" s="1"/>
      <c r="N2720" s="1"/>
      <c r="O2720" s="1"/>
      <c r="P2720" s="1"/>
      <c r="Q2720" s="1"/>
      <c r="R2720" s="1"/>
      <c r="S2720" s="1"/>
      <c r="T2720" s="1"/>
      <c r="U2720" s="1"/>
      <c r="V2720" s="1"/>
      <c r="W2720" s="1"/>
      <c r="X2720" s="1" t="s">
        <v>1839</v>
      </c>
      <c r="Y2720" s="1" t="s">
        <v>10296</v>
      </c>
    </row>
    <row r="2721">
      <c r="A2721" s="1">
        <v>5.8276643E7</v>
      </c>
      <c r="B2721" s="1" t="s">
        <v>10297</v>
      </c>
      <c r="C2721" s="1" t="s">
        <v>4857</v>
      </c>
      <c r="D2721" s="1" t="s">
        <v>4858</v>
      </c>
      <c r="E2721" s="1" t="s">
        <v>10298</v>
      </c>
      <c r="F2721" s="2" t="str">
        <f>"0593325818"</f>
        <v>0593325818</v>
      </c>
      <c r="G2721" s="2" t="str">
        <f>"9780593325810"</f>
        <v>9780593325810</v>
      </c>
      <c r="H2721" s="1" t="s">
        <v>2682</v>
      </c>
      <c r="I2721" s="1" t="s">
        <v>238</v>
      </c>
      <c r="J2721" s="1">
        <v>431.0</v>
      </c>
      <c r="K2721" s="1">
        <v>2022.0</v>
      </c>
      <c r="L2721" s="1">
        <v>2022.0</v>
      </c>
      <c r="M2721" s="1"/>
      <c r="N2721" s="1"/>
      <c r="O2721" s="1"/>
      <c r="P2721" s="1"/>
      <c r="Q2721" s="1"/>
      <c r="R2721" s="1"/>
      <c r="S2721" s="1"/>
      <c r="T2721" s="1"/>
      <c r="U2721" s="1"/>
      <c r="V2721" s="1"/>
      <c r="W2721" s="1"/>
      <c r="X2721" s="1" t="s">
        <v>609</v>
      </c>
      <c r="Y2721" s="1" t="s">
        <v>10299</v>
      </c>
    </row>
    <row r="2722">
      <c r="A2722" s="1">
        <v>3.0145666E7</v>
      </c>
      <c r="B2722" s="1" t="s">
        <v>10300</v>
      </c>
      <c r="C2722" s="1" t="s">
        <v>10239</v>
      </c>
      <c r="D2722" s="1" t="s">
        <v>10240</v>
      </c>
      <c r="F2722" s="2" t="str">
        <f>"1484746422"</f>
        <v>1484746422</v>
      </c>
      <c r="G2722" s="2" t="str">
        <f>"9781484746424"</f>
        <v>9781484746424</v>
      </c>
      <c r="H2722" s="1" t="s">
        <v>10241</v>
      </c>
      <c r="I2722" s="1" t="s">
        <v>31</v>
      </c>
      <c r="J2722" s="1">
        <v>432.0</v>
      </c>
      <c r="K2722" s="1">
        <v>2017.0</v>
      </c>
      <c r="L2722" s="1">
        <v>2017.0</v>
      </c>
      <c r="M2722" s="1"/>
      <c r="N2722" s="1"/>
      <c r="O2722" s="1"/>
      <c r="P2722" s="1"/>
      <c r="Q2722" s="1"/>
      <c r="R2722" s="1"/>
      <c r="S2722" s="1"/>
      <c r="T2722" s="1"/>
      <c r="U2722" s="1"/>
      <c r="V2722" s="1"/>
      <c r="W2722" s="1"/>
      <c r="X2722" s="1" t="s">
        <v>8702</v>
      </c>
      <c r="Y2722" s="1" t="s">
        <v>10301</v>
      </c>
    </row>
    <row r="2723">
      <c r="A2723" s="1">
        <v>3.2618986E7</v>
      </c>
      <c r="B2723" s="1" t="s">
        <v>10302</v>
      </c>
      <c r="C2723" s="1" t="s">
        <v>9782</v>
      </c>
      <c r="D2723" s="1" t="s">
        <v>9783</v>
      </c>
      <c r="E2723" s="1" t="s">
        <v>9784</v>
      </c>
      <c r="F2723" s="2" t="str">
        <f>"1250102456"</f>
        <v>1250102456</v>
      </c>
      <c r="G2723" s="2" t="str">
        <f>"9781250102454"</f>
        <v>9781250102454</v>
      </c>
      <c r="H2723" s="1" t="s">
        <v>2940</v>
      </c>
      <c r="I2723" s="1" t="s">
        <v>238</v>
      </c>
      <c r="J2723" s="1">
        <v>442.0</v>
      </c>
      <c r="K2723" s="1">
        <v>2017.0</v>
      </c>
      <c r="L2723" s="1">
        <v>2015.0</v>
      </c>
      <c r="M2723" s="1"/>
      <c r="N2723" s="1"/>
      <c r="O2723" s="1"/>
      <c r="P2723" s="1"/>
      <c r="Q2723" s="1"/>
      <c r="R2723" s="1"/>
      <c r="S2723" s="1"/>
      <c r="T2723" s="1"/>
      <c r="U2723" s="1"/>
      <c r="V2723" s="1"/>
      <c r="W2723" s="1"/>
      <c r="X2723" s="1" t="s">
        <v>549</v>
      </c>
      <c r="Y2723" s="1" t="s">
        <v>10303</v>
      </c>
    </row>
    <row r="2724">
      <c r="A2724" s="1">
        <v>1.7675031E7</v>
      </c>
      <c r="B2724" s="1" t="s">
        <v>10304</v>
      </c>
      <c r="C2724" s="1" t="s">
        <v>10305</v>
      </c>
      <c r="D2724" s="1" t="s">
        <v>10306</v>
      </c>
      <c r="E2724" s="1" t="s">
        <v>10307</v>
      </c>
      <c r="F2724" s="2" t="str">
        <f>"0525426361"</f>
        <v>0525426361</v>
      </c>
      <c r="G2724" s="2" t="str">
        <f>"9780525426363"</f>
        <v>9780525426363</v>
      </c>
      <c r="H2724" s="1" t="s">
        <v>4916</v>
      </c>
      <c r="I2724" s="1" t="s">
        <v>31</v>
      </c>
      <c r="J2724" s="1">
        <v>448.0</v>
      </c>
      <c r="K2724" s="1">
        <v>2014.0</v>
      </c>
      <c r="L2724" s="1">
        <v>2014.0</v>
      </c>
      <c r="M2724" s="1"/>
      <c r="N2724" s="1"/>
      <c r="O2724" s="1"/>
      <c r="P2724" s="1"/>
      <c r="Q2724" s="1"/>
      <c r="R2724" s="1"/>
      <c r="S2724" s="1"/>
      <c r="T2724" s="1"/>
      <c r="U2724" s="1"/>
      <c r="V2724" s="1"/>
      <c r="W2724" s="1"/>
      <c r="X2724" s="1" t="s">
        <v>609</v>
      </c>
      <c r="Y2724" s="1" t="s">
        <v>10308</v>
      </c>
    </row>
    <row r="2725">
      <c r="A2725" s="1">
        <v>2.7209292E7</v>
      </c>
      <c r="B2725" s="1" t="s">
        <v>10309</v>
      </c>
      <c r="C2725" s="1" t="s">
        <v>10086</v>
      </c>
      <c r="D2725" s="1" t="s">
        <v>10087</v>
      </c>
      <c r="F2725" s="2" t="str">
        <f>"110197222X"</f>
        <v>110197222X</v>
      </c>
      <c r="G2725" s="2" t="str">
        <f>"9781101972229"</f>
        <v>9781101972229</v>
      </c>
      <c r="H2725" s="1" t="s">
        <v>10310</v>
      </c>
      <c r="I2725" s="1" t="s">
        <v>36</v>
      </c>
      <c r="J2725" s="1">
        <v>448.0</v>
      </c>
      <c r="K2725" s="1">
        <v>2016.0</v>
      </c>
      <c r="L2725" s="1">
        <v>2015.0</v>
      </c>
      <c r="M2725" s="1"/>
      <c r="N2725" s="1"/>
      <c r="O2725" s="1"/>
      <c r="P2725" s="1"/>
      <c r="Q2725" s="1"/>
      <c r="R2725" s="1"/>
      <c r="S2725" s="1"/>
      <c r="T2725" s="1"/>
      <c r="U2725" s="1"/>
      <c r="V2725" s="1"/>
      <c r="W2725" s="1"/>
      <c r="X2725" s="1" t="s">
        <v>852</v>
      </c>
      <c r="Y2725" s="1" t="s">
        <v>10311</v>
      </c>
    </row>
    <row r="2726">
      <c r="A2726" s="1">
        <v>2.8006096E7</v>
      </c>
      <c r="B2726" s="1" t="s">
        <v>10312</v>
      </c>
      <c r="C2726" s="1" t="s">
        <v>10239</v>
      </c>
      <c r="D2726" s="1" t="s">
        <v>10240</v>
      </c>
      <c r="F2726" s="2" t="str">
        <f>"1368024122"</f>
        <v>1368024122</v>
      </c>
      <c r="G2726" s="2" t="str">
        <f>"9781368024129"</f>
        <v>9781368024129</v>
      </c>
      <c r="H2726" s="1" t="s">
        <v>10241</v>
      </c>
      <c r="I2726" s="1" t="s">
        <v>31</v>
      </c>
      <c r="J2726" s="1">
        <v>448.0</v>
      </c>
      <c r="K2726" s="1">
        <v>2018.0</v>
      </c>
      <c r="L2726" s="1">
        <v>2018.0</v>
      </c>
      <c r="M2726" s="1"/>
      <c r="N2726" s="1"/>
      <c r="O2726" s="1"/>
      <c r="P2726" s="1"/>
      <c r="Q2726" s="1"/>
      <c r="R2726" s="1"/>
      <c r="S2726" s="1"/>
      <c r="T2726" s="1"/>
      <c r="U2726" s="1"/>
      <c r="V2726" s="1"/>
      <c r="W2726" s="1"/>
      <c r="X2726" s="1" t="s">
        <v>363</v>
      </c>
      <c r="Y2726" s="1" t="s">
        <v>10313</v>
      </c>
    </row>
    <row r="2727">
      <c r="A2727" s="1">
        <v>3.9884337E7</v>
      </c>
      <c r="B2727" s="1" t="s">
        <v>10314</v>
      </c>
      <c r="C2727" s="1" t="s">
        <v>10315</v>
      </c>
      <c r="D2727" s="1" t="s">
        <v>10316</v>
      </c>
      <c r="F2727" s="2" t="str">
        <f>"1368039936"</f>
        <v>1368039936</v>
      </c>
      <c r="G2727" s="2" t="str">
        <f>"9781368039932"</f>
        <v>9781368039932</v>
      </c>
      <c r="H2727" s="1" t="s">
        <v>10185</v>
      </c>
      <c r="I2727" s="1" t="s">
        <v>31</v>
      </c>
      <c r="J2727" s="1">
        <v>482.0</v>
      </c>
      <c r="K2727" s="1">
        <v>2019.0</v>
      </c>
      <c r="L2727" s="1">
        <v>2019.0</v>
      </c>
      <c r="M2727" s="1"/>
      <c r="N2727" s="1"/>
      <c r="O2727" s="1"/>
      <c r="P2727" s="1"/>
      <c r="Q2727" s="1"/>
      <c r="R2727" s="1"/>
      <c r="S2727" s="1"/>
      <c r="T2727" s="1"/>
      <c r="U2727" s="1"/>
      <c r="V2727" s="1"/>
      <c r="W2727" s="1"/>
      <c r="X2727" s="1" t="s">
        <v>3263</v>
      </c>
      <c r="Y2727" s="1" t="s">
        <v>10317</v>
      </c>
    </row>
    <row r="2728">
      <c r="A2728" s="1">
        <v>256683.0</v>
      </c>
      <c r="B2728" s="1" t="s">
        <v>10318</v>
      </c>
      <c r="C2728" s="1" t="s">
        <v>10319</v>
      </c>
      <c r="D2728" s="1" t="s">
        <v>10320</v>
      </c>
      <c r="F2728" s="2" t="str">
        <f>"1416914285"</f>
        <v>1416914285</v>
      </c>
      <c r="G2728" s="2" t="str">
        <f>"9781416914280"</f>
        <v>9781416914280</v>
      </c>
      <c r="H2728" s="1" t="s">
        <v>3844</v>
      </c>
      <c r="I2728" s="1" t="s">
        <v>31</v>
      </c>
      <c r="J2728" s="1">
        <v>485.0</v>
      </c>
      <c r="K2728" s="1">
        <v>2007.0</v>
      </c>
      <c r="L2728" s="1">
        <v>2007.0</v>
      </c>
      <c r="M2728" s="1"/>
      <c r="N2728" s="1"/>
      <c r="O2728" s="1"/>
      <c r="P2728" s="1"/>
      <c r="Q2728" s="1"/>
      <c r="R2728" s="1"/>
      <c r="S2728" s="1"/>
      <c r="T2728" s="1"/>
      <c r="U2728" s="1"/>
      <c r="V2728" s="1"/>
      <c r="W2728" s="1"/>
      <c r="X2728" s="1" t="s">
        <v>609</v>
      </c>
      <c r="Y2728" s="1" t="s">
        <v>10321</v>
      </c>
    </row>
    <row r="2729">
      <c r="A2729" s="1">
        <v>1.2842828E7</v>
      </c>
      <c r="B2729" s="1" t="s">
        <v>10322</v>
      </c>
      <c r="C2729" s="1" t="s">
        <v>10323</v>
      </c>
      <c r="D2729" s="1" t="s">
        <v>10324</v>
      </c>
      <c r="F2729" s="2" t="str">
        <f>"1442445939"</f>
        <v>1442445939</v>
      </c>
      <c r="G2729" s="2" t="str">
        <f>"9781442445932"</f>
        <v>9781442445932</v>
      </c>
      <c r="H2729" s="1" t="s">
        <v>2496</v>
      </c>
      <c r="I2729" s="1" t="s">
        <v>31</v>
      </c>
      <c r="J2729" s="1">
        <v>496.0</v>
      </c>
      <c r="K2729" s="1">
        <v>2012.0</v>
      </c>
      <c r="L2729" s="1">
        <v>2012.0</v>
      </c>
      <c r="M2729" s="1"/>
      <c r="N2729" s="1"/>
      <c r="O2729" s="1"/>
      <c r="P2729" s="1"/>
      <c r="Q2729" s="1"/>
      <c r="R2729" s="1"/>
      <c r="S2729" s="1"/>
      <c r="T2729" s="1"/>
      <c r="U2729" s="1"/>
      <c r="V2729" s="1"/>
      <c r="W2729" s="1"/>
      <c r="X2729" s="1" t="s">
        <v>609</v>
      </c>
      <c r="Y2729" s="1" t="s">
        <v>10325</v>
      </c>
    </row>
    <row r="2730">
      <c r="A2730" s="1">
        <v>3.6174767E7</v>
      </c>
      <c r="B2730" s="1" t="s">
        <v>10326</v>
      </c>
      <c r="C2730" s="1" t="s">
        <v>10229</v>
      </c>
      <c r="D2730" s="1" t="s">
        <v>10230</v>
      </c>
      <c r="F2730" s="2" t="str">
        <f>"1481485768"</f>
        <v>1481485768</v>
      </c>
      <c r="G2730" s="2" t="str">
        <f>"9781481485760"</f>
        <v>9781481485760</v>
      </c>
      <c r="H2730" s="1" t="s">
        <v>2496</v>
      </c>
      <c r="I2730" s="1" t="s">
        <v>238</v>
      </c>
      <c r="J2730" s="1">
        <v>497.0</v>
      </c>
      <c r="K2730" s="1">
        <v>2018.0</v>
      </c>
      <c r="L2730" s="1">
        <v>2018.0</v>
      </c>
      <c r="M2730" s="1"/>
      <c r="N2730" s="1"/>
      <c r="O2730" s="1"/>
      <c r="P2730" s="1"/>
      <c r="Q2730" s="1"/>
      <c r="R2730" s="1"/>
      <c r="S2730" s="1"/>
      <c r="T2730" s="1"/>
      <c r="U2730" s="1"/>
      <c r="V2730" s="1"/>
      <c r="W2730" s="1"/>
      <c r="X2730" s="1" t="s">
        <v>609</v>
      </c>
      <c r="Y2730" s="1" t="s">
        <v>10327</v>
      </c>
    </row>
    <row r="2731">
      <c r="A2731" s="1">
        <v>9520360.0</v>
      </c>
      <c r="B2731" s="1" t="s">
        <v>10328</v>
      </c>
      <c r="C2731" s="1" t="s">
        <v>10239</v>
      </c>
      <c r="D2731" s="1" t="s">
        <v>10240</v>
      </c>
      <c r="F2731" s="2" t="str">
        <f>"1423140591"</f>
        <v>1423140591</v>
      </c>
      <c r="G2731" s="2" t="str">
        <f>"9781423140597"</f>
        <v>9781423140597</v>
      </c>
      <c r="H2731" s="1" t="s">
        <v>10241</v>
      </c>
      <c r="I2731" s="1" t="s">
        <v>31</v>
      </c>
      <c r="J2731" s="1">
        <v>521.0</v>
      </c>
      <c r="K2731" s="1">
        <v>2011.0</v>
      </c>
      <c r="L2731" s="1">
        <v>2011.0</v>
      </c>
      <c r="M2731" s="1"/>
      <c r="N2731" s="1"/>
      <c r="O2731" s="1"/>
      <c r="P2731" s="1"/>
      <c r="Q2731" s="1"/>
      <c r="R2731" s="1"/>
      <c r="S2731" s="1"/>
      <c r="T2731" s="1"/>
      <c r="U2731" s="1"/>
      <c r="V2731" s="1"/>
      <c r="W2731" s="1"/>
      <c r="X2731" s="1" t="s">
        <v>609</v>
      </c>
      <c r="Y2731" s="1" t="s">
        <v>10329</v>
      </c>
    </row>
    <row r="2732">
      <c r="A2732" s="1">
        <v>9673436.0</v>
      </c>
      <c r="B2732" s="1" t="s">
        <v>10330</v>
      </c>
      <c r="C2732" s="1" t="s">
        <v>10331</v>
      </c>
      <c r="D2732" s="1" t="s">
        <v>10332</v>
      </c>
      <c r="F2732" s="2" t="str">
        <f t="shared" ref="F2732:G2732" si="180">""</f>
        <v/>
      </c>
      <c r="G2732" s="2" t="str">
        <f t="shared" si="180"/>
        <v/>
      </c>
      <c r="H2732" s="1" t="s">
        <v>857</v>
      </c>
      <c r="I2732" s="1" t="s">
        <v>31</v>
      </c>
      <c r="J2732" s="1">
        <v>534.0</v>
      </c>
      <c r="K2732" s="1">
        <v>2007.0</v>
      </c>
      <c r="L2732" s="1">
        <v>2007.0</v>
      </c>
      <c r="M2732" s="1"/>
      <c r="N2732" s="1"/>
      <c r="O2732" s="1"/>
      <c r="P2732" s="1"/>
      <c r="Q2732" s="1"/>
      <c r="R2732" s="1"/>
      <c r="S2732" s="1"/>
      <c r="T2732" s="1"/>
      <c r="U2732" s="1"/>
      <c r="V2732" s="1"/>
      <c r="W2732" s="1"/>
      <c r="X2732" s="1" t="s">
        <v>228</v>
      </c>
      <c r="Y2732" s="1" t="s">
        <v>10333</v>
      </c>
    </row>
    <row r="2733">
      <c r="A2733" s="1">
        <v>19063.0</v>
      </c>
      <c r="B2733" s="1" t="s">
        <v>10334</v>
      </c>
      <c r="C2733" s="1" t="s">
        <v>10335</v>
      </c>
      <c r="D2733" s="1" t="s">
        <v>10336</v>
      </c>
      <c r="F2733" s="2" t="str">
        <f t="shared" ref="F2733:G2733" si="181">""</f>
        <v/>
      </c>
      <c r="G2733" s="2" t="str">
        <f t="shared" si="181"/>
        <v/>
      </c>
      <c r="H2733" s="1" t="s">
        <v>2061</v>
      </c>
      <c r="I2733" s="1" t="s">
        <v>238</v>
      </c>
      <c r="J2733" s="1">
        <v>592.0</v>
      </c>
      <c r="K2733" s="1">
        <v>2006.0</v>
      </c>
      <c r="L2733" s="1">
        <v>2005.0</v>
      </c>
      <c r="M2733" s="1"/>
      <c r="N2733" s="1"/>
      <c r="O2733" s="1"/>
      <c r="P2733" s="1"/>
      <c r="Q2733" s="1"/>
      <c r="R2733" s="1"/>
      <c r="S2733" s="1"/>
      <c r="T2733" s="1"/>
      <c r="U2733" s="1"/>
      <c r="V2733" s="1"/>
      <c r="W2733" s="1"/>
      <c r="X2733" s="1" t="s">
        <v>727</v>
      </c>
      <c r="Y2733" s="1" t="s">
        <v>10337</v>
      </c>
    </row>
    <row r="2734">
      <c r="A2734" s="1">
        <v>145921.0</v>
      </c>
      <c r="B2734" s="1" t="s">
        <v>10338</v>
      </c>
      <c r="C2734" s="1" t="s">
        <v>10339</v>
      </c>
      <c r="D2734" s="1" t="s">
        <v>10340</v>
      </c>
      <c r="E2734" s="1" t="s">
        <v>10341</v>
      </c>
      <c r="F2734" s="2" t="str">
        <f>"037541391X"</f>
        <v>037541391X</v>
      </c>
      <c r="G2734" s="2" t="str">
        <f>"9780375413919"</f>
        <v>9780375413919</v>
      </c>
      <c r="H2734" s="1" t="s">
        <v>10342</v>
      </c>
      <c r="I2734" s="1" t="s">
        <v>31</v>
      </c>
      <c r="J2734" s="1">
        <v>744.0</v>
      </c>
      <c r="K2734" s="1">
        <v>2002.0</v>
      </c>
      <c r="L2734" s="1">
        <v>1870.0</v>
      </c>
      <c r="M2734" s="1"/>
      <c r="N2734" s="1"/>
      <c r="O2734" s="1"/>
      <c r="P2734" s="1"/>
      <c r="Q2734" s="1"/>
      <c r="R2734" s="1"/>
      <c r="S2734" s="1"/>
      <c r="T2734" s="1"/>
      <c r="U2734" s="1"/>
      <c r="V2734" s="1"/>
      <c r="W2734" s="1"/>
      <c r="X2734" s="1" t="s">
        <v>212</v>
      </c>
      <c r="Y2734" s="1" t="s">
        <v>10343</v>
      </c>
    </row>
    <row r="2735">
      <c r="A2735" s="1">
        <v>33.0</v>
      </c>
      <c r="B2735" s="1" t="s">
        <v>10344</v>
      </c>
      <c r="C2735" s="1" t="s">
        <v>10213</v>
      </c>
      <c r="D2735" s="1" t="s">
        <v>10214</v>
      </c>
      <c r="E2735" s="1" t="s">
        <v>10345</v>
      </c>
      <c r="F2735" s="2" t="str">
        <f>"0618640150"</f>
        <v>0618640150</v>
      </c>
      <c r="G2735" s="2" t="str">
        <f>"9780618640157"</f>
        <v>9780618640157</v>
      </c>
      <c r="H2735" s="1" t="s">
        <v>1710</v>
      </c>
      <c r="I2735" s="1" t="s">
        <v>36</v>
      </c>
      <c r="J2735" s="1">
        <v>1216.0</v>
      </c>
      <c r="K2735" s="1">
        <v>2005.0</v>
      </c>
      <c r="L2735" s="1">
        <v>1959.0</v>
      </c>
      <c r="M2735" s="1"/>
      <c r="N2735" s="1"/>
      <c r="O2735" s="1"/>
      <c r="P2735" s="1"/>
      <c r="Q2735" s="1"/>
      <c r="R2735" s="1"/>
      <c r="S2735" s="1"/>
      <c r="T2735" s="1"/>
      <c r="U2735" s="1"/>
      <c r="V2735" s="1"/>
      <c r="W2735" s="1"/>
      <c r="X2735" s="1" t="s">
        <v>609</v>
      </c>
      <c r="Y2735" s="1" t="s">
        <v>10346</v>
      </c>
    </row>
    <row r="2736">
      <c r="A2736" s="1">
        <v>2.03976626E8</v>
      </c>
      <c r="B2736" s="1" t="s">
        <v>10347</v>
      </c>
      <c r="C2736" s="1" t="s">
        <v>433</v>
      </c>
      <c r="D2736" s="1" t="s">
        <v>434</v>
      </c>
      <c r="E2736" s="1" t="s">
        <v>435</v>
      </c>
      <c r="F2736" s="2" t="str">
        <f>"1637991177"</f>
        <v>1637991177</v>
      </c>
      <c r="G2736" s="2" t="str">
        <f>"9781637991176"</f>
        <v>9781637991176</v>
      </c>
      <c r="H2736" s="1" t="s">
        <v>10348</v>
      </c>
      <c r="I2736" s="1" t="s">
        <v>36</v>
      </c>
      <c r="J2736" s="1">
        <v>1568.0</v>
      </c>
      <c r="K2736" s="1">
        <v>2023.0</v>
      </c>
      <c r="M2736" s="1"/>
      <c r="N2736" s="1"/>
      <c r="O2736" s="1"/>
      <c r="P2736" s="1"/>
      <c r="Q2736" s="1"/>
      <c r="R2736" s="1"/>
      <c r="S2736" s="1"/>
      <c r="T2736" s="1"/>
      <c r="U2736" s="1"/>
      <c r="V2736" s="1"/>
      <c r="W2736" s="1"/>
      <c r="X2736" s="1" t="s">
        <v>7898</v>
      </c>
      <c r="Y2736" s="1" t="s">
        <v>10349</v>
      </c>
    </row>
    <row r="2737">
      <c r="A2737" s="1">
        <v>4.8593756E7</v>
      </c>
      <c r="B2737" s="1" t="s">
        <v>10350</v>
      </c>
      <c r="C2737" s="1" t="s">
        <v>9058</v>
      </c>
      <c r="D2737" s="1" t="s">
        <v>9059</v>
      </c>
      <c r="E2737" s="1" t="s">
        <v>10351</v>
      </c>
      <c r="F2737" s="2" t="str">
        <f>"1338603639"</f>
        <v>1338603639</v>
      </c>
      <c r="G2737" s="2" t="str">
        <f>"9781338603637"</f>
        <v>9781338603637</v>
      </c>
      <c r="H2737" s="1" t="s">
        <v>640</v>
      </c>
      <c r="I2737" s="1" t="s">
        <v>36</v>
      </c>
      <c r="J2737" s="1">
        <v>1760.0</v>
      </c>
      <c r="K2737" s="1">
        <v>2019.0</v>
      </c>
      <c r="M2737" s="1"/>
      <c r="N2737" s="1"/>
      <c r="O2737" s="1"/>
      <c r="P2737" s="1"/>
      <c r="Q2737" s="1"/>
      <c r="R2737" s="1"/>
      <c r="S2737" s="1"/>
      <c r="T2737" s="1"/>
      <c r="U2737" s="1"/>
      <c r="V2737" s="1"/>
      <c r="W2737" s="1"/>
      <c r="X2737" s="1" t="s">
        <v>1024</v>
      </c>
      <c r="Y2737" s="1" t="s">
        <v>10352</v>
      </c>
    </row>
    <row r="2738">
      <c r="A2738" s="1">
        <v>1.23753471E8</v>
      </c>
      <c r="B2738" s="1" t="s">
        <v>10353</v>
      </c>
      <c r="C2738" s="1" t="s">
        <v>546</v>
      </c>
      <c r="D2738" s="1" t="s">
        <v>547</v>
      </c>
      <c r="F2738" s="2" t="str">
        <f t="shared" ref="F2738:G2738" si="182">""</f>
        <v/>
      </c>
      <c r="G2738" s="2" t="str">
        <f t="shared" si="182"/>
        <v/>
      </c>
      <c r="H2738" s="1" t="s">
        <v>504</v>
      </c>
      <c r="I2738" s="1" t="s">
        <v>36</v>
      </c>
      <c r="J2738" s="1">
        <v>2003.0</v>
      </c>
      <c r="L2738" s="1">
        <v>2001.0</v>
      </c>
      <c r="M2738" s="1"/>
      <c r="N2738" s="1"/>
      <c r="O2738" s="1"/>
      <c r="P2738" s="1"/>
      <c r="Q2738" s="1"/>
      <c r="R2738" s="1"/>
      <c r="S2738" s="1"/>
      <c r="T2738" s="1"/>
      <c r="U2738" s="1"/>
      <c r="V2738" s="1"/>
      <c r="W2738" s="1"/>
      <c r="X2738" s="1" t="s">
        <v>553</v>
      </c>
      <c r="Y2738" s="1" t="s">
        <v>10354</v>
      </c>
    </row>
    <row r="2739">
      <c r="A2739" s="1">
        <v>5.7653048E7</v>
      </c>
      <c r="B2739" s="1" t="s">
        <v>10355</v>
      </c>
      <c r="C2739" s="1" t="s">
        <v>28</v>
      </c>
      <c r="D2739" s="1" t="s">
        <v>29</v>
      </c>
      <c r="F2739" s="2" t="str">
        <f t="shared" ref="F2739:G2739" si="183">""</f>
        <v/>
      </c>
      <c r="G2739" s="2" t="str">
        <f t="shared" si="183"/>
        <v/>
      </c>
      <c r="H2739" s="1" t="s">
        <v>10356</v>
      </c>
      <c r="I2739" s="1" t="s">
        <v>36</v>
      </c>
      <c r="K2739" s="1">
        <v>2017.0</v>
      </c>
      <c r="M2739" s="1"/>
      <c r="N2739" s="1"/>
      <c r="O2739" s="1"/>
      <c r="P2739" s="1"/>
      <c r="Q2739" s="1"/>
      <c r="R2739" s="1"/>
      <c r="S2739" s="1"/>
      <c r="T2739" s="1"/>
      <c r="U2739" s="1"/>
      <c r="V2739" s="1"/>
      <c r="W2739" s="1"/>
      <c r="X2739" s="1" t="s">
        <v>380</v>
      </c>
      <c r="Y2739" s="1" t="s">
        <v>10357</v>
      </c>
    </row>
    <row r="2740">
      <c r="A2740" s="1">
        <v>1401006.0</v>
      </c>
      <c r="B2740" s="1" t="s">
        <v>10358</v>
      </c>
      <c r="C2740" s="1" t="s">
        <v>10359</v>
      </c>
      <c r="D2740" s="1" t="s">
        <v>10360</v>
      </c>
      <c r="E2740" s="1" t="s">
        <v>6963</v>
      </c>
      <c r="F2740" s="2" t="str">
        <f>"0836817591"</f>
        <v>0836817591</v>
      </c>
      <c r="G2740" s="2" t="str">
        <f>"9780836817591"</f>
        <v>9780836817591</v>
      </c>
      <c r="H2740" s="1" t="s">
        <v>1281</v>
      </c>
      <c r="I2740" s="1" t="s">
        <v>91</v>
      </c>
      <c r="K2740" s="1">
        <v>1998.0</v>
      </c>
      <c r="L2740" s="1">
        <v>1990.0</v>
      </c>
      <c r="M2740" s="1"/>
      <c r="N2740" s="1"/>
      <c r="O2740" s="1"/>
      <c r="P2740" s="1"/>
      <c r="Q2740" s="1"/>
      <c r="R2740" s="1"/>
      <c r="S2740" s="1"/>
      <c r="T2740" s="1"/>
      <c r="U2740" s="1"/>
      <c r="V2740" s="1"/>
      <c r="W2740" s="1"/>
      <c r="X2740" s="1" t="s">
        <v>863</v>
      </c>
      <c r="Y2740" s="1" t="s">
        <v>10361</v>
      </c>
    </row>
    <row r="2741">
      <c r="A2741" s="1">
        <v>1.59719326E8</v>
      </c>
      <c r="B2741" s="1" t="s">
        <v>10362</v>
      </c>
      <c r="C2741" s="1" t="s">
        <v>10363</v>
      </c>
      <c r="D2741" s="1" t="s">
        <v>10364</v>
      </c>
      <c r="F2741" s="2" t="str">
        <f t="shared" ref="F2741:G2741" si="184">""</f>
        <v/>
      </c>
      <c r="G2741" s="2" t="str">
        <f t="shared" si="184"/>
        <v/>
      </c>
      <c r="H2741" s="1" t="s">
        <v>1454</v>
      </c>
      <c r="I2741" s="1" t="s">
        <v>108</v>
      </c>
      <c r="K2741" s="1">
        <v>2015.0</v>
      </c>
      <c r="L2741" s="1">
        <v>2013.0</v>
      </c>
      <c r="M2741" s="1"/>
      <c r="N2741" s="1"/>
      <c r="O2741" s="1"/>
      <c r="P2741" s="1"/>
      <c r="Q2741" s="1"/>
      <c r="R2741" s="1"/>
      <c r="S2741" s="1"/>
      <c r="T2741" s="1"/>
      <c r="U2741" s="1"/>
      <c r="V2741" s="1"/>
      <c r="W2741" s="1"/>
      <c r="X2741" s="1" t="s">
        <v>4231</v>
      </c>
      <c r="Y2741" s="1" t="s">
        <v>10365</v>
      </c>
    </row>
    <row r="2742">
      <c r="A2742" s="1">
        <v>3.5714961E7</v>
      </c>
      <c r="B2742" s="1" t="s">
        <v>10366</v>
      </c>
      <c r="C2742" s="1" t="s">
        <v>10367</v>
      </c>
      <c r="D2742" s="1" t="s">
        <v>10368</v>
      </c>
      <c r="F2742" s="2" t="str">
        <f t="shared" ref="F2742:G2742" si="185">""</f>
        <v/>
      </c>
      <c r="G2742" s="2" t="str">
        <f t="shared" si="185"/>
        <v/>
      </c>
      <c r="I2742" s="1" t="s">
        <v>108</v>
      </c>
      <c r="M2742" s="1"/>
      <c r="N2742" s="1"/>
      <c r="O2742" s="1"/>
      <c r="P2742" s="1"/>
      <c r="Q2742" s="1"/>
      <c r="R2742" s="1"/>
      <c r="S2742" s="1"/>
      <c r="T2742" s="1"/>
      <c r="U2742" s="1"/>
      <c r="V2742" s="1"/>
      <c r="W2742" s="1"/>
      <c r="X2742" s="1" t="s">
        <v>1494</v>
      </c>
      <c r="Y2742" s="1" t="s">
        <v>10369</v>
      </c>
    </row>
    <row r="2743">
      <c r="A2743" s="1">
        <v>1604593.0</v>
      </c>
      <c r="B2743" s="1" t="s">
        <v>10370</v>
      </c>
      <c r="C2743" s="1" t="s">
        <v>10371</v>
      </c>
      <c r="D2743" s="1" t="s">
        <v>10372</v>
      </c>
      <c r="F2743" s="2" t="str">
        <f>"1405476052"</f>
        <v>1405476052</v>
      </c>
      <c r="G2743" s="2" t="str">
        <f>"9781405476058"</f>
        <v>9781405476058</v>
      </c>
      <c r="H2743" s="1" t="s">
        <v>2107</v>
      </c>
      <c r="I2743" s="1" t="s">
        <v>31</v>
      </c>
      <c r="K2743" s="1">
        <v>2006.0</v>
      </c>
      <c r="L2743" s="1">
        <v>2006.0</v>
      </c>
      <c r="M2743" s="1"/>
      <c r="N2743" s="1"/>
      <c r="O2743" s="1"/>
      <c r="P2743" s="1"/>
      <c r="Q2743" s="1"/>
      <c r="R2743" s="1"/>
      <c r="S2743" s="1"/>
      <c r="T2743" s="1"/>
      <c r="U2743" s="1"/>
      <c r="V2743" s="1"/>
      <c r="W2743" s="1"/>
      <c r="X2743" s="1" t="s">
        <v>897</v>
      </c>
      <c r="Y2743" s="1" t="s">
        <v>10373</v>
      </c>
    </row>
    <row r="2744">
      <c r="A2744" s="1">
        <v>2.599865E7</v>
      </c>
      <c r="B2744" s="1" t="s">
        <v>10374</v>
      </c>
      <c r="C2744" s="1" t="s">
        <v>199</v>
      </c>
      <c r="D2744" s="1" t="s">
        <v>200</v>
      </c>
      <c r="F2744" s="2" t="str">
        <f>"0590626914"</f>
        <v>0590626914</v>
      </c>
      <c r="G2744" s="2" t="str">
        <f>"9780590626910"</f>
        <v>9780590626910</v>
      </c>
      <c r="H2744" s="1" t="s">
        <v>50</v>
      </c>
      <c r="I2744" s="1" t="s">
        <v>36</v>
      </c>
      <c r="K2744" s="1">
        <v>1998.0</v>
      </c>
      <c r="M2744" s="1"/>
      <c r="N2744" s="1"/>
      <c r="O2744" s="1"/>
      <c r="P2744" s="1"/>
      <c r="Q2744" s="1"/>
      <c r="R2744" s="1"/>
      <c r="S2744" s="1"/>
      <c r="T2744" s="1"/>
      <c r="U2744" s="1"/>
      <c r="V2744" s="1"/>
      <c r="W2744" s="1"/>
      <c r="X2744" s="1" t="s">
        <v>55</v>
      </c>
      <c r="Y2744" s="1" t="s">
        <v>10375</v>
      </c>
    </row>
    <row r="2745">
      <c r="A2745" s="1">
        <v>1.7623907E7</v>
      </c>
      <c r="B2745" s="1" t="s">
        <v>10376</v>
      </c>
      <c r="C2745" s="1" t="s">
        <v>204</v>
      </c>
      <c r="D2745" s="1" t="s">
        <v>205</v>
      </c>
      <c r="F2745" s="2" t="str">
        <f t="shared" ref="F2745:G2745" si="186">""</f>
        <v/>
      </c>
      <c r="G2745" s="2" t="str">
        <f t="shared" si="186"/>
        <v/>
      </c>
      <c r="I2745" s="1" t="s">
        <v>108</v>
      </c>
      <c r="M2745" s="1"/>
      <c r="N2745" s="1"/>
      <c r="O2745" s="1"/>
      <c r="P2745" s="1"/>
      <c r="Q2745" s="1"/>
      <c r="R2745" s="1"/>
      <c r="S2745" s="1"/>
      <c r="T2745" s="1"/>
      <c r="U2745" s="1"/>
      <c r="V2745" s="1"/>
      <c r="W2745" s="1"/>
      <c r="X2745" s="1" t="s">
        <v>51</v>
      </c>
      <c r="Y2745" s="1" t="s">
        <v>10377</v>
      </c>
    </row>
    <row r="2746">
      <c r="A2746" s="1">
        <v>1.23371704E8</v>
      </c>
      <c r="B2746" s="1" t="s">
        <v>10378</v>
      </c>
      <c r="C2746" s="1" t="s">
        <v>2902</v>
      </c>
      <c r="D2746" s="1" t="s">
        <v>2903</v>
      </c>
      <c r="F2746" s="2" t="str">
        <f t="shared" ref="F2746:G2746" si="187">""</f>
        <v/>
      </c>
      <c r="G2746" s="2" t="str">
        <f t="shared" si="187"/>
        <v/>
      </c>
      <c r="H2746" s="1" t="s">
        <v>290</v>
      </c>
      <c r="I2746" s="1" t="s">
        <v>36</v>
      </c>
      <c r="L2746" s="1">
        <v>1968.0</v>
      </c>
      <c r="M2746" s="1"/>
      <c r="N2746" s="1"/>
      <c r="O2746" s="1"/>
      <c r="P2746" s="1"/>
      <c r="Q2746" s="1"/>
      <c r="R2746" s="1"/>
      <c r="S2746" s="1"/>
      <c r="T2746" s="1"/>
      <c r="U2746" s="1"/>
      <c r="V2746" s="1"/>
      <c r="W2746" s="1"/>
      <c r="X2746" s="1" t="s">
        <v>8949</v>
      </c>
      <c r="Y2746" s="1" t="s">
        <v>10379</v>
      </c>
    </row>
    <row r="2747">
      <c r="A2747" s="1">
        <v>1.97669523E8</v>
      </c>
      <c r="B2747" s="1" t="s">
        <v>10380</v>
      </c>
      <c r="C2747" s="1" t="s">
        <v>2902</v>
      </c>
      <c r="D2747" s="1" t="s">
        <v>2903</v>
      </c>
      <c r="F2747" s="2" t="str">
        <f t="shared" ref="F2747:G2747" si="188">""</f>
        <v/>
      </c>
      <c r="G2747" s="2" t="str">
        <f t="shared" si="188"/>
        <v/>
      </c>
      <c r="H2747" s="1" t="s">
        <v>10381</v>
      </c>
      <c r="I2747" s="1" t="s">
        <v>108</v>
      </c>
      <c r="K2747" s="1">
        <v>1975.0</v>
      </c>
      <c r="L2747" s="1">
        <v>1975.0</v>
      </c>
      <c r="M2747" s="1"/>
      <c r="N2747" s="1"/>
      <c r="O2747" s="1"/>
      <c r="P2747" s="1"/>
      <c r="Q2747" s="1"/>
      <c r="R2747" s="1"/>
      <c r="S2747" s="1"/>
      <c r="T2747" s="1"/>
      <c r="U2747" s="1"/>
      <c r="V2747" s="1"/>
      <c r="W2747" s="1"/>
      <c r="X2747" s="1" t="s">
        <v>8949</v>
      </c>
      <c r="Y2747" s="1" t="s">
        <v>10382</v>
      </c>
    </row>
    <row r="2748">
      <c r="A2748" s="1">
        <v>3.7908391E7</v>
      </c>
      <c r="B2748" s="1" t="s">
        <v>3414</v>
      </c>
      <c r="C2748" s="1" t="s">
        <v>10383</v>
      </c>
      <c r="D2748" s="1" t="s">
        <v>10384</v>
      </c>
      <c r="E2748" s="1" t="s">
        <v>10385</v>
      </c>
      <c r="F2748" s="2" t="str">
        <f>"1946260118"</f>
        <v>1946260118</v>
      </c>
      <c r="G2748" s="2" t="str">
        <f>"9781946260116"</f>
        <v>9781946260116</v>
      </c>
      <c r="M2748" s="1"/>
      <c r="N2748" s="1"/>
      <c r="O2748" s="1"/>
      <c r="P2748" s="1"/>
      <c r="Q2748" s="1"/>
      <c r="R2748" s="1"/>
      <c r="S2748" s="1"/>
      <c r="T2748" s="1"/>
      <c r="U2748" s="1"/>
      <c r="V2748" s="1"/>
      <c r="W2748" s="1"/>
      <c r="X2748" s="1" t="s">
        <v>212</v>
      </c>
      <c r="Y2748" s="1" t="s">
        <v>10386</v>
      </c>
    </row>
    <row r="2749">
      <c r="A2749" s="1">
        <v>183931.0</v>
      </c>
      <c r="B2749" s="1" t="s">
        <v>5008</v>
      </c>
      <c r="C2749" s="1" t="s">
        <v>10387</v>
      </c>
      <c r="D2749" s="1" t="s">
        <v>10388</v>
      </c>
      <c r="F2749" s="2" t="str">
        <f>"0439079551"</f>
        <v>0439079551</v>
      </c>
      <c r="G2749" s="2" t="str">
        <f>"9780439079556"</f>
        <v>9780439079556</v>
      </c>
      <c r="H2749" s="1" t="s">
        <v>981</v>
      </c>
      <c r="I2749" s="1" t="s">
        <v>36</v>
      </c>
      <c r="K2749" s="1">
        <v>1999.0</v>
      </c>
      <c r="L2749" s="1">
        <v>1998.0</v>
      </c>
      <c r="M2749" s="1"/>
      <c r="N2749" s="1"/>
      <c r="O2749" s="1"/>
      <c r="P2749" s="1"/>
      <c r="Q2749" s="1"/>
      <c r="R2749" s="1"/>
      <c r="S2749" s="1"/>
      <c r="T2749" s="1"/>
      <c r="U2749" s="1"/>
      <c r="V2749" s="1"/>
      <c r="W2749" s="1"/>
      <c r="X2749" s="1" t="s">
        <v>2254</v>
      </c>
      <c r="Y2749" s="1" t="s">
        <v>10389</v>
      </c>
    </row>
    <row r="2750">
      <c r="A2750" s="1">
        <v>1.7824624E7</v>
      </c>
      <c r="B2750" s="1" t="s">
        <v>10390</v>
      </c>
      <c r="C2750" s="1" t="s">
        <v>1059</v>
      </c>
      <c r="D2750" s="1" t="s">
        <v>1060</v>
      </c>
      <c r="E2750" s="1" t="s">
        <v>10391</v>
      </c>
      <c r="F2750" s="2" t="str">
        <f>"0062298925"</f>
        <v>0062298925</v>
      </c>
      <c r="G2750" s="2" t="str">
        <f>"9780062298928"</f>
        <v>9780062298928</v>
      </c>
      <c r="H2750" s="1" t="s">
        <v>290</v>
      </c>
      <c r="I2750" s="1" t="s">
        <v>328</v>
      </c>
      <c r="K2750" s="1">
        <v>2013.0</v>
      </c>
      <c r="L2750" s="1">
        <v>2013.0</v>
      </c>
      <c r="M2750" s="1"/>
      <c r="N2750" s="1"/>
      <c r="O2750" s="1"/>
      <c r="P2750" s="1"/>
      <c r="Q2750" s="1"/>
      <c r="R2750" s="1"/>
      <c r="S2750" s="1"/>
      <c r="T2750" s="1"/>
      <c r="U2750" s="1"/>
      <c r="V2750" s="1"/>
      <c r="W2750" s="1"/>
      <c r="X2750" s="1" t="s">
        <v>51</v>
      </c>
      <c r="Y2750" s="1" t="s">
        <v>10392</v>
      </c>
    </row>
    <row r="2751">
      <c r="A2751" s="1">
        <v>5.2224333E7</v>
      </c>
      <c r="B2751" s="1" t="s">
        <v>10393</v>
      </c>
      <c r="C2751" s="1" t="s">
        <v>1059</v>
      </c>
      <c r="D2751" s="1" t="s">
        <v>1060</v>
      </c>
      <c r="F2751" s="2" t="str">
        <f t="shared" ref="F2751:G2751" si="189">""</f>
        <v/>
      </c>
      <c r="G2751" s="2" t="str">
        <f t="shared" si="189"/>
        <v/>
      </c>
      <c r="H2751" s="1" t="s">
        <v>290</v>
      </c>
      <c r="I2751" s="1" t="s">
        <v>36</v>
      </c>
      <c r="K2751" s="1">
        <v>2017.0</v>
      </c>
      <c r="M2751" s="1"/>
      <c r="N2751" s="1"/>
      <c r="O2751" s="1"/>
      <c r="P2751" s="1"/>
      <c r="Q2751" s="1"/>
      <c r="R2751" s="1"/>
      <c r="S2751" s="1"/>
      <c r="T2751" s="1"/>
      <c r="U2751" s="1"/>
      <c r="V2751" s="1"/>
      <c r="W2751" s="1"/>
      <c r="X2751" s="1" t="s">
        <v>51</v>
      </c>
      <c r="Y2751" s="1" t="s">
        <v>10394</v>
      </c>
    </row>
    <row r="2752">
      <c r="A2752" s="1">
        <v>4.2377872E7</v>
      </c>
      <c r="B2752" s="1" t="s">
        <v>10395</v>
      </c>
      <c r="C2752" s="1" t="s">
        <v>1059</v>
      </c>
      <c r="D2752" s="1" t="s">
        <v>1060</v>
      </c>
      <c r="F2752" s="2" t="str">
        <f>"1338113321"</f>
        <v>1338113321</v>
      </c>
      <c r="G2752" s="2" t="str">
        <f>"9781338113327"</f>
        <v>9781338113327</v>
      </c>
      <c r="H2752" s="1" t="s">
        <v>10396</v>
      </c>
      <c r="I2752" s="1" t="s">
        <v>36</v>
      </c>
      <c r="K2752" s="1">
        <v>2016.0</v>
      </c>
      <c r="M2752" s="1"/>
      <c r="N2752" s="1"/>
      <c r="O2752" s="1"/>
      <c r="P2752" s="1"/>
      <c r="Q2752" s="1"/>
      <c r="R2752" s="1"/>
      <c r="S2752" s="1"/>
      <c r="T2752" s="1"/>
      <c r="U2752" s="1"/>
      <c r="V2752" s="1"/>
      <c r="W2752" s="1"/>
      <c r="X2752" s="1" t="s">
        <v>51</v>
      </c>
      <c r="Y2752" s="1" t="s">
        <v>10397</v>
      </c>
    </row>
    <row r="2753">
      <c r="A2753" s="1">
        <v>5.8603234E7</v>
      </c>
      <c r="B2753" s="1" t="s">
        <v>10398</v>
      </c>
      <c r="C2753" s="1" t="s">
        <v>10399</v>
      </c>
      <c r="D2753" s="1" t="s">
        <v>10400</v>
      </c>
      <c r="F2753" s="2" t="str">
        <f t="shared" ref="F2753:G2753" si="190">""</f>
        <v/>
      </c>
      <c r="G2753" s="2" t="str">
        <f t="shared" si="190"/>
        <v/>
      </c>
      <c r="I2753" s="1" t="s">
        <v>108</v>
      </c>
      <c r="M2753" s="1"/>
      <c r="N2753" s="1"/>
      <c r="O2753" s="1"/>
      <c r="P2753" s="1"/>
      <c r="Q2753" s="1"/>
      <c r="R2753" s="1"/>
      <c r="S2753" s="1"/>
      <c r="T2753" s="1"/>
      <c r="U2753" s="1"/>
      <c r="V2753" s="1"/>
      <c r="W2753" s="1"/>
      <c r="X2753" s="1" t="s">
        <v>2242</v>
      </c>
      <c r="Y2753" s="1" t="s">
        <v>10401</v>
      </c>
    </row>
    <row r="2754">
      <c r="A2754" s="1">
        <v>2.00819492E8</v>
      </c>
      <c r="B2754" s="1" t="s">
        <v>10402</v>
      </c>
      <c r="C2754" s="1" t="s">
        <v>248</v>
      </c>
      <c r="D2754" s="1" t="s">
        <v>249</v>
      </c>
      <c r="F2754" s="2" t="str">
        <f>"9389823587"</f>
        <v>9389823587</v>
      </c>
      <c r="G2754" s="2" t="str">
        <f>"9789389823585"</f>
        <v>9789389823585</v>
      </c>
      <c r="I2754" s="1" t="s">
        <v>36</v>
      </c>
      <c r="M2754" s="1"/>
      <c r="N2754" s="1"/>
      <c r="O2754" s="1"/>
      <c r="P2754" s="1"/>
      <c r="Q2754" s="1"/>
      <c r="R2754" s="1"/>
      <c r="S2754" s="1"/>
      <c r="T2754" s="1"/>
      <c r="U2754" s="1"/>
      <c r="V2754" s="1"/>
      <c r="W2754" s="1"/>
      <c r="X2754" s="1" t="s">
        <v>250</v>
      </c>
      <c r="Y2754" s="1" t="s">
        <v>10403</v>
      </c>
    </row>
    <row r="2755">
      <c r="A2755" s="1">
        <v>5.2514489E7</v>
      </c>
      <c r="B2755" s="1" t="s">
        <v>10404</v>
      </c>
      <c r="C2755" s="1" t="s">
        <v>3256</v>
      </c>
      <c r="D2755" s="1" t="s">
        <v>3257</v>
      </c>
      <c r="F2755" s="2" t="str">
        <f>"1338188143"</f>
        <v>1338188143</v>
      </c>
      <c r="G2755" s="2" t="str">
        <f>"9781338188141"</f>
        <v>9781338188141</v>
      </c>
      <c r="K2755" s="1">
        <v>2018.0</v>
      </c>
      <c r="M2755" s="1"/>
      <c r="N2755" s="1"/>
      <c r="O2755" s="1"/>
      <c r="P2755" s="1"/>
      <c r="Q2755" s="1"/>
      <c r="R2755" s="1"/>
      <c r="S2755" s="1"/>
      <c r="T2755" s="1"/>
      <c r="U2755" s="1"/>
      <c r="V2755" s="1"/>
      <c r="W2755" s="1"/>
      <c r="X2755" s="1" t="s">
        <v>83</v>
      </c>
      <c r="Y2755" s="1" t="s">
        <v>10405</v>
      </c>
    </row>
    <row r="2756">
      <c r="A2756" s="1">
        <v>5.5671231E7</v>
      </c>
      <c r="B2756" s="1" t="s">
        <v>10406</v>
      </c>
      <c r="C2756" s="1" t="s">
        <v>10407</v>
      </c>
      <c r="D2756" s="1" t="s">
        <v>10408</v>
      </c>
      <c r="F2756" s="2" t="str">
        <f t="shared" ref="F2756:G2756" si="191">""</f>
        <v/>
      </c>
      <c r="G2756" s="2" t="str">
        <f t="shared" si="191"/>
        <v/>
      </c>
      <c r="I2756" s="1" t="s">
        <v>238</v>
      </c>
      <c r="K2756" s="1">
        <v>2020.0</v>
      </c>
      <c r="M2756" s="1"/>
      <c r="N2756" s="1"/>
      <c r="O2756" s="1"/>
      <c r="P2756" s="1"/>
      <c r="Q2756" s="1"/>
      <c r="R2756" s="1"/>
      <c r="S2756" s="1"/>
      <c r="T2756" s="1"/>
      <c r="U2756" s="1"/>
      <c r="V2756" s="1"/>
      <c r="W2756" s="1"/>
      <c r="X2756" s="1" t="s">
        <v>553</v>
      </c>
      <c r="Y2756" s="1" t="s">
        <v>10409</v>
      </c>
    </row>
    <row r="2757">
      <c r="A2757" s="1">
        <v>1197788.0</v>
      </c>
      <c r="B2757" s="1" t="s">
        <v>10410</v>
      </c>
      <c r="C2757" s="1" t="s">
        <v>3423</v>
      </c>
      <c r="D2757" s="1" t="s">
        <v>3424</v>
      </c>
      <c r="F2757" s="2" t="str">
        <f>"1856973131"</f>
        <v>1856973131</v>
      </c>
      <c r="G2757" s="2" t="str">
        <f>"9781856973137"</f>
        <v>9781856973137</v>
      </c>
      <c r="H2757" s="1" t="s">
        <v>1704</v>
      </c>
      <c r="I2757" s="1" t="s">
        <v>36</v>
      </c>
      <c r="K2757" s="1">
        <v>1995.0</v>
      </c>
      <c r="L2757" s="1">
        <v>1994.0</v>
      </c>
      <c r="M2757" s="1"/>
      <c r="N2757" s="1"/>
      <c r="O2757" s="1"/>
      <c r="P2757" s="1"/>
      <c r="Q2757" s="1"/>
      <c r="R2757" s="1"/>
      <c r="S2757" s="1"/>
      <c r="T2757" s="1"/>
      <c r="U2757" s="1"/>
      <c r="V2757" s="1"/>
      <c r="W2757" s="1"/>
      <c r="X2757" s="1" t="s">
        <v>116</v>
      </c>
      <c r="Y2757" s="1" t="s">
        <v>10411</v>
      </c>
    </row>
    <row r="2758">
      <c r="A2758" s="1">
        <v>2.5998666E7</v>
      </c>
      <c r="B2758" s="1" t="s">
        <v>10412</v>
      </c>
      <c r="C2758" s="1" t="s">
        <v>10413</v>
      </c>
      <c r="D2758" s="1" t="s">
        <v>10414</v>
      </c>
      <c r="E2758" s="1" t="s">
        <v>4236</v>
      </c>
      <c r="F2758" s="2" t="str">
        <f>"0590626477"</f>
        <v>0590626477</v>
      </c>
      <c r="G2758" s="2" t="str">
        <f>"9780590626477"</f>
        <v>9780590626477</v>
      </c>
      <c r="H2758" s="1" t="s">
        <v>50</v>
      </c>
      <c r="I2758" s="1" t="s">
        <v>36</v>
      </c>
      <c r="M2758" s="1"/>
      <c r="N2758" s="1"/>
      <c r="O2758" s="1"/>
      <c r="P2758" s="1"/>
      <c r="Q2758" s="1"/>
      <c r="R2758" s="1"/>
      <c r="S2758" s="1"/>
      <c r="T2758" s="1"/>
      <c r="U2758" s="1"/>
      <c r="V2758" s="1"/>
      <c r="W2758" s="1"/>
      <c r="X2758" s="1" t="s">
        <v>55</v>
      </c>
      <c r="Y2758" s="1" t="s">
        <v>10415</v>
      </c>
    </row>
    <row r="2759">
      <c r="A2759" s="1">
        <v>9607766.0</v>
      </c>
      <c r="B2759" s="1" t="s">
        <v>10416</v>
      </c>
      <c r="C2759" s="1" t="s">
        <v>10417</v>
      </c>
      <c r="D2759" s="1" t="s">
        <v>10418</v>
      </c>
      <c r="E2759" s="1" t="s">
        <v>10419</v>
      </c>
      <c r="F2759" s="2" t="str">
        <f t="shared" ref="F2759:G2759" si="192">""</f>
        <v/>
      </c>
      <c r="G2759" s="2" t="str">
        <f t="shared" si="192"/>
        <v/>
      </c>
      <c r="H2759" s="1" t="s">
        <v>10420</v>
      </c>
      <c r="I2759" s="1" t="s">
        <v>31</v>
      </c>
      <c r="L2759" s="1">
        <v>2010.0</v>
      </c>
      <c r="M2759" s="1"/>
      <c r="N2759" s="1"/>
      <c r="O2759" s="1"/>
      <c r="P2759" s="1"/>
      <c r="Q2759" s="1"/>
      <c r="R2759" s="1"/>
      <c r="S2759" s="1"/>
      <c r="T2759" s="1"/>
      <c r="U2759" s="1"/>
      <c r="V2759" s="1"/>
      <c r="W2759" s="1"/>
      <c r="X2759" s="1" t="s">
        <v>245</v>
      </c>
      <c r="Y2759" s="1" t="s">
        <v>10421</v>
      </c>
    </row>
    <row r="2760">
      <c r="A2760" s="1">
        <v>5.8775159E7</v>
      </c>
      <c r="B2760" s="1" t="s">
        <v>10422</v>
      </c>
      <c r="C2760" s="1" t="s">
        <v>10423</v>
      </c>
      <c r="D2760" s="1" t="s">
        <v>10424</v>
      </c>
      <c r="F2760" s="2" t="str">
        <f>"1338145134"</f>
        <v>1338145134</v>
      </c>
      <c r="G2760" s="2" t="str">
        <f>"9781338145137"</f>
        <v>9781338145137</v>
      </c>
      <c r="M2760" s="1"/>
      <c r="N2760" s="1"/>
      <c r="O2760" s="1"/>
      <c r="P2760" s="1"/>
      <c r="Q2760" s="1"/>
      <c r="R2760" s="1"/>
      <c r="S2760" s="1"/>
      <c r="T2760" s="1"/>
      <c r="U2760" s="1"/>
      <c r="V2760" s="1"/>
      <c r="W2760" s="1"/>
      <c r="X2760" s="1" t="s">
        <v>10425</v>
      </c>
      <c r="Y2760" s="1" t="s">
        <v>10426</v>
      </c>
    </row>
    <row r="2761">
      <c r="A2761" s="1">
        <v>2067883.0</v>
      </c>
      <c r="B2761" s="1" t="s">
        <v>10427</v>
      </c>
      <c r="C2761" s="1" t="s">
        <v>10428</v>
      </c>
      <c r="D2761" s="1" t="s">
        <v>10429</v>
      </c>
      <c r="E2761" s="1" t="s">
        <v>6985</v>
      </c>
      <c r="F2761" s="2" t="str">
        <f>"0688112277"</f>
        <v>0688112277</v>
      </c>
      <c r="G2761" s="2" t="str">
        <f>"9780688112271"</f>
        <v>9780688112271</v>
      </c>
      <c r="H2761" s="1" t="s">
        <v>10430</v>
      </c>
      <c r="I2761" s="1" t="s">
        <v>91</v>
      </c>
      <c r="K2761" s="1">
        <v>1993.0</v>
      </c>
      <c r="L2761" s="1">
        <v>1993.0</v>
      </c>
      <c r="M2761" s="1"/>
      <c r="N2761" s="1"/>
      <c r="O2761" s="1"/>
      <c r="P2761" s="1"/>
      <c r="Q2761" s="1"/>
      <c r="R2761" s="1"/>
      <c r="S2761" s="1"/>
      <c r="T2761" s="1"/>
      <c r="U2761" s="1"/>
      <c r="V2761" s="1"/>
      <c r="W2761" s="1"/>
      <c r="X2761" s="1" t="s">
        <v>543</v>
      </c>
      <c r="Y2761" s="1" t="s">
        <v>10431</v>
      </c>
    </row>
    <row r="2762">
      <c r="A2762" s="1">
        <v>1.57210908E8</v>
      </c>
      <c r="B2762" s="1" t="s">
        <v>10432</v>
      </c>
      <c r="C2762" s="1" t="s">
        <v>3642</v>
      </c>
      <c r="D2762" s="1" t="s">
        <v>3643</v>
      </c>
      <c r="E2762" s="1" t="s">
        <v>3648</v>
      </c>
      <c r="F2762" s="2" t="str">
        <f t="shared" ref="F2762:G2762" si="193">""</f>
        <v/>
      </c>
      <c r="G2762" s="2" t="str">
        <f t="shared" si="193"/>
        <v/>
      </c>
      <c r="H2762" s="1" t="s">
        <v>10433</v>
      </c>
      <c r="I2762" s="1" t="s">
        <v>108</v>
      </c>
      <c r="K2762" s="1">
        <v>1995.0</v>
      </c>
      <c r="L2762" s="1">
        <v>1960.0</v>
      </c>
      <c r="M2762" s="1"/>
      <c r="N2762" s="1"/>
      <c r="O2762" s="1"/>
      <c r="P2762" s="1"/>
      <c r="Q2762" s="1"/>
      <c r="R2762" s="1"/>
      <c r="S2762" s="1"/>
      <c r="T2762" s="1"/>
      <c r="U2762" s="1"/>
      <c r="V2762" s="1"/>
      <c r="W2762" s="1"/>
      <c r="X2762" s="1" t="s">
        <v>363</v>
      </c>
      <c r="Y2762" s="1" t="s">
        <v>10434</v>
      </c>
    </row>
    <row r="2763">
      <c r="A2763" s="1">
        <v>1.6065722E7</v>
      </c>
      <c r="B2763" s="1" t="s">
        <v>10435</v>
      </c>
      <c r="C2763" s="1" t="s">
        <v>326</v>
      </c>
      <c r="D2763" s="1" t="s">
        <v>327</v>
      </c>
      <c r="F2763" s="2" t="str">
        <f>"0062254006"</f>
        <v>0062254006</v>
      </c>
      <c r="G2763" s="2" t="str">
        <f>"9780062254009"</f>
        <v>9780062254009</v>
      </c>
      <c r="H2763" s="1" t="s">
        <v>290</v>
      </c>
      <c r="I2763" s="1" t="s">
        <v>328</v>
      </c>
      <c r="K2763" s="1">
        <v>2013.0</v>
      </c>
      <c r="L2763" s="1">
        <v>2013.0</v>
      </c>
      <c r="M2763" s="1"/>
      <c r="N2763" s="1"/>
      <c r="O2763" s="1"/>
      <c r="P2763" s="1"/>
      <c r="Q2763" s="1"/>
      <c r="R2763" s="1"/>
      <c r="S2763" s="1"/>
      <c r="T2763" s="1"/>
      <c r="U2763" s="1"/>
      <c r="V2763" s="1"/>
      <c r="W2763" s="1"/>
      <c r="X2763" s="1" t="s">
        <v>1422</v>
      </c>
      <c r="Y2763" s="1" t="s">
        <v>10436</v>
      </c>
    </row>
    <row r="2764">
      <c r="A2764" s="1">
        <v>518020.0</v>
      </c>
      <c r="B2764" s="1" t="s">
        <v>10437</v>
      </c>
      <c r="C2764" s="1" t="s">
        <v>10438</v>
      </c>
      <c r="D2764" s="1" t="s">
        <v>10439</v>
      </c>
      <c r="F2764" s="2" t="str">
        <f>"1550354698"</f>
        <v>1550354698</v>
      </c>
      <c r="G2764" s="2" t="str">
        <f>"9781550354690"</f>
        <v>9781550354690</v>
      </c>
      <c r="H2764" s="1" t="s">
        <v>10440</v>
      </c>
      <c r="I2764" s="1" t="s">
        <v>36</v>
      </c>
      <c r="K2764" s="1">
        <v>1997.0</v>
      </c>
      <c r="L2764" s="1">
        <v>1997.0</v>
      </c>
      <c r="M2764" s="1"/>
      <c r="N2764" s="1"/>
      <c r="O2764" s="1"/>
      <c r="P2764" s="1"/>
      <c r="Q2764" s="1"/>
      <c r="R2764" s="1"/>
      <c r="S2764" s="1"/>
      <c r="T2764" s="1"/>
      <c r="U2764" s="1"/>
      <c r="V2764" s="1"/>
      <c r="W2764" s="1"/>
      <c r="X2764" s="1" t="s">
        <v>83</v>
      </c>
      <c r="Y2764" s="1" t="s">
        <v>10441</v>
      </c>
    </row>
    <row r="2765">
      <c r="A2765" s="1">
        <v>5.6441755E7</v>
      </c>
      <c r="B2765" s="1" t="s">
        <v>10442</v>
      </c>
      <c r="C2765" s="1" t="s">
        <v>10443</v>
      </c>
      <c r="D2765" s="1" t="s">
        <v>10444</v>
      </c>
      <c r="F2765" s="2" t="str">
        <f t="shared" ref="F2765:G2765" si="194">""</f>
        <v/>
      </c>
      <c r="G2765" s="2" t="str">
        <f t="shared" si="194"/>
        <v/>
      </c>
      <c r="I2765" s="1" t="s">
        <v>238</v>
      </c>
      <c r="K2765" s="1">
        <v>2020.0</v>
      </c>
      <c r="M2765" s="1"/>
      <c r="N2765" s="1"/>
      <c r="O2765" s="1"/>
      <c r="P2765" s="1"/>
      <c r="Q2765" s="1"/>
      <c r="R2765" s="1"/>
      <c r="S2765" s="1"/>
      <c r="T2765" s="1"/>
      <c r="U2765" s="1"/>
      <c r="V2765" s="1"/>
      <c r="W2765" s="1"/>
      <c r="X2765" s="1" t="s">
        <v>45</v>
      </c>
      <c r="Y2765" s="1" t="s">
        <v>10445</v>
      </c>
    </row>
    <row r="2766">
      <c r="A2766" s="1">
        <v>3.8622284E7</v>
      </c>
      <c r="B2766" s="1" t="s">
        <v>10446</v>
      </c>
      <c r="C2766" s="1" t="s">
        <v>10447</v>
      </c>
      <c r="D2766" s="1" t="s">
        <v>10448</v>
      </c>
      <c r="F2766" s="2" t="str">
        <f>"9974772591"</f>
        <v>9974772591</v>
      </c>
      <c r="G2766" s="2" t="str">
        <f>"9789974772595"</f>
        <v>9789974772595</v>
      </c>
      <c r="H2766" s="1" t="s">
        <v>10449</v>
      </c>
      <c r="I2766" s="1" t="s">
        <v>36</v>
      </c>
      <c r="K2766" s="1">
        <v>2003.0</v>
      </c>
      <c r="M2766" s="1"/>
      <c r="N2766" s="1"/>
      <c r="O2766" s="1"/>
      <c r="P2766" s="1"/>
      <c r="Q2766" s="1"/>
      <c r="R2766" s="1"/>
      <c r="S2766" s="1"/>
      <c r="T2766" s="1"/>
      <c r="U2766" s="1"/>
      <c r="V2766" s="1"/>
      <c r="W2766" s="1"/>
      <c r="X2766" s="1" t="s">
        <v>37</v>
      </c>
      <c r="Y2766" s="1" t="s">
        <v>10450</v>
      </c>
    </row>
    <row r="2767">
      <c r="A2767" s="1">
        <v>3.8114848E7</v>
      </c>
      <c r="B2767" s="1" t="s">
        <v>10451</v>
      </c>
      <c r="C2767" s="1" t="s">
        <v>354</v>
      </c>
      <c r="D2767" s="1" t="s">
        <v>355</v>
      </c>
      <c r="F2767" s="2" t="str">
        <f>"0545147956"</f>
        <v>0545147956</v>
      </c>
      <c r="G2767" s="2" t="str">
        <f>"9780545147958"</f>
        <v>9780545147958</v>
      </c>
      <c r="H2767" s="1" t="s">
        <v>50</v>
      </c>
      <c r="M2767" s="1"/>
      <c r="N2767" s="1"/>
      <c r="O2767" s="1"/>
      <c r="P2767" s="1"/>
      <c r="Q2767" s="1"/>
      <c r="R2767" s="1"/>
      <c r="S2767" s="1"/>
      <c r="T2767" s="1"/>
      <c r="U2767" s="1"/>
      <c r="V2767" s="1"/>
      <c r="W2767" s="1"/>
      <c r="X2767" s="1" t="s">
        <v>96</v>
      </c>
      <c r="Y2767" s="1" t="s">
        <v>10452</v>
      </c>
    </row>
    <row r="2768">
      <c r="A2768" s="1">
        <v>911859.0</v>
      </c>
      <c r="B2768" s="1" t="s">
        <v>10453</v>
      </c>
      <c r="C2768" s="1" t="s">
        <v>10454</v>
      </c>
      <c r="D2768" s="1" t="s">
        <v>10455</v>
      </c>
      <c r="E2768" s="1" t="s">
        <v>10456</v>
      </c>
      <c r="F2768" s="2" t="str">
        <f>"0064440400"</f>
        <v>0064440400</v>
      </c>
      <c r="G2768" s="2" t="str">
        <f>"9780064440400"</f>
        <v>9780064440400</v>
      </c>
      <c r="H2768" s="1" t="s">
        <v>9285</v>
      </c>
      <c r="I2768" s="1" t="s">
        <v>36</v>
      </c>
      <c r="K2768" s="1">
        <v>1971.0</v>
      </c>
      <c r="L2768" s="1">
        <v>1971.0</v>
      </c>
      <c r="M2768" s="1"/>
      <c r="N2768" s="1"/>
      <c r="O2768" s="1"/>
      <c r="P2768" s="1"/>
      <c r="Q2768" s="1"/>
      <c r="R2768" s="1"/>
      <c r="S2768" s="1"/>
      <c r="T2768" s="1"/>
      <c r="U2768" s="1"/>
      <c r="V2768" s="1"/>
      <c r="W2768" s="1"/>
      <c r="X2768" s="1" t="s">
        <v>74</v>
      </c>
      <c r="Y2768" s="1" t="s">
        <v>10457</v>
      </c>
    </row>
    <row r="2769">
      <c r="A2769" s="1">
        <v>4.4161198E7</v>
      </c>
      <c r="B2769" s="1" t="s">
        <v>10458</v>
      </c>
      <c r="C2769" s="1" t="s">
        <v>10459</v>
      </c>
      <c r="D2769" s="1" t="s">
        <v>10460</v>
      </c>
      <c r="F2769" s="2" t="str">
        <f>"9811124485"</f>
        <v>9811124485</v>
      </c>
      <c r="G2769" s="2" t="str">
        <f>"9789811124488"</f>
        <v>9789811124488</v>
      </c>
      <c r="H2769" s="1" t="s">
        <v>10461</v>
      </c>
      <c r="I2769" s="1" t="s">
        <v>36</v>
      </c>
      <c r="K2769" s="1">
        <v>2015.0</v>
      </c>
      <c r="M2769" s="1"/>
      <c r="N2769" s="1"/>
      <c r="O2769" s="1"/>
      <c r="P2769" s="1"/>
      <c r="Q2769" s="1"/>
      <c r="R2769" s="1"/>
      <c r="S2769" s="1"/>
      <c r="T2769" s="1"/>
      <c r="U2769" s="1"/>
      <c r="V2769" s="1"/>
      <c r="W2769" s="1"/>
      <c r="X2769" s="1" t="s">
        <v>2254</v>
      </c>
      <c r="Y2769" s="1" t="s">
        <v>10462</v>
      </c>
    </row>
    <row r="2770">
      <c r="A2770" s="1">
        <v>3.6194671E7</v>
      </c>
      <c r="B2770" s="1" t="s">
        <v>10463</v>
      </c>
      <c r="C2770" s="1" t="s">
        <v>10464</v>
      </c>
      <c r="D2770" s="1" t="s">
        <v>10465</v>
      </c>
      <c r="F2770" s="2" t="str">
        <f t="shared" ref="F2770:G2770" si="195">""</f>
        <v/>
      </c>
      <c r="G2770" s="2" t="str">
        <f t="shared" si="195"/>
        <v/>
      </c>
      <c r="H2770" s="1" t="s">
        <v>1072</v>
      </c>
      <c r="I2770" s="1" t="s">
        <v>108</v>
      </c>
      <c r="M2770" s="1"/>
      <c r="N2770" s="1"/>
      <c r="O2770" s="1"/>
      <c r="P2770" s="1"/>
      <c r="Q2770" s="1"/>
      <c r="R2770" s="1"/>
      <c r="S2770" s="1"/>
      <c r="T2770" s="1"/>
      <c r="U2770" s="1"/>
      <c r="V2770" s="1"/>
      <c r="W2770" s="1"/>
      <c r="X2770" s="1" t="s">
        <v>83</v>
      </c>
      <c r="Y2770" s="1" t="s">
        <v>10466</v>
      </c>
    </row>
    <row r="2771">
      <c r="A2771" s="1">
        <v>1241801.0</v>
      </c>
      <c r="B2771" s="1" t="s">
        <v>10467</v>
      </c>
      <c r="C2771" s="1" t="s">
        <v>1701</v>
      </c>
      <c r="D2771" s="1" t="s">
        <v>1702</v>
      </c>
      <c r="E2771" s="1" t="s">
        <v>1703</v>
      </c>
      <c r="F2771" s="2" t="str">
        <f>"075340351X"</f>
        <v>075340351X</v>
      </c>
      <c r="G2771" s="2" t="str">
        <f>"9780753403518"</f>
        <v>9780753403518</v>
      </c>
      <c r="H2771" s="1" t="s">
        <v>10468</v>
      </c>
      <c r="I2771" s="1" t="s">
        <v>36</v>
      </c>
      <c r="K2771" s="1">
        <v>2000.0</v>
      </c>
      <c r="L2771" s="1">
        <v>1997.0</v>
      </c>
      <c r="M2771" s="1"/>
      <c r="N2771" s="1"/>
      <c r="O2771" s="1"/>
      <c r="P2771" s="1"/>
      <c r="Q2771" s="1"/>
      <c r="R2771" s="1"/>
      <c r="S2771" s="1"/>
      <c r="T2771" s="1"/>
      <c r="U2771" s="1"/>
      <c r="V2771" s="1"/>
      <c r="W2771" s="1"/>
      <c r="X2771" s="1" t="s">
        <v>1117</v>
      </c>
      <c r="Y2771" s="1" t="s">
        <v>10469</v>
      </c>
    </row>
    <row r="2772">
      <c r="A2772" s="1">
        <v>1.23790183E8</v>
      </c>
      <c r="B2772" s="1" t="s">
        <v>10470</v>
      </c>
      <c r="C2772" s="1" t="s">
        <v>6115</v>
      </c>
      <c r="D2772" s="1" t="s">
        <v>10471</v>
      </c>
      <c r="F2772" s="2" t="str">
        <f t="shared" ref="F2772:G2772" si="196">""</f>
        <v/>
      </c>
      <c r="G2772" s="2" t="str">
        <f t="shared" si="196"/>
        <v/>
      </c>
      <c r="H2772" s="1" t="s">
        <v>10472</v>
      </c>
      <c r="I2772" s="1" t="s">
        <v>31</v>
      </c>
      <c r="K2772" s="1">
        <v>2013.0</v>
      </c>
      <c r="M2772" s="1"/>
      <c r="N2772" s="1"/>
      <c r="O2772" s="1"/>
      <c r="P2772" s="1"/>
      <c r="Q2772" s="1"/>
      <c r="R2772" s="1"/>
      <c r="S2772" s="1"/>
      <c r="T2772" s="1"/>
      <c r="U2772" s="1"/>
      <c r="V2772" s="1"/>
      <c r="W2772" s="1"/>
      <c r="X2772" s="1" t="s">
        <v>742</v>
      </c>
      <c r="Y2772" s="1" t="s">
        <v>10473</v>
      </c>
    </row>
    <row r="2773">
      <c r="A2773" s="1">
        <v>5.9430981E7</v>
      </c>
      <c r="B2773" s="1" t="s">
        <v>10474</v>
      </c>
      <c r="C2773" s="1" t="s">
        <v>10475</v>
      </c>
      <c r="D2773" s="1" t="s">
        <v>10476</v>
      </c>
      <c r="F2773" s="2" t="str">
        <f t="shared" ref="F2773:G2773" si="197">""</f>
        <v/>
      </c>
      <c r="G2773" s="2" t="str">
        <f t="shared" si="197"/>
        <v/>
      </c>
      <c r="H2773" s="1" t="s">
        <v>10477</v>
      </c>
      <c r="I2773" s="1" t="s">
        <v>36</v>
      </c>
      <c r="K2773" s="1">
        <v>2021.0</v>
      </c>
      <c r="M2773" s="1"/>
      <c r="N2773" s="1"/>
      <c r="O2773" s="1"/>
      <c r="P2773" s="1"/>
      <c r="Q2773" s="1"/>
      <c r="R2773" s="1"/>
      <c r="S2773" s="1"/>
      <c r="T2773" s="1"/>
      <c r="U2773" s="1"/>
      <c r="V2773" s="1"/>
      <c r="W2773" s="1"/>
      <c r="X2773" s="1" t="s">
        <v>116</v>
      </c>
      <c r="Y2773" s="1" t="s">
        <v>10478</v>
      </c>
    </row>
    <row r="2774">
      <c r="A2774" s="1">
        <v>4.3530535E7</v>
      </c>
      <c r="B2774" s="1" t="s">
        <v>4506</v>
      </c>
      <c r="C2774" s="1" t="s">
        <v>10479</v>
      </c>
      <c r="D2774" s="1" t="s">
        <v>10480</v>
      </c>
      <c r="F2774" s="2" t="str">
        <f t="shared" ref="F2774:G2774" si="198">""</f>
        <v/>
      </c>
      <c r="G2774" s="2" t="str">
        <f t="shared" si="198"/>
        <v/>
      </c>
      <c r="I2774" s="1" t="s">
        <v>108</v>
      </c>
      <c r="M2774" s="1"/>
      <c r="N2774" s="1"/>
      <c r="O2774" s="1"/>
      <c r="P2774" s="1"/>
      <c r="Q2774" s="1"/>
      <c r="R2774" s="1"/>
      <c r="S2774" s="1"/>
      <c r="T2774" s="1"/>
      <c r="U2774" s="1"/>
      <c r="V2774" s="1"/>
      <c r="W2774" s="1"/>
      <c r="X2774" s="1" t="s">
        <v>1219</v>
      </c>
      <c r="Y2774" s="1" t="s">
        <v>10481</v>
      </c>
    </row>
    <row r="2775">
      <c r="A2775" s="1">
        <v>1.305839E7</v>
      </c>
      <c r="B2775" s="1" t="s">
        <v>10482</v>
      </c>
      <c r="C2775" s="1" t="s">
        <v>487</v>
      </c>
      <c r="D2775" s="1" t="s">
        <v>488</v>
      </c>
      <c r="E2775" s="1" t="s">
        <v>489</v>
      </c>
      <c r="F2775" s="2" t="str">
        <f>"0545419530"</f>
        <v>0545419530</v>
      </c>
      <c r="G2775" s="2" t="str">
        <f>"9780545419536"</f>
        <v>9780545419536</v>
      </c>
      <c r="H2775" s="1" t="s">
        <v>50</v>
      </c>
      <c r="I2775" s="1" t="s">
        <v>36</v>
      </c>
      <c r="K2775" s="1">
        <v>2011.0</v>
      </c>
      <c r="L2775" s="1">
        <v>2011.0</v>
      </c>
      <c r="M2775" s="1"/>
      <c r="N2775" s="1"/>
      <c r="O2775" s="1"/>
      <c r="P2775" s="1"/>
      <c r="Q2775" s="1"/>
      <c r="R2775" s="1"/>
      <c r="S2775" s="1"/>
      <c r="T2775" s="1"/>
      <c r="U2775" s="1"/>
      <c r="V2775" s="1"/>
      <c r="W2775" s="1"/>
      <c r="X2775" s="1" t="s">
        <v>291</v>
      </c>
      <c r="Y2775" s="1" t="s">
        <v>10483</v>
      </c>
    </row>
    <row r="2776">
      <c r="A2776" s="1">
        <v>1.2809257E7</v>
      </c>
      <c r="B2776" s="1" t="s">
        <v>10484</v>
      </c>
      <c r="C2776" s="1" t="s">
        <v>487</v>
      </c>
      <c r="D2776" s="1" t="s">
        <v>488</v>
      </c>
      <c r="F2776" s="2" t="str">
        <f t="shared" ref="F2776:G2776" si="199">""</f>
        <v/>
      </c>
      <c r="G2776" s="2" t="str">
        <f t="shared" si="199"/>
        <v/>
      </c>
      <c r="L2776" s="1">
        <v>2016.0</v>
      </c>
      <c r="M2776" s="1"/>
      <c r="N2776" s="1"/>
      <c r="O2776" s="1"/>
      <c r="P2776" s="1"/>
      <c r="Q2776" s="1"/>
      <c r="R2776" s="1"/>
      <c r="S2776" s="1"/>
      <c r="T2776" s="1"/>
      <c r="U2776" s="1"/>
      <c r="V2776" s="1"/>
      <c r="W2776" s="1"/>
      <c r="X2776" s="1" t="s">
        <v>10485</v>
      </c>
      <c r="Y2776" s="1" t="s">
        <v>10486</v>
      </c>
    </row>
    <row r="2777">
      <c r="A2777" s="1">
        <v>1145036.0</v>
      </c>
      <c r="B2777" s="1" t="s">
        <v>10487</v>
      </c>
      <c r="C2777" s="1" t="s">
        <v>10488</v>
      </c>
      <c r="D2777" s="1" t="s">
        <v>10489</v>
      </c>
      <c r="E2777" s="1" t="s">
        <v>10490</v>
      </c>
      <c r="F2777" s="2" t="str">
        <f>"0812036468"</f>
        <v>0812036468</v>
      </c>
      <c r="G2777" s="2" t="str">
        <f>"9780812036466"</f>
        <v>9780812036466</v>
      </c>
      <c r="H2777" s="1" t="s">
        <v>2199</v>
      </c>
      <c r="I2777" s="1" t="s">
        <v>36</v>
      </c>
      <c r="K2777" s="1">
        <v>1986.0</v>
      </c>
      <c r="L2777" s="1">
        <v>1986.0</v>
      </c>
      <c r="M2777" s="1"/>
      <c r="N2777" s="1"/>
      <c r="O2777" s="1"/>
      <c r="P2777" s="1"/>
      <c r="Q2777" s="1"/>
      <c r="R2777" s="1"/>
      <c r="S2777" s="1"/>
      <c r="T2777" s="1"/>
      <c r="U2777" s="1"/>
      <c r="V2777" s="1"/>
      <c r="W2777" s="1"/>
      <c r="X2777" s="1" t="s">
        <v>92</v>
      </c>
      <c r="Y2777" s="1" t="s">
        <v>10491</v>
      </c>
    </row>
    <row r="2778">
      <c r="A2778" s="1">
        <v>3.9948402E7</v>
      </c>
      <c r="B2778" s="1" t="s">
        <v>10492</v>
      </c>
      <c r="C2778" s="1" t="s">
        <v>10493</v>
      </c>
      <c r="D2778" s="1" t="s">
        <v>10494</v>
      </c>
      <c r="E2778" s="1" t="s">
        <v>10495</v>
      </c>
      <c r="F2778" s="2" t="str">
        <f t="shared" ref="F2778:G2778" si="200">""</f>
        <v/>
      </c>
      <c r="G2778" s="2" t="str">
        <f t="shared" si="200"/>
        <v/>
      </c>
      <c r="I2778" s="1" t="s">
        <v>36</v>
      </c>
      <c r="K2778" s="1">
        <v>2018.0</v>
      </c>
      <c r="M2778" s="1"/>
      <c r="N2778" s="1"/>
      <c r="O2778" s="1"/>
      <c r="P2778" s="1"/>
      <c r="Q2778" s="1"/>
      <c r="R2778" s="1"/>
      <c r="S2778" s="1"/>
      <c r="T2778" s="1"/>
      <c r="U2778" s="1"/>
      <c r="V2778" s="1"/>
      <c r="W2778" s="1"/>
      <c r="X2778" s="1" t="s">
        <v>1839</v>
      </c>
      <c r="Y2778" s="1" t="s">
        <v>10496</v>
      </c>
    </row>
    <row r="2779">
      <c r="A2779" s="1">
        <v>1.45646021E8</v>
      </c>
      <c r="B2779" s="1" t="s">
        <v>10497</v>
      </c>
      <c r="C2779" s="1" t="s">
        <v>10498</v>
      </c>
      <c r="D2779" s="1" t="s">
        <v>10499</v>
      </c>
      <c r="F2779" s="2" t="str">
        <f t="shared" ref="F2779:G2779" si="201">""</f>
        <v/>
      </c>
      <c r="G2779" s="2" t="str">
        <f t="shared" si="201"/>
        <v/>
      </c>
      <c r="H2779" s="1" t="s">
        <v>10500</v>
      </c>
      <c r="I2779" s="1" t="s">
        <v>31</v>
      </c>
      <c r="K2779" s="1">
        <v>1688.0</v>
      </c>
      <c r="L2779" s="1">
        <v>2008.0</v>
      </c>
      <c r="M2779" s="1"/>
      <c r="N2779" s="1"/>
      <c r="O2779" s="1"/>
      <c r="P2779" s="1"/>
      <c r="Q2779" s="1"/>
      <c r="R2779" s="1"/>
      <c r="S2779" s="1"/>
      <c r="T2779" s="1"/>
      <c r="U2779" s="1"/>
      <c r="V2779" s="1"/>
      <c r="W2779" s="1"/>
      <c r="X2779" s="1" t="s">
        <v>245</v>
      </c>
      <c r="Y2779" s="1" t="s">
        <v>10501</v>
      </c>
    </row>
    <row r="2780">
      <c r="A2780" s="1">
        <v>5999680.0</v>
      </c>
      <c r="B2780" s="1" t="s">
        <v>10502</v>
      </c>
      <c r="C2780" s="1" t="s">
        <v>10503</v>
      </c>
      <c r="D2780" s="1" t="s">
        <v>10504</v>
      </c>
      <c r="E2780" s="1" t="s">
        <v>10505</v>
      </c>
      <c r="F2780" s="2" t="str">
        <f>"1558583874"</f>
        <v>1558583874</v>
      </c>
      <c r="G2780" s="2" t="str">
        <f>"9781558583870"</f>
        <v>9781558583870</v>
      </c>
      <c r="H2780" s="1" t="s">
        <v>922</v>
      </c>
      <c r="I2780" s="1" t="s">
        <v>31</v>
      </c>
      <c r="K2780" s="1">
        <v>1995.0</v>
      </c>
      <c r="L2780" s="1">
        <v>1994.0</v>
      </c>
      <c r="M2780" s="1"/>
      <c r="N2780" s="1"/>
      <c r="O2780" s="1"/>
      <c r="P2780" s="1"/>
      <c r="Q2780" s="1"/>
      <c r="R2780" s="1"/>
      <c r="S2780" s="1"/>
      <c r="T2780" s="1"/>
      <c r="U2780" s="1"/>
      <c r="V2780" s="1"/>
      <c r="W2780" s="1"/>
      <c r="X2780" s="1" t="s">
        <v>92</v>
      </c>
      <c r="Y2780" s="1" t="s">
        <v>10506</v>
      </c>
    </row>
    <row r="2781">
      <c r="A2781" s="1">
        <v>873244.0</v>
      </c>
      <c r="B2781" s="1" t="s">
        <v>10507</v>
      </c>
      <c r="C2781" s="1" t="s">
        <v>6877</v>
      </c>
      <c r="D2781" s="1" t="s">
        <v>6878</v>
      </c>
      <c r="F2781" s="2" t="str">
        <f>"0448410966"</f>
        <v>0448410966</v>
      </c>
      <c r="G2781" s="2" t="str">
        <f>"9780448410968"</f>
        <v>9780448410968</v>
      </c>
      <c r="H2781" s="1" t="s">
        <v>2014</v>
      </c>
      <c r="I2781" s="1" t="s">
        <v>31</v>
      </c>
      <c r="K2781" s="1">
        <v>1992.0</v>
      </c>
      <c r="L2781" s="1">
        <v>1930.0</v>
      </c>
      <c r="M2781" s="1"/>
      <c r="N2781" s="1"/>
      <c r="O2781" s="1"/>
      <c r="P2781" s="1"/>
      <c r="Q2781" s="1"/>
      <c r="R2781" s="1"/>
      <c r="S2781" s="1"/>
      <c r="T2781" s="1"/>
      <c r="U2781" s="1"/>
      <c r="V2781" s="1"/>
      <c r="W2781" s="1"/>
      <c r="X2781" s="1" t="s">
        <v>74</v>
      </c>
      <c r="Y2781" s="1" t="s">
        <v>10508</v>
      </c>
    </row>
    <row r="2782">
      <c r="A2782" s="1">
        <v>2.5998166E7</v>
      </c>
      <c r="B2782" s="1" t="s">
        <v>10509</v>
      </c>
      <c r="C2782" s="1" t="s">
        <v>10510</v>
      </c>
      <c r="D2782" s="1" t="s">
        <v>10511</v>
      </c>
      <c r="E2782" s="1" t="s">
        <v>10512</v>
      </c>
      <c r="F2782" s="2" t="str">
        <f>"0590625926"</f>
        <v>0590625926</v>
      </c>
      <c r="G2782" s="2" t="str">
        <f>"9780590625920"</f>
        <v>9780590625920</v>
      </c>
      <c r="H2782" s="1" t="s">
        <v>50</v>
      </c>
      <c r="M2782" s="1"/>
      <c r="N2782" s="1"/>
      <c r="O2782" s="1"/>
      <c r="P2782" s="1"/>
      <c r="Q2782" s="1"/>
      <c r="R2782" s="1"/>
      <c r="S2782" s="1"/>
      <c r="T2782" s="1"/>
      <c r="U2782" s="1"/>
      <c r="V2782" s="1"/>
      <c r="W2782" s="1"/>
      <c r="X2782" s="1" t="s">
        <v>55</v>
      </c>
      <c r="Y2782" s="1" t="s">
        <v>10513</v>
      </c>
    </row>
    <row r="2783">
      <c r="A2783" s="1">
        <v>5.6245797E7</v>
      </c>
      <c r="B2783" s="1" t="s">
        <v>10514</v>
      </c>
      <c r="C2783" s="1" t="s">
        <v>571</v>
      </c>
      <c r="D2783" s="1" t="s">
        <v>572</v>
      </c>
      <c r="F2783" s="2" t="str">
        <f>"1614059330"</f>
        <v>1614059330</v>
      </c>
      <c r="G2783" s="2" t="str">
        <f>"9781614059332"</f>
        <v>9781614059332</v>
      </c>
      <c r="I2783" s="1" t="s">
        <v>10515</v>
      </c>
      <c r="M2783" s="1"/>
      <c r="N2783" s="1"/>
      <c r="O2783" s="1"/>
      <c r="P2783" s="1"/>
      <c r="Q2783" s="1"/>
      <c r="R2783" s="1"/>
      <c r="S2783" s="1"/>
      <c r="T2783" s="1"/>
      <c r="U2783" s="1"/>
      <c r="V2783" s="1"/>
      <c r="W2783" s="1"/>
      <c r="X2783" s="1" t="s">
        <v>380</v>
      </c>
      <c r="Y2783" s="1" t="s">
        <v>10516</v>
      </c>
    </row>
    <row r="2784">
      <c r="A2784" s="1">
        <v>1.5299113E7</v>
      </c>
      <c r="B2784" s="1" t="s">
        <v>10517</v>
      </c>
      <c r="C2784" s="1" t="s">
        <v>1918</v>
      </c>
      <c r="D2784" s="1" t="s">
        <v>1919</v>
      </c>
      <c r="F2784" s="2" t="str">
        <f>"0606223231"</f>
        <v>0606223231</v>
      </c>
      <c r="G2784" s="2" t="str">
        <f>"9780606223232"</f>
        <v>9780606223232</v>
      </c>
      <c r="H2784" s="1" t="s">
        <v>274</v>
      </c>
      <c r="I2784" s="1" t="s">
        <v>351</v>
      </c>
      <c r="K2784" s="1">
        <v>2001.0</v>
      </c>
      <c r="M2784" s="1"/>
      <c r="N2784" s="1"/>
      <c r="O2784" s="1"/>
      <c r="P2784" s="1"/>
      <c r="Q2784" s="1"/>
      <c r="R2784" s="1"/>
      <c r="S2784" s="1"/>
      <c r="T2784" s="1"/>
      <c r="U2784" s="1"/>
      <c r="V2784" s="1"/>
      <c r="W2784" s="1"/>
      <c r="X2784" s="1" t="s">
        <v>1494</v>
      </c>
      <c r="Y2784" s="1" t="s">
        <v>10518</v>
      </c>
    </row>
    <row r="2785">
      <c r="A2785" s="1">
        <v>947822.0</v>
      </c>
      <c r="B2785" s="1" t="s">
        <v>10519</v>
      </c>
      <c r="C2785" s="1" t="s">
        <v>4895</v>
      </c>
      <c r="D2785" s="1" t="s">
        <v>4896</v>
      </c>
      <c r="F2785" s="2" t="str">
        <f>"0756620252"</f>
        <v>0756620252</v>
      </c>
      <c r="G2785" s="2" t="str">
        <f>"9780756620257"</f>
        <v>9780756620257</v>
      </c>
      <c r="H2785" s="1" t="s">
        <v>4897</v>
      </c>
      <c r="I2785" s="1" t="s">
        <v>36</v>
      </c>
      <c r="K2785" s="1">
        <v>2006.0</v>
      </c>
      <c r="L2785" s="1">
        <v>2006.0</v>
      </c>
      <c r="M2785" s="1"/>
      <c r="N2785" s="1"/>
      <c r="O2785" s="1"/>
      <c r="P2785" s="1"/>
      <c r="Q2785" s="1"/>
      <c r="R2785" s="1"/>
      <c r="S2785" s="1"/>
      <c r="T2785" s="1"/>
      <c r="U2785" s="1"/>
      <c r="V2785" s="1"/>
      <c r="W2785" s="1"/>
      <c r="X2785" s="1" t="s">
        <v>329</v>
      </c>
      <c r="Y2785" s="1" t="s">
        <v>10520</v>
      </c>
    </row>
    <row r="2786">
      <c r="A2786" s="1">
        <v>6.3831254E7</v>
      </c>
      <c r="B2786" s="1" t="s">
        <v>10521</v>
      </c>
      <c r="C2786" s="1" t="s">
        <v>10522</v>
      </c>
      <c r="D2786" s="1" t="s">
        <v>10523</v>
      </c>
      <c r="E2786" s="1" t="s">
        <v>5785</v>
      </c>
      <c r="F2786" s="2" t="str">
        <f>"0545880904"</f>
        <v>0545880904</v>
      </c>
      <c r="G2786" s="2" t="str">
        <f>"9780545880909"</f>
        <v>9780545880909</v>
      </c>
      <c r="I2786" s="1" t="s">
        <v>443</v>
      </c>
      <c r="L2786" s="1">
        <v>2014.0</v>
      </c>
      <c r="M2786" s="1"/>
      <c r="N2786" s="1"/>
      <c r="O2786" s="1"/>
      <c r="P2786" s="1"/>
      <c r="Q2786" s="1"/>
      <c r="R2786" s="1"/>
      <c r="S2786" s="1"/>
      <c r="T2786" s="1"/>
      <c r="U2786" s="1"/>
      <c r="V2786" s="1"/>
      <c r="W2786" s="1"/>
      <c r="X2786" s="1" t="s">
        <v>212</v>
      </c>
      <c r="Y2786" s="1" t="s">
        <v>10524</v>
      </c>
    </row>
    <row r="2787">
      <c r="A2787" s="1">
        <v>999985.0</v>
      </c>
      <c r="B2787" s="1" t="s">
        <v>10525</v>
      </c>
      <c r="C2787" s="1" t="s">
        <v>7820</v>
      </c>
      <c r="D2787" s="1" t="s">
        <v>7821</v>
      </c>
      <c r="F2787" s="2" t="str">
        <f>"075286081X"</f>
        <v>075286081X</v>
      </c>
      <c r="G2787" s="2" t="str">
        <f>"9780752860817"</f>
        <v>9780752860817</v>
      </c>
      <c r="H2787" s="1" t="s">
        <v>10526</v>
      </c>
      <c r="I2787" s="1" t="s">
        <v>443</v>
      </c>
      <c r="K2787" s="1">
        <v>2008.0</v>
      </c>
      <c r="L2787" s="1">
        <v>2004.0</v>
      </c>
      <c r="M2787" s="1"/>
      <c r="N2787" s="1"/>
      <c r="O2787" s="1"/>
      <c r="P2787" s="1"/>
      <c r="Q2787" s="1"/>
      <c r="R2787" s="1"/>
      <c r="S2787" s="1"/>
      <c r="T2787" s="1"/>
      <c r="U2787" s="1"/>
      <c r="V2787" s="1"/>
      <c r="W2787" s="1"/>
      <c r="X2787" s="1" t="s">
        <v>302</v>
      </c>
      <c r="Y2787" s="1" t="s">
        <v>10527</v>
      </c>
    </row>
    <row r="2788">
      <c r="A2788" s="1">
        <v>2.5998598E7</v>
      </c>
      <c r="B2788" s="1" t="s">
        <v>10528</v>
      </c>
      <c r="C2788" s="1" t="s">
        <v>677</v>
      </c>
      <c r="D2788" s="1" t="s">
        <v>678</v>
      </c>
      <c r="E2788" s="1" t="s">
        <v>721</v>
      </c>
      <c r="F2788" s="2" t="str">
        <f>"0590970518"</f>
        <v>0590970518</v>
      </c>
      <c r="G2788" s="2" t="str">
        <f>"9780590970518"</f>
        <v>9780590970518</v>
      </c>
      <c r="H2788" s="1" t="s">
        <v>50</v>
      </c>
      <c r="M2788" s="1"/>
      <c r="N2788" s="1"/>
      <c r="O2788" s="1"/>
      <c r="P2788" s="1"/>
      <c r="Q2788" s="1"/>
      <c r="R2788" s="1"/>
      <c r="S2788" s="1"/>
      <c r="T2788" s="1"/>
      <c r="U2788" s="1"/>
      <c r="V2788" s="1"/>
      <c r="W2788" s="1"/>
      <c r="X2788" s="1" t="s">
        <v>55</v>
      </c>
      <c r="Y2788" s="1" t="s">
        <v>10529</v>
      </c>
    </row>
    <row r="2789">
      <c r="A2789" s="1">
        <v>1329556.0</v>
      </c>
      <c r="B2789" s="1" t="s">
        <v>10530</v>
      </c>
      <c r="C2789" s="1" t="s">
        <v>10531</v>
      </c>
      <c r="D2789" s="1" t="s">
        <v>10532</v>
      </c>
      <c r="E2789" s="1" t="s">
        <v>2241</v>
      </c>
      <c r="F2789" s="2" t="str">
        <f>"0439680514"</f>
        <v>0439680514</v>
      </c>
      <c r="G2789" s="2" t="str">
        <f>"9780439680516"</f>
        <v>9780439680516</v>
      </c>
      <c r="H2789" s="1" t="s">
        <v>50</v>
      </c>
      <c r="I2789" s="1" t="s">
        <v>36</v>
      </c>
      <c r="K2789" s="1">
        <v>2004.0</v>
      </c>
      <c r="M2789" s="1"/>
      <c r="N2789" s="1"/>
      <c r="O2789" s="1"/>
      <c r="P2789" s="1"/>
      <c r="Q2789" s="1"/>
      <c r="R2789" s="1"/>
      <c r="S2789" s="1"/>
      <c r="T2789" s="1"/>
      <c r="U2789" s="1"/>
      <c r="V2789" s="1"/>
      <c r="W2789" s="1"/>
      <c r="X2789" s="1" t="s">
        <v>6778</v>
      </c>
      <c r="Y2789" s="1" t="s">
        <v>10533</v>
      </c>
    </row>
    <row r="2790">
      <c r="A2790" s="1">
        <v>2.553406E7</v>
      </c>
      <c r="B2790" s="1" t="s">
        <v>10534</v>
      </c>
      <c r="C2790" s="1" t="s">
        <v>10535</v>
      </c>
      <c r="D2790" s="1" t="s">
        <v>10536</v>
      </c>
      <c r="F2790" s="2" t="str">
        <f t="shared" ref="F2790:G2790" si="202">""</f>
        <v/>
      </c>
      <c r="G2790" s="2" t="str">
        <f t="shared" si="202"/>
        <v/>
      </c>
      <c r="I2790" s="1" t="s">
        <v>108</v>
      </c>
      <c r="M2790" s="1"/>
      <c r="N2790" s="1"/>
      <c r="O2790" s="1"/>
      <c r="P2790" s="1"/>
      <c r="Q2790" s="1"/>
      <c r="R2790" s="1"/>
      <c r="S2790" s="1"/>
      <c r="T2790" s="1"/>
      <c r="U2790" s="1"/>
      <c r="V2790" s="1"/>
      <c r="W2790" s="1"/>
      <c r="X2790" s="1" t="s">
        <v>835</v>
      </c>
      <c r="Y2790" s="1" t="s">
        <v>10537</v>
      </c>
    </row>
    <row r="2791">
      <c r="A2791" s="1">
        <v>2.7917506E7</v>
      </c>
      <c r="B2791" s="1" t="s">
        <v>10538</v>
      </c>
      <c r="C2791" s="1" t="s">
        <v>10539</v>
      </c>
      <c r="D2791" s="1" t="s">
        <v>10540</v>
      </c>
      <c r="F2791" s="2" t="str">
        <f>"1490683704"</f>
        <v>1490683704</v>
      </c>
      <c r="G2791" s="2" t="str">
        <f>"9781490683706"</f>
        <v>9781490683706</v>
      </c>
      <c r="H2791" s="1" t="s">
        <v>10541</v>
      </c>
      <c r="I2791" s="1" t="s">
        <v>443</v>
      </c>
      <c r="K2791" s="1">
        <v>2015.0</v>
      </c>
      <c r="L2791" s="1">
        <v>2014.0</v>
      </c>
      <c r="M2791" s="1"/>
      <c r="N2791" s="1"/>
      <c r="O2791" s="1"/>
      <c r="P2791" s="1"/>
      <c r="Q2791" s="1"/>
      <c r="R2791" s="1"/>
      <c r="S2791" s="1"/>
      <c r="T2791" s="1"/>
      <c r="U2791" s="1"/>
      <c r="V2791" s="1"/>
      <c r="W2791" s="1"/>
      <c r="X2791" s="1" t="s">
        <v>363</v>
      </c>
      <c r="Y2791" s="1" t="s">
        <v>10542</v>
      </c>
    </row>
    <row r="2792">
      <c r="A2792" s="1">
        <v>1047073.0</v>
      </c>
      <c r="B2792" s="1" t="s">
        <v>10543</v>
      </c>
      <c r="C2792" s="1" t="s">
        <v>5375</v>
      </c>
      <c r="D2792" s="1" t="s">
        <v>5376</v>
      </c>
      <c r="F2792" s="2" t="str">
        <f>"0688140351"</f>
        <v>0688140351</v>
      </c>
      <c r="G2792" s="2" t="str">
        <f>"9780688140359"</f>
        <v>9780688140359</v>
      </c>
      <c r="H2792" s="1" t="s">
        <v>2736</v>
      </c>
      <c r="I2792" s="1" t="s">
        <v>31</v>
      </c>
      <c r="K2792" s="1">
        <v>1995.0</v>
      </c>
      <c r="L2792" s="1">
        <v>1984.0</v>
      </c>
      <c r="M2792" s="1"/>
      <c r="N2792" s="1"/>
      <c r="O2792" s="1"/>
      <c r="P2792" s="1"/>
      <c r="Q2792" s="1"/>
      <c r="R2792" s="1"/>
      <c r="S2792" s="1"/>
      <c r="T2792" s="1"/>
      <c r="U2792" s="1"/>
      <c r="V2792" s="1"/>
      <c r="W2792" s="1"/>
      <c r="X2792" s="1" t="s">
        <v>61</v>
      </c>
      <c r="Y2792" s="1" t="s">
        <v>10544</v>
      </c>
    </row>
    <row r="2793">
      <c r="A2793" s="1">
        <v>1181521.0</v>
      </c>
      <c r="B2793" s="1" t="s">
        <v>10545</v>
      </c>
      <c r="C2793" s="1" t="s">
        <v>5375</v>
      </c>
      <c r="D2793" s="1" t="s">
        <v>5376</v>
      </c>
      <c r="F2793" s="2" t="str">
        <f>"0688132006"</f>
        <v>0688132006</v>
      </c>
      <c r="G2793" s="2" t="str">
        <f>"9780688132002"</f>
        <v>9780688132002</v>
      </c>
      <c r="H2793" s="1" t="s">
        <v>2736</v>
      </c>
      <c r="I2793" s="1" t="s">
        <v>36</v>
      </c>
      <c r="K2793" s="1">
        <v>1994.0</v>
      </c>
      <c r="L2793" s="1">
        <v>1982.0</v>
      </c>
      <c r="M2793" s="1"/>
      <c r="N2793" s="1"/>
      <c r="O2793" s="1"/>
      <c r="P2793" s="1"/>
      <c r="Q2793" s="1"/>
      <c r="R2793" s="1"/>
      <c r="S2793" s="1"/>
      <c r="T2793" s="1"/>
      <c r="U2793" s="1"/>
      <c r="V2793" s="1"/>
      <c r="W2793" s="1"/>
      <c r="X2793" s="1" t="s">
        <v>61</v>
      </c>
      <c r="Y2793" s="1" t="s">
        <v>10546</v>
      </c>
    </row>
    <row r="2794">
      <c r="A2794" s="1">
        <v>1.64733599E8</v>
      </c>
      <c r="B2794" s="1" t="s">
        <v>10547</v>
      </c>
      <c r="C2794" s="1" t="s">
        <v>5679</v>
      </c>
      <c r="D2794" s="1" t="s">
        <v>5680</v>
      </c>
      <c r="F2794" s="2" t="str">
        <f t="shared" ref="F2794:G2794" si="203">""</f>
        <v/>
      </c>
      <c r="G2794" s="2" t="str">
        <f t="shared" si="203"/>
        <v/>
      </c>
      <c r="H2794" s="1" t="s">
        <v>50</v>
      </c>
      <c r="I2794" s="1" t="s">
        <v>443</v>
      </c>
      <c r="K2794" s="1">
        <v>2010.0</v>
      </c>
      <c r="L2794" s="1">
        <v>2010.0</v>
      </c>
      <c r="M2794" s="1"/>
      <c r="N2794" s="1"/>
      <c r="O2794" s="1"/>
      <c r="P2794" s="1"/>
      <c r="Q2794" s="1"/>
      <c r="R2794" s="1"/>
      <c r="S2794" s="1"/>
      <c r="T2794" s="1"/>
      <c r="U2794" s="1"/>
      <c r="V2794" s="1"/>
      <c r="W2794" s="1"/>
      <c r="X2794" s="1" t="s">
        <v>68</v>
      </c>
      <c r="Y2794" s="1" t="s">
        <v>10548</v>
      </c>
    </row>
  </sheetData>
  <drawing r:id="rId1"/>
</worksheet>
</file>